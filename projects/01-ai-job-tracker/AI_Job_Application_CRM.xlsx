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Search Dashboard" sheetId="1" state="visible" r:id="rId1"/>
    <sheet name="Follow-Ups" sheetId="2" state="visible" r:id="rId2"/>
    <sheet name="Applications" sheetId="3" state="visible" r:id="rId3"/>
    <sheet name="Interviews" sheetId="4" state="visible" r:id="rId4"/>
    <sheet name="Companies" sheetId="5" state="visible" r:id="rId5"/>
    <sheet name="Contacts" sheetId="6" state="visible" r:id="rId6"/>
    <sheet name="Analytics" sheetId="7" state="visible" r:id="rId7"/>
    <sheet name="Settings" sheetId="8" state="visible" r:id="rId8"/>
    <sheet name="Guide" sheetId="9" state="visible" r:id="rId9"/>
  </sheets>
  <definedNames>
    <definedName name="Set_FollowUpDays">Settings!$E$5</definedName>
    <definedName name="Set_DueSoonDays">Settings!$E$6</definedName>
    <definedName name="Set_InterviewWindow">Settings!$E$7</definedName>
    <definedName name="Set_MinSample">Settings!$E$8</definedName>
    <definedName name="App_ID">'Applications'!$A$5:$A$1004</definedName>
    <definedName name="App_DateApplied">'Applications'!$C$5:$C$1004</definedName>
    <definedName name="App_Company">'Applications'!$D$5:$D$1004</definedName>
    <definedName name="App_JobTitle">'Applications'!$E$5:$E$1004</definedName>
    <definedName name="App_URL">'Applications'!$I$5:$I$1004</definedName>
    <definedName name="App_Source">'Applications'!$J$5:$J$1004</definedName>
    <definedName name="App_Priority">'Applications'!$K$5:$K$1004</definedName>
    <definedName name="App_Match">'Applications'!$L$5:$L$1004</definedName>
    <definedName name="App_Status">'Applications'!$M$5:$M$1004</definedName>
    <definedName name="App_NextAction">'Applications'!$N$5:$N$1004</definedName>
    <definedName name="App_NextDate">'Applications'!$O$5:$O$1004</definedName>
    <definedName name="App_Contact">'Applications'!$P$5:$P$1004</definedName>
    <definedName name="App_CV">'Applications'!$R$5:$R$1004</definedName>
    <definedName name="App_Skills">'Applications'!$V$5:$V$1004</definedName>
    <definedName name="App_Role">'Applications'!$Z$5:$Z$1004</definedName>
    <definedName name="App_RespDate">'Applications'!$AA$5:$AA$1004</definedName>
    <definedName name="App_Flag">'Applications'!$AC$5:$AC$1004</definedName>
    <definedName name="App_MatchCat">'Applications'!$AD$5:$AD$1004</definedName>
    <definedName name="App_Furthest">'Applications'!$AE$5:$AE$1004</definedName>
    <definedName name="App_DaysToResp">'Applications'!$AF$5:$AF$1004</definedName>
    <definedName name="App_Stage">'Applications'!$AG$5:$AG$1004</definedName>
    <definedName name="App_ActionKey">'Applications'!$AH$5:$AH$1004</definedName>
    <definedName name="App_ActiveKey">'Applications'!$AI$5:$AI$1004</definedName>
    <definedName name="Int_Company">'Interviews'!$A$5:$A$304</definedName>
    <definedName name="Int_JobTitle">'Interviews'!$B$5:$B$304</definedName>
    <definedName name="Int_Stage">'Interviews'!$C$5:$C$304</definedName>
    <definedName name="Int_Date">'Interviews'!$D$5:$D$304</definedName>
    <definedName name="Int_Interviewer">'Interviews'!$E$5:$E$304</definedName>
    <definedName name="Int_Type">'Interviews'!$F$5:$F$304</definedName>
    <definedName name="Int_Prep">'Interviews'!$G$5:$G$304</definedName>
    <definedName name="Int_NextStep">'Interviews'!$L$5:$L$304</definedName>
    <definedName name="Int_Key">'Interviews'!$O$5:$O$304</definedName>
    <definedName name="Co_Company">'Companies'!$A$5:$A$304</definedName>
    <definedName name="Ct_Name">'Contacts'!$A$5:$A$504</definedName>
    <definedName name="Ct_Company">'Contacts'!$B$5:$B$504</definedName>
    <definedName name="Ct_JobTitle">'Contacts'!$C$5:$C$504</definedName>
    <definedName name="Ct_LinkedIn">'Contacts'!$D$5:$D$504</definedName>
    <definedName name="Ct_Relationship">'Contacts'!$F$5:$F$504</definedName>
    <definedName name="Ct_Contacted">'Contacts'!$G$5:$G$504</definedName>
    <definedName name="Ct_Response">'Contacts'!$I$5:$I$504</definedName>
    <definedName name="Ct_FollowUp">'Contacts'!$J$5:$J$504</definedName>
    <definedName name="Ct_RefPotential">'Contacts'!$K$5:$K$504</definedName>
    <definedName name="Ct_Notes">'Contacts'!$L$5:$L$504</definedName>
    <definedName name="Ct_Key">'Contacts'!$M$5:$M$504</definedName>
    <definedName name="_xlnm._FilterDatabase" localSheetId="2" hidden="1">'Applications'!$A$4:$AI$1004</definedName>
    <definedName name="_xlnm.Print_Titles" localSheetId="2">'Applications'!$4:$4</definedName>
    <definedName name="_xlnm._FilterDatabase" localSheetId="3" hidden="1">'Interviews'!$A$4:$O$304</definedName>
    <definedName name="_xlnm.Print_Titles" localSheetId="3">'Interviews'!$4:$4</definedName>
    <definedName name="_xlnm._FilterDatabase" localSheetId="4" hidden="1">'Companies'!$A$4:$O$304</definedName>
    <definedName name="_xlnm.Print_Titles" localSheetId="4">'Companies'!$4:$4</definedName>
    <definedName name="_xlnm._FilterDatabase" localSheetId="5" hidden="1">'Contacts'!$A$4:$M$504</definedName>
    <definedName name="_xlnm.Print_Titles" localSheetId="5">'Contacts'!$4:$4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APP-&quot;000"/>
    <numFmt numFmtId="165" formatCode="dd.mm.yyyy"/>
    <numFmt numFmtId="166" formatCode="0&quot;%&quot;"/>
    <numFmt numFmtId="167" formatCode="ddd dd.mm.yyyy"/>
    <numFmt numFmtId="168" formatCode="0.0"/>
    <numFmt numFmtId="169" formatCode="0.0%"/>
    <numFmt numFmtId="170" formatCode="yyyy-mm-dd"/>
  </numFmts>
  <fonts count="5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72A"/>
      <sz val="16"/>
    </font>
    <font>
      <name val="Arial"/>
      <color rgb="0064748B"/>
      <sz val="9"/>
    </font>
    <font>
      <name val="Arial"/>
      <b val="1"/>
      <color rgb="0064748B"/>
      <sz val="8"/>
    </font>
    <font>
      <name val="Arial"/>
      <b val="1"/>
      <color rgb="001E293B"/>
      <sz val="10"/>
    </font>
    <font>
      <name val="Arial"/>
      <b val="1"/>
      <color rgb="001D4ED8"/>
      <sz val="11"/>
    </font>
    <font>
      <name val="Arial"/>
      <i val="1"/>
      <color rgb="0094A3B8"/>
      <sz val="8"/>
    </font>
    <font>
      <name val="Arial"/>
      <b val="1"/>
      <color rgb="00FFFFFF"/>
      <sz val="9"/>
    </font>
    <font>
      <name val="Arial"/>
      <color rgb="001E293B"/>
      <sz val="10"/>
    </font>
    <font>
      <name val="Arial"/>
      <b val="1"/>
      <color rgb="002563EB"/>
      <sz val="8"/>
    </font>
    <font>
      <name val="Arial"/>
      <color rgb="002563EB"/>
      <sz val="10"/>
    </font>
    <font>
      <name val="Arial"/>
      <color rgb="0064748B"/>
      <sz val="10"/>
    </font>
    <font>
      <name val="Arial"/>
      <b val="1"/>
      <color rgb="002563EB"/>
      <sz val="10"/>
    </font>
    <font>
      <name val="Arial"/>
      <color rgb="0064748B"/>
      <sz val="8"/>
    </font>
    <font>
      <name val="Arial"/>
      <b val="1"/>
      <color rgb="000F172A"/>
      <sz val="18"/>
    </font>
    <font>
      <name val="Arial"/>
      <b val="1"/>
      <color rgb="000F172A"/>
      <sz val="11"/>
    </font>
    <font>
      <name val="Arial"/>
      <color rgb="0060A5FA"/>
      <sz val="9"/>
    </font>
    <font>
      <name val="Arial"/>
      <b val="1"/>
      <color rgb="0064748B"/>
      <sz val="9"/>
    </font>
    <font>
      <name val="Arial"/>
      <b val="1"/>
      <color rgb="00166534"/>
      <sz val="10"/>
    </font>
    <font>
      <name val="Arial"/>
      <b val="1"/>
      <color rgb="003F6212"/>
      <sz val="10"/>
    </font>
    <font>
      <name val="Arial"/>
      <b val="1"/>
      <color rgb="0092400E"/>
      <sz val="10"/>
    </font>
    <font>
      <name val="Arial"/>
      <b val="1"/>
      <color rgb="006B7280"/>
      <sz val="10"/>
    </font>
    <font>
      <name val="Arial"/>
      <i val="1"/>
      <color rgb="0064748B"/>
      <sz val="8"/>
    </font>
    <font>
      <name val="Arial"/>
      <b val="1"/>
      <color rgb="000F172A"/>
      <sz val="20"/>
    </font>
    <font>
      <name val="Arial"/>
      <b val="1"/>
      <color rgb="000F172A"/>
      <sz val="22"/>
    </font>
    <font>
      <name val="Arial"/>
      <color rgb="0094A3B8"/>
      <sz val="8"/>
    </font>
    <font>
      <name val="Arial"/>
      <b val="1"/>
      <color rgb="00475569"/>
      <sz val="9"/>
    </font>
    <font>
      <name val="Arial"/>
      <color rgb="0094A3B8"/>
      <sz val="9"/>
    </font>
    <font>
      <name val="Arial"/>
      <b val="1"/>
      <color rgb="001E40AF"/>
      <sz val="9"/>
    </font>
    <font>
      <name val="Arial"/>
      <color rgb="003B82F6"/>
      <sz val="9"/>
    </font>
    <font>
      <name val="Arial"/>
      <b val="1"/>
      <color rgb="0092400E"/>
      <sz val="9"/>
    </font>
    <font>
      <name val="Arial"/>
      <color rgb="00F59E0B"/>
      <sz val="9"/>
    </font>
    <font>
      <name val="Arial"/>
      <b val="1"/>
      <color rgb="009A3412"/>
      <sz val="9"/>
    </font>
    <font>
      <name val="Arial"/>
      <color rgb="00F97316"/>
      <sz val="9"/>
    </font>
    <font>
      <name val="Arial"/>
      <b val="1"/>
      <color rgb="005B21B6"/>
      <sz val="9"/>
    </font>
    <font>
      <name val="Arial"/>
      <color rgb="008B5CF6"/>
      <sz val="9"/>
    </font>
    <font>
      <name val="Arial"/>
      <b val="1"/>
      <color rgb="00166534"/>
      <sz val="9"/>
    </font>
    <font>
      <name val="Arial"/>
      <color rgb="0022C55E"/>
      <sz val="9"/>
    </font>
    <font>
      <name val="Arial"/>
      <color rgb="0015803D"/>
      <sz val="9"/>
    </font>
    <font>
      <name val="Arial"/>
      <b val="1"/>
      <color rgb="00991B1B"/>
      <sz val="9"/>
    </font>
    <font>
      <name val="Arial"/>
      <color rgb="00EF4444"/>
      <sz val="9"/>
    </font>
    <font>
      <name val="Arial"/>
      <b val="1"/>
      <color rgb="004B5563"/>
      <sz val="9"/>
    </font>
    <font>
      <name val="Arial"/>
      <color rgb="009CA3AF"/>
      <sz val="9"/>
    </font>
    <font>
      <name val="Arial"/>
      <b val="1"/>
      <color rgb="003F6212"/>
      <sz val="9"/>
    </font>
    <font>
      <name val="Arial"/>
      <b val="1"/>
      <color rgb="006B7280"/>
      <sz val="9"/>
    </font>
    <font>
      <name val="Arial"/>
      <b val="1"/>
      <color rgb="0064748B"/>
      <sz val="10"/>
    </font>
    <font>
      <name val="Arial"/>
      <b val="1"/>
      <color rgb="001D4ED8"/>
      <sz val="10"/>
    </font>
    <font>
      <name val="Arial"/>
      <b val="1"/>
      <color rgb="00475569"/>
      <sz val="10"/>
    </font>
    <font>
      <name val="Arial"/>
      <b val="1"/>
      <color rgb="001E40AF"/>
      <sz val="10"/>
    </font>
    <font>
      <name val="Arial"/>
      <b val="1"/>
      <color rgb="009A3412"/>
      <sz val="10"/>
    </font>
    <font>
      <name val="Arial"/>
      <b val="1"/>
      <color rgb="005B21B6"/>
      <sz val="10"/>
    </font>
    <font>
      <name val="Arial"/>
      <b val="1"/>
      <color rgb="00FFFFFF"/>
      <sz val="10"/>
    </font>
    <font>
      <name val="Arial"/>
      <b val="1"/>
      <color rgb="00991B1B"/>
      <sz val="10"/>
    </font>
    <font>
      <name val="Arial"/>
      <b val="1"/>
      <color rgb="004B5563"/>
      <sz val="10"/>
    </font>
    <font>
      <name val="Arial"/>
      <b val="1"/>
      <color rgb="0078350F"/>
      <sz val="10"/>
    </font>
    <font>
      <name val="Arial"/>
      <b val="1"/>
      <color rgb="003730A3"/>
      <sz val="10"/>
    </font>
    <font>
      <name val="Arial"/>
      <b val="1"/>
      <color rgb="00854D0E"/>
      <sz val="10"/>
    </font>
  </fonts>
  <fills count="20">
    <fill>
      <patternFill/>
    </fill>
    <fill>
      <patternFill patternType="gray125"/>
    </fill>
    <fill>
      <patternFill patternType="solid">
        <fgColor rgb="00FEF9C3"/>
        <bgColor rgb="00FEF9C3"/>
      </patternFill>
    </fill>
    <fill>
      <patternFill patternType="solid">
        <fgColor rgb="001E293B"/>
        <bgColor rgb="001E293B"/>
      </patternFill>
    </fill>
    <fill>
      <patternFill patternType="solid">
        <fgColor rgb="007F1D1D"/>
        <bgColor rgb="007F1D1D"/>
      </patternFill>
    </fill>
    <fill>
      <patternFill patternType="solid">
        <fgColor rgb="0064748B"/>
        <bgColor rgb="0064748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ECFCCB"/>
        <bgColor rgb="00ECFCCB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15803D"/>
        <bgColor rgb="0015803D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  <fill>
      <patternFill patternType="solid">
        <fgColor rgb="00FDE68A"/>
        <bgColor rgb="00FDE68A"/>
      </patternFill>
    </fill>
    <fill>
      <patternFill patternType="solid">
        <fgColor rgb="00E0E7FF"/>
        <bgColor rgb="00E0E7FF"/>
      </patternFill>
    </fill>
  </fills>
  <borders count="26">
    <border>
      <left/>
      <right/>
      <top/>
      <bottom/>
      <diagonal/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bottom style="thin">
        <color rgb="00F1F5F9"/>
      </bottom>
    </border>
    <border>
      <right style="thin">
        <color rgb="00FFFFFF"/>
      </right>
    </border>
    <border>
      <right style="thin">
        <color rgb="00F1F5F9"/>
      </right>
      <bottom style="thin">
        <color rgb="00E2E8F0"/>
      </bottom>
    </border>
    <border>
      <bottom style="thin">
        <color rgb="00CBD5E1"/>
      </bottom>
    </border>
    <border>
      <top style="thin">
        <color rgb="00E2E8F0"/>
      </top>
    </border>
    <border>
      <bottom style="thin">
        <color rgb="00E2E8F0"/>
      </bottom>
    </border>
    <border>
      <left style="thick">
        <color rgb="002563EB"/>
      </left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ck">
        <color rgb="002563EB"/>
      </left>
    </border>
    <border>
      <right style="thin">
        <color rgb="00E2E8F0"/>
      </right>
    </border>
    <border>
      <left style="thick">
        <color rgb="002563EB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F97316"/>
      </left>
      <top style="thin">
        <color rgb="00E2E8F0"/>
      </top>
    </border>
    <border>
      <left style="thick">
        <color rgb="00F97316"/>
      </left>
    </border>
    <border>
      <left style="thick">
        <color rgb="00F97316"/>
      </left>
      <bottom style="thin">
        <color rgb="00E2E8F0"/>
      </bottom>
    </border>
    <border>
      <left style="thick">
        <color rgb="008B5CF6"/>
      </left>
      <top style="thin">
        <color rgb="00E2E8F0"/>
      </top>
    </border>
    <border>
      <left style="thick">
        <color rgb="008B5CF6"/>
      </left>
    </border>
    <border>
      <left style="thick">
        <color rgb="008B5CF6"/>
      </left>
      <bottom style="thin">
        <color rgb="00E2E8F0"/>
      </bottom>
    </border>
    <border>
      <left style="thick">
        <color rgb="0022C55E"/>
      </left>
      <top style="thin">
        <color rgb="00E2E8F0"/>
      </top>
    </border>
    <border>
      <left style="thick">
        <color rgb="0022C55E"/>
      </left>
    </border>
    <border>
      <left style="thick">
        <color rgb="0022C55E"/>
      </left>
      <bottom style="thin">
        <color rgb="00E2E8F0"/>
      </bottom>
    </border>
    <border>
      <left style="thick">
        <color rgb="0015803D"/>
      </left>
      <top style="thin">
        <color rgb="00E2E8F0"/>
      </top>
    </border>
    <border>
      <left style="thick">
        <color rgb="0015803D"/>
      </left>
    </border>
    <border>
      <left style="thick">
        <color rgb="0015803D"/>
      </left>
      <bottom style="thin">
        <color rgb="00E2E8F0"/>
      </bottom>
    </border>
  </borders>
  <cellStyleXfs count="1">
    <xf numFmtId="0" fontId="1" fillId="0" borderId="0"/>
  </cellStyleXfs>
  <cellXfs count="132">
    <xf numFmtId="0" fontId="0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18" fillId="11" borderId="8" applyAlignment="1" pivotButton="0" quotePrefix="0" xfId="0">
      <alignment vertical="bottom" indent="1"/>
    </xf>
    <xf numFmtId="0" fontId="0" fillId="11" borderId="9" pivotButton="0" quotePrefix="0" xfId="0"/>
    <xf numFmtId="1" fontId="25" fillId="11" borderId="10" applyAlignment="1" pivotButton="0" quotePrefix="0" xfId="0">
      <alignment horizontal="left" vertical="center" indent="1"/>
    </xf>
    <xf numFmtId="0" fontId="0" fillId="11" borderId="11" pivotButton="0" quotePrefix="0" xfId="0"/>
    <xf numFmtId="0" fontId="26" fillId="11" borderId="12" applyAlignment="1" pivotButton="0" quotePrefix="0" xfId="0">
      <alignment vertical="top" indent="1"/>
    </xf>
    <xf numFmtId="0" fontId="0" fillId="11" borderId="13" pivotButton="0" quotePrefix="0" xfId="0"/>
    <xf numFmtId="0" fontId="18" fillId="11" borderId="14" applyAlignment="1" pivotButton="0" quotePrefix="0" xfId="0">
      <alignment vertical="bottom" indent="1"/>
    </xf>
    <xf numFmtId="0" fontId="18" fillId="11" borderId="17" applyAlignment="1" pivotButton="0" quotePrefix="0" xfId="0">
      <alignment vertical="bottom" indent="1"/>
    </xf>
    <xf numFmtId="0" fontId="18" fillId="11" borderId="20" applyAlignment="1" pivotButton="0" quotePrefix="0" xfId="0">
      <alignment vertical="bottom" indent="1"/>
    </xf>
    <xf numFmtId="0" fontId="18" fillId="11" borderId="23" applyAlignment="1" pivotButton="0" quotePrefix="0" xfId="0">
      <alignment vertical="bottom" indent="1"/>
    </xf>
    <xf numFmtId="1" fontId="25" fillId="11" borderId="15" applyAlignment="1" pivotButton="0" quotePrefix="0" xfId="0">
      <alignment horizontal="left" vertical="center" indent="1"/>
    </xf>
    <xf numFmtId="1" fontId="25" fillId="11" borderId="18" applyAlignment="1" pivotButton="0" quotePrefix="0" xfId="0">
      <alignment horizontal="left" vertical="center" indent="1"/>
    </xf>
    <xf numFmtId="1" fontId="25" fillId="11" borderId="21" applyAlignment="1" pivotButton="0" quotePrefix="0" xfId="0">
      <alignment horizontal="left" vertical="center" indent="1"/>
    </xf>
    <xf numFmtId="1" fontId="25" fillId="11" borderId="24" applyAlignment="1" pivotButton="0" quotePrefix="0" xfId="0">
      <alignment horizontal="left" vertical="center" indent="1"/>
    </xf>
    <xf numFmtId="0" fontId="26" fillId="11" borderId="16" applyAlignment="1" pivotButton="0" quotePrefix="0" xfId="0">
      <alignment vertical="top" indent="1"/>
    </xf>
    <xf numFmtId="0" fontId="26" fillId="11" borderId="19" applyAlignment="1" pivotButton="0" quotePrefix="0" xfId="0">
      <alignment vertical="top" indent="1"/>
    </xf>
    <xf numFmtId="0" fontId="26" fillId="11" borderId="22" applyAlignment="1" pivotButton="0" quotePrefix="0" xfId="0">
      <alignment vertical="top" indent="1"/>
    </xf>
    <xf numFmtId="0" fontId="26" fillId="11" borderId="25" applyAlignment="1" pivotButton="0" quotePrefix="0" xfId="0">
      <alignment vertical="top" indent="1"/>
    </xf>
    <xf numFmtId="0" fontId="5" fillId="11" borderId="0" applyAlignment="1" pivotButton="0" quotePrefix="0" xfId="0">
      <alignment vertical="center" indent="1"/>
    </xf>
    <xf numFmtId="0" fontId="0" fillId="11" borderId="0" pivotButton="0" quotePrefix="0" xfId="0"/>
    <xf numFmtId="0" fontId="4" fillId="0" borderId="5" applyAlignment="1" pivotButton="0" quotePrefix="0" xfId="0">
      <alignment horizontal="left" vertical="bottom" wrapText="1" indent="1"/>
    </xf>
    <xf numFmtId="0" fontId="4" fillId="0" borderId="5" applyAlignment="1" pivotButton="0" quotePrefix="0" xfId="0">
      <alignment horizontal="center" vertical="bottom" wrapText="1"/>
    </xf>
    <xf numFmtId="0" fontId="27" fillId="0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5" fillId="0" borderId="2" applyAlignment="1" pivotButton="0" quotePrefix="0" xfId="0">
      <alignment horizontal="center"/>
    </xf>
    <xf numFmtId="0" fontId="28" fillId="0" borderId="2" pivotButton="0" quotePrefix="0" xfId="0"/>
    <xf numFmtId="0" fontId="9" fillId="0" borderId="2" applyAlignment="1" pivotButton="0" quotePrefix="0" xfId="0">
      <alignment indent="1"/>
    </xf>
    <xf numFmtId="169" fontId="16" fillId="0" borderId="2" applyAlignment="1" pivotButton="0" quotePrefix="0" xfId="0">
      <alignment horizontal="center"/>
    </xf>
    <xf numFmtId="0" fontId="26" fillId="0" borderId="2" applyAlignment="1" pivotButton="0" quotePrefix="0" xfId="0">
      <alignment indent="1"/>
    </xf>
    <xf numFmtId="0" fontId="29" fillId="12" borderId="0" applyAlignment="1" pivotButton="0" quotePrefix="0" xfId="0">
      <alignment horizontal="left" vertical="center" indent="1"/>
    </xf>
    <xf numFmtId="0" fontId="30" fillId="0" borderId="2" pivotButton="0" quotePrefix="0" xfId="0"/>
    <xf numFmtId="0" fontId="31" fillId="9" borderId="0" applyAlignment="1" pivotButton="0" quotePrefix="0" xfId="0">
      <alignment horizontal="left" vertical="center" indent="1"/>
    </xf>
    <xf numFmtId="0" fontId="32" fillId="0" borderId="2" pivotButton="0" quotePrefix="0" xfId="0"/>
    <xf numFmtId="0" fontId="33" fillId="13" borderId="0" applyAlignment="1" pivotButton="0" quotePrefix="0" xfId="0">
      <alignment horizontal="left" vertical="center" indent="1"/>
    </xf>
    <xf numFmtId="0" fontId="34" fillId="0" borderId="2" pivotButton="0" quotePrefix="0" xfId="0"/>
    <xf numFmtId="168" fontId="16" fillId="0" borderId="2" applyAlignment="1" pivotButton="0" quotePrefix="0" xfId="0">
      <alignment horizontal="center"/>
    </xf>
    <xf numFmtId="0" fontId="35" fillId="14" borderId="0" applyAlignment="1" pivotButton="0" quotePrefix="0" xfId="0">
      <alignment horizontal="left" vertical="center" indent="1"/>
    </xf>
    <xf numFmtId="0" fontId="36" fillId="0" borderId="2" pivotButton="0" quotePrefix="0" xfId="0"/>
    <xf numFmtId="0" fontId="37" fillId="7" borderId="0" applyAlignment="1" pivotButton="0" quotePrefix="0" xfId="0">
      <alignment horizontal="left" vertical="center" indent="1"/>
    </xf>
    <xf numFmtId="0" fontId="38" fillId="0" borderId="2" pivotButton="0" quotePrefix="0" xfId="0"/>
    <xf numFmtId="0" fontId="8" fillId="15" borderId="0" applyAlignment="1" pivotButton="0" quotePrefix="0" xfId="0">
      <alignment horizontal="left" vertical="center" indent="1"/>
    </xf>
    <xf numFmtId="0" fontId="39" fillId="0" borderId="2" pivotButton="0" quotePrefix="0" xfId="0"/>
    <xf numFmtId="0" fontId="3" fillId="0" borderId="2" applyAlignment="1" pivotButton="0" quotePrefix="0" xfId="0">
      <alignment indent="1"/>
    </xf>
    <xf numFmtId="0" fontId="40" fillId="16" borderId="0" applyAlignment="1" pivotButton="0" quotePrefix="0" xfId="0">
      <alignment horizontal="left" vertical="center" indent="1"/>
    </xf>
    <xf numFmtId="0" fontId="41" fillId="0" borderId="2" pivotButton="0" quotePrefix="0" xfId="0"/>
    <xf numFmtId="0" fontId="42" fillId="17" borderId="0" applyAlignment="1" pivotButton="0" quotePrefix="0" xfId="0">
      <alignment horizontal="left" vertical="center" indent="1"/>
    </xf>
    <xf numFmtId="0" fontId="43" fillId="0" borderId="2" pivotButton="0" quotePrefix="0" xfId="0"/>
    <xf numFmtId="0" fontId="17" fillId="0" borderId="2" pivotButton="0" quotePrefix="0" xfId="0"/>
    <xf numFmtId="0" fontId="12" fillId="0" borderId="2" applyAlignment="1" pivotButton="0" quotePrefix="0" xfId="0">
      <alignment indent="1"/>
    </xf>
    <xf numFmtId="0" fontId="37" fillId="7" borderId="0" applyAlignment="1" pivotButton="0" quotePrefix="0" xfId="0">
      <alignment indent="1"/>
    </xf>
    <xf numFmtId="0" fontId="18" fillId="0" borderId="2" applyAlignment="1" pivotButton="0" quotePrefix="0" xfId="0">
      <alignment indent="1"/>
    </xf>
    <xf numFmtId="0" fontId="37" fillId="0" borderId="2" pivotButton="0" quotePrefix="0" xfId="0"/>
    <xf numFmtId="0" fontId="44" fillId="8" borderId="0" applyAlignment="1" pivotButton="0" quotePrefix="0" xfId="0">
      <alignment indent="1"/>
    </xf>
    <xf numFmtId="0" fontId="31" fillId="9" borderId="0" applyAlignment="1" pivotButton="0" quotePrefix="0" xfId="0">
      <alignment indent="1"/>
    </xf>
    <xf numFmtId="0" fontId="45" fillId="10" borderId="0" applyAlignment="1" pivotButton="0" quotePrefix="0" xfId="0">
      <alignment indent="1"/>
    </xf>
    <xf numFmtId="0" fontId="12" fillId="0" borderId="0" applyAlignment="1" pivotButton="0" quotePrefix="0" xfId="0">
      <alignment indent="1"/>
    </xf>
    <xf numFmtId="0" fontId="7" fillId="0" borderId="0" applyAlignment="1" pivotButton="0" quotePrefix="0" xfId="0">
      <alignment indent="1"/>
    </xf>
    <xf numFmtId="0" fontId="7" fillId="0" borderId="0" pivotButton="0" quotePrefix="0" xfId="0"/>
    <xf numFmtId="0" fontId="15" fillId="0" borderId="0" pivotButton="0" quotePrefix="0" xfId="0"/>
    <xf numFmtId="0" fontId="4" fillId="11" borderId="6" applyAlignment="1" pivotButton="0" quotePrefix="0" xfId="0">
      <alignment vertical="bottom" wrapText="1" indent="1"/>
    </xf>
    <xf numFmtId="0" fontId="24" fillId="11" borderId="7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indent="1"/>
    </xf>
    <xf numFmtId="165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indent="1"/>
    </xf>
    <xf numFmtId="0" fontId="23" fillId="0" borderId="0" pivotButton="0" quotePrefix="0" xfId="0"/>
    <xf numFmtId="167" fontId="9" fillId="0" borderId="0" applyAlignment="1" pivotButton="0" quotePrefix="0" xfId="0">
      <alignment horizontal="left" indent="1"/>
    </xf>
    <xf numFmtId="0" fontId="2" fillId="0" borderId="0" applyAlignment="1" pivotButton="0" quotePrefix="0" xfId="0">
      <alignment vertical="center"/>
    </xf>
    <xf numFmtId="0" fontId="14" fillId="0" borderId="0" pivotButton="0" quotePrefix="0" xfId="0"/>
    <xf numFmtId="0" fontId="4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center"/>
    </xf>
    <xf numFmtId="0" fontId="10" fillId="0" borderId="0" pivotButton="0" quotePrefix="0" xfId="0"/>
    <xf numFmtId="0" fontId="8" fillId="3" borderId="3" applyAlignment="1" pivotButton="0" quotePrefix="0" xfId="0">
      <alignment vertical="center" wrapText="1" indent="1"/>
    </xf>
    <xf numFmtId="0" fontId="8" fillId="5" borderId="3" applyAlignment="1" pivotButton="0" quotePrefix="0" xfId="0">
      <alignment vertical="center" wrapText="1" indent="1"/>
    </xf>
    <xf numFmtId="164" fontId="9" fillId="0" borderId="4" applyAlignment="1" pivotButton="0" quotePrefix="0" xfId="0">
      <alignment horizontal="center" vertical="top"/>
    </xf>
    <xf numFmtId="165" fontId="9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 indent="1"/>
    </xf>
    <xf numFmtId="0" fontId="11" fillId="0" borderId="4" applyAlignment="1" pivotButton="0" quotePrefix="0" xfId="0">
      <alignment horizontal="left" vertical="top" indent="1"/>
    </xf>
    <xf numFmtId="0" fontId="9" fillId="0" borderId="4" applyAlignment="1" pivotButton="0" quotePrefix="0" xfId="0">
      <alignment horizontal="center" vertical="top"/>
    </xf>
    <xf numFmtId="166" fontId="9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 wrapText="1" indent="1"/>
    </xf>
    <xf numFmtId="0" fontId="12" fillId="6" borderId="4" applyAlignment="1" pivotButton="0" quotePrefix="0" xfId="0">
      <alignment horizontal="left" vertical="top" indent="1"/>
    </xf>
    <xf numFmtId="1" fontId="12" fillId="6" borderId="4" applyAlignment="1" pivotButton="0" quotePrefix="0" xfId="0">
      <alignment horizontal="center" vertical="top"/>
    </xf>
    <xf numFmtId="167" fontId="9" fillId="0" borderId="4" applyAlignment="1" pivotButton="0" quotePrefix="0" xfId="0">
      <alignment horizontal="center" vertical="top"/>
    </xf>
    <xf numFmtId="0" fontId="12" fillId="6" borderId="4" applyAlignment="1" pivotButton="0" quotePrefix="0" xfId="0">
      <alignment horizontal="center" vertical="top"/>
    </xf>
    <xf numFmtId="1" fontId="16" fillId="0" borderId="2" applyAlignment="1" pivotButton="0" quotePrefix="0" xfId="0">
      <alignment horizontal="center"/>
    </xf>
    <xf numFmtId="9" fontId="16" fillId="0" borderId="2" applyAlignment="1" pivotButton="0" quotePrefix="0" xfId="0">
      <alignment horizontal="center"/>
    </xf>
    <xf numFmtId="166" fontId="16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9" fontId="9" fillId="0" borderId="2" applyAlignment="1" pivotButton="0" quotePrefix="0" xfId="0">
      <alignment horizontal="center"/>
    </xf>
    <xf numFmtId="0" fontId="18" fillId="0" borderId="0" applyAlignment="1" pivotButton="0" quotePrefix="0" xfId="0">
      <alignment indent="1"/>
    </xf>
    <xf numFmtId="0" fontId="19" fillId="0" borderId="0" pivotButton="0" quotePrefix="0" xfId="0"/>
    <xf numFmtId="0" fontId="19" fillId="7" borderId="2" applyAlignment="1" pivotButton="0" quotePrefix="0" xfId="0">
      <alignment indent="1"/>
    </xf>
    <xf numFmtId="0" fontId="20" fillId="8" borderId="2" applyAlignment="1" pivotButton="0" quotePrefix="0" xfId="0">
      <alignment indent="1"/>
    </xf>
    <xf numFmtId="0" fontId="21" fillId="9" borderId="2" applyAlignment="1" pivotButton="0" quotePrefix="0" xfId="0">
      <alignment indent="1"/>
    </xf>
    <xf numFmtId="0" fontId="22" fillId="10" borderId="2" applyAlignment="1" pivotButton="0" quotePrefix="0" xfId="0">
      <alignment indent="1"/>
    </xf>
    <xf numFmtId="165" fontId="9" fillId="0" borderId="2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indent="1"/>
    </xf>
    <xf numFmtId="0" fontId="6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indent="1"/>
    </xf>
    <xf numFmtId="0" fontId="5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vertical="top" wrapText="1" indent="1"/>
    </xf>
    <xf numFmtId="0" fontId="46" fillId="6" borderId="2" applyAlignment="1" pivotButton="0" quotePrefix="0" xfId="0">
      <alignment vertical="top" wrapText="1" indent="1"/>
    </xf>
    <xf numFmtId="0" fontId="47" fillId="2" borderId="2" applyAlignment="1" pivotButton="0" quotePrefix="0" xfId="0">
      <alignment vertical="top" wrapText="1" indent="1"/>
    </xf>
    <xf numFmtId="0" fontId="48" fillId="0" borderId="2" applyAlignment="1" pivotButton="0" quotePrefix="0" xfId="0">
      <alignment vertical="top" wrapText="1" indent="1"/>
    </xf>
    <xf numFmtId="0" fontId="49" fillId="12" borderId="2" applyAlignment="1" pivotButton="0" quotePrefix="0" xfId="0">
      <alignment vertical="top" wrapText="1" indent="1"/>
    </xf>
    <xf numFmtId="0" fontId="21" fillId="9" borderId="2" applyAlignment="1" pivotButton="0" quotePrefix="0" xfId="0">
      <alignment vertical="top" wrapText="1" indent="1"/>
    </xf>
    <xf numFmtId="0" fontId="50" fillId="13" borderId="2" applyAlignment="1" pivotButton="0" quotePrefix="0" xfId="0">
      <alignment vertical="top" wrapText="1" indent="1"/>
    </xf>
    <xf numFmtId="0" fontId="51" fillId="14" borderId="2" applyAlignment="1" pivotButton="0" quotePrefix="0" xfId="0">
      <alignment vertical="top" wrapText="1" indent="1"/>
    </xf>
    <xf numFmtId="0" fontId="19" fillId="7" borderId="2" applyAlignment="1" pivotButton="0" quotePrefix="0" xfId="0">
      <alignment vertical="top" wrapText="1" indent="1"/>
    </xf>
    <xf numFmtId="0" fontId="52" fillId="15" borderId="2" applyAlignment="1" pivotButton="0" quotePrefix="0" xfId="0">
      <alignment vertical="top" wrapText="1" indent="1"/>
    </xf>
    <xf numFmtId="0" fontId="53" fillId="16" borderId="2" applyAlignment="1" pivotButton="0" quotePrefix="0" xfId="0">
      <alignment vertical="top" wrapText="1" indent="1"/>
    </xf>
    <xf numFmtId="0" fontId="54" fillId="17" borderId="2" applyAlignment="1" pivotButton="0" quotePrefix="0" xfId="0">
      <alignment vertical="top" wrapText="1" indent="1"/>
    </xf>
    <xf numFmtId="0" fontId="55" fillId="18" borderId="2" applyAlignment="1" pivotButton="0" quotePrefix="0" xfId="0">
      <alignment vertical="top" wrapText="1" indent="1"/>
    </xf>
    <xf numFmtId="0" fontId="56" fillId="19" borderId="2" applyAlignment="1" pivotButton="0" quotePrefix="0" xfId="0">
      <alignment vertical="top" wrapText="1" indent="1"/>
    </xf>
    <xf numFmtId="0" fontId="57" fillId="2" borderId="2" applyAlignment="1" pivotButton="0" quotePrefix="0" xfId="0">
      <alignment vertical="top" wrapText="1" indent="1"/>
    </xf>
    <xf numFmtId="0" fontId="20" fillId="8" borderId="2" applyAlignment="1" pivotButton="0" quotePrefix="0" xfId="0">
      <alignment vertical="top" wrapText="1" indent="1"/>
    </xf>
    <xf numFmtId="0" fontId="22" fillId="10" borderId="2" applyAlignment="1" pivotButton="0" quotePrefix="0" xfId="0">
      <alignment vertical="top" wrapText="1" indent="1"/>
    </xf>
    <xf numFmtId="0" fontId="3" fillId="0" borderId="2" applyAlignment="1" pivotButton="0" quotePrefix="0" xfId="0">
      <alignment vertical="top" wrapText="1" indent="1"/>
    </xf>
    <xf numFmtId="165" fontId="9" fillId="0" borderId="2" applyAlignment="1" pivotButton="0" quotePrefix="0" xfId="0">
      <alignment horizontal="left" vertical="top" indent="1"/>
    </xf>
    <xf numFmtId="0" fontId="12" fillId="0" borderId="2" applyAlignment="1" pivotButton="0" quotePrefix="0" xfId="0">
      <alignment vertical="top" wrapText="1" indent="1"/>
    </xf>
  </cellXfs>
  <cellStyles count="1">
    <cellStyle name="Normal" xfId="0" builtinId="0" hidden="0"/>
  </cellStyles>
  <dxfs count="36">
    <dxf>
      <font>
        <b val="1"/>
        <color rgb="00991B1B"/>
      </font>
      <fill>
        <patternFill patternType="solid">
          <fgColor rgb="00FEF2F2"/>
          <bgColor rgb="00FEF2F2"/>
        </patternFill>
      </fill>
    </dxf>
    <dxf>
      <font>
        <b val="1"/>
        <color rgb="0092400E"/>
      </font>
      <fill>
        <patternFill patternType="solid">
          <fgColor rgb="00FFFBEB"/>
          <bgColor rgb="00FFFBEB"/>
        </patternFill>
      </fill>
    </dxf>
    <dxf>
      <font>
        <b val="1"/>
        <color rgb="00166534"/>
      </font>
      <fill>
        <patternFill patternType="solid">
          <fgColor rgb="00F0FDF4"/>
          <bgColor rgb="00F0FDF4"/>
        </patternFill>
      </fill>
    </dxf>
    <dxf>
      <font>
        <b val="1"/>
        <color rgb="00B45309"/>
      </font>
    </dxf>
    <dxf>
      <font>
        <color rgb="00B91C1C"/>
      </font>
    </dxf>
    <dxf>
      <font>
        <color rgb="00B45309"/>
      </font>
    </dxf>
    <dxf>
      <border>
        <bottom style="thin">
          <color rgb="00E2E8F0"/>
        </bottom>
      </border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  <dxf>
      <font>
        <b val="1"/>
        <color rgb="0078350F"/>
      </font>
      <fill>
        <patternFill patternType="solid">
          <fgColor rgb="00FDE68A"/>
          <bgColor rgb="00FDE68A"/>
        </patternFill>
      </fill>
    </dxf>
    <dxf>
      <font>
        <b val="1"/>
        <color rgb="003730A3"/>
      </font>
      <fill>
        <patternFill patternType="solid">
          <fgColor rgb="00E0E7FF"/>
          <bgColor rgb="00E0E7FF"/>
        </patternFill>
      </fill>
    </dxf>
    <dxf>
      <font>
        <b val="1"/>
        <color rgb="00854D0E"/>
      </font>
      <fill>
        <patternFill patternType="solid">
          <fgColor rgb="00FEF9C3"/>
          <bgColor rgb="00FEF9C3"/>
        </patternFill>
      </fill>
    </dxf>
    <dxf>
      <font>
        <color rgb="00475569"/>
      </font>
    </dxf>
    <dxf>
      <font>
        <color rgb="001E40AF"/>
      </font>
      <fill>
        <patternFill patternType="solid">
          <fgColor rgb="00DBEAFE"/>
          <bgColor rgb="00DBEAFE"/>
        </patternFill>
      </fill>
    </dxf>
    <dxf>
      <font>
        <color rgb="0092400E"/>
      </font>
      <fill>
        <patternFill patternType="solid">
          <fgColor rgb="00FEF3C7"/>
          <bgColor rgb="00FEF3C7"/>
        </patternFill>
      </fill>
    </dxf>
    <dxf>
      <font>
        <color rgb="009A3412"/>
      </font>
      <fill>
        <patternFill patternType="solid">
          <fgColor rgb="00FFEDD5"/>
          <bgColor rgb="00FFEDD5"/>
        </patternFill>
      </fill>
    </dxf>
    <dxf>
      <font>
        <color rgb="005B21B6"/>
      </font>
      <fill>
        <patternFill patternType="solid">
          <fgColor rgb="00EDE9FE"/>
          <bgColor rgb="00EDE9FE"/>
        </patternFill>
      </fill>
    </dxf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FFFFFF"/>
      </font>
      <fill>
        <patternFill patternType="solid">
          <fgColor rgb="0015803D"/>
          <bgColor rgb="0015803D"/>
        </patternFill>
      </fill>
    </dxf>
    <dxf>
      <font>
        <color rgb="00991B1B"/>
      </font>
      <fill>
        <patternFill patternType="solid">
          <fgColor rgb="00FEE2E2"/>
          <bgColor rgb="00FEE2E2"/>
        </patternFill>
      </fill>
    </dxf>
    <dxf>
      <font>
        <color rgb="004B5563"/>
      </font>
      <fill>
        <patternFill patternType="solid">
          <fgColor rgb="00E5E7EB"/>
          <bgColor rgb="00E5E7EB"/>
        </patternFill>
      </fill>
    </dxf>
    <dxf>
      <font>
        <b val="1"/>
        <color rgb="00B91C1C"/>
      </font>
    </dxf>
    <dxf>
      <font>
        <b val="1"/>
        <color rgb="00991B1B"/>
      </font>
    </dxf>
    <dxf>
      <font>
        <color rgb="0064748B"/>
      </font>
    </dxf>
    <dxf>
      <font>
        <b val="1"/>
        <color rgb="00166534"/>
      </font>
    </dxf>
    <dxf>
      <font>
        <color rgb="00854D0E"/>
      </font>
      <fill>
        <patternFill patternType="solid">
          <fgColor rgb="00FEF9C3"/>
          <bgColor rgb="00FEF9C3"/>
        </patternFill>
      </fill>
    </dxf>
    <dxf>
      <font>
        <color rgb="003F6212"/>
      </font>
      <fill>
        <patternFill patternType="solid">
          <fgColor rgb="00ECFCCB"/>
          <bgColor rgb="00ECFCCB"/>
        </patternFill>
      </fill>
    </dxf>
    <dxf>
      <font>
        <color rgb="006B7280"/>
      </font>
      <fill>
        <patternFill patternType="solid">
          <fgColor rgb="00F3F4F6"/>
          <bgColor rgb="00F3F4F6"/>
        </patternFill>
      </fill>
    </dxf>
    <dxf>
      <fill>
        <patternFill patternType="solid">
          <fgColor rgb="00FAFBFD"/>
          <bgColor rgb="00FAFBFD"/>
        </patternFill>
      </fill>
    </dxf>
    <dxf>
      <font>
        <color rgb="00991B1B"/>
      </font>
    </dxf>
    <dxf>
      <font>
        <color rgb="0094A3B8"/>
      </font>
    </dxf>
    <dxf>
      <font>
        <color rgb="003F6212"/>
      </font>
    </dxf>
    <dxf>
      <font>
        <color rgb="00166534"/>
      </font>
    </dxf>
    <dxf>
      <font>
        <b val="1"/>
        <color rgb="001E40AF"/>
      </font>
    </dxf>
    <dxf>
      <font>
        <color rgb="001E293B"/>
      </font>
    </dxf>
    <dxf>
      <font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2563E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spPr>
          <dLbls>
            <numFmt formatCode="0;-0;;" sourceLinked="0"/>
            <txPr>
              <a:bodyPr/>
              <a:p>
                <a:pPr>
                  <a:defRPr sz="900" b="1">
                    <a:solidFill>
                      <a:srgbClr val="1E293B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E293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'Analytics'!$B$71:$B$82</f>
            </numRef>
          </cat>
          <val>
            <numRef>
              <f>'Analytics'!$D$71:$D$82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CBD5E1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64748B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51</row>
      <rowOff>0</rowOff>
    </from>
    <ext cx="84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B1:M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1" customWidth="1" min="4" max="4"/>
    <col width="16" customWidth="1" min="5" max="5"/>
    <col width="3" customWidth="1" min="6" max="6"/>
    <col width="16" customWidth="1" min="7" max="7"/>
    <col width="15" customWidth="1" min="8" max="8"/>
    <col width="11" customWidth="1" min="9" max="9"/>
    <col width="16" customWidth="1" min="10" max="10"/>
    <col width="2" customWidth="1" min="11" max="11"/>
    <col hidden="1" width="6" customWidth="1" min="12" max="12"/>
    <col hidden="1" width="6" customWidth="1" min="13" max="13"/>
  </cols>
  <sheetData>
    <row r="1" ht="34" customHeight="1">
      <c r="B1" s="1" t="inlineStr">
        <is>
          <t>Job Search Dashboard</t>
        </is>
      </c>
      <c r="I1" s="2" t="inlineStr">
        <is>
          <t>As of</t>
        </is>
      </c>
      <c r="J1" s="3">
        <f>TODAY()</f>
        <v/>
      </c>
    </row>
    <row r="2">
      <c r="B2" s="4" t="inlineStr">
        <is>
          <t>AI Engineer · Generative AI · Agentic AI · AI Automation · AI Solutions  —  Stuttgart region, Germany &amp; remote</t>
        </is>
      </c>
    </row>
    <row r="3" ht="8" customHeight="1"/>
    <row r="4">
      <c r="B4" s="5" t="inlineStr">
        <is>
          <t>OVERVIEW</t>
        </is>
      </c>
    </row>
    <row r="5" ht="20" customHeight="1">
      <c r="B5" s="6" t="inlineStr">
        <is>
          <t>Total Applications</t>
        </is>
      </c>
      <c r="C5" s="7" t="n"/>
      <c r="D5" s="6" t="inlineStr">
        <is>
          <t>Applications This Week</t>
        </is>
      </c>
      <c r="E5" s="7" t="n"/>
      <c r="G5" s="6" t="inlineStr">
        <is>
          <t>Applications This Month</t>
        </is>
      </c>
      <c r="H5" s="7" t="n"/>
      <c r="I5" s="6" t="inlineStr">
        <is>
          <t>Active Applications</t>
        </is>
      </c>
      <c r="J5" s="7" t="n"/>
    </row>
    <row r="6" ht="34" customHeight="1">
      <c r="B6" s="8">
        <f>COUNTIFS(App_Stage,"&gt;=1")</f>
        <v/>
      </c>
      <c r="C6" s="9" t="n"/>
      <c r="D6" s="8">
        <f>COUNTIFS(App_DateApplied,"&gt;="&amp;(TODAY()-WEEKDAY(TODAY(),2)+1),App_DateApplied,"&lt;"&amp;(TODAY()-WEEKDAY(TODAY(),2)+8))</f>
        <v/>
      </c>
      <c r="E6" s="9" t="n"/>
      <c r="G6" s="8">
        <f>COUNTIFS(App_DateApplied,"&gt;="&amp;DATE(YEAR(TODAY()),MONTH(TODAY()),1),App_DateApplied,"&lt;"&amp;(EOMONTH(TODAY(),0)+1))</f>
        <v/>
      </c>
      <c r="H6" s="9" t="n"/>
      <c r="I6" s="8">
        <f>COUNTIFS(App_Stage,"&gt;=1",App_Stage,"&lt;=6",App_Status,"&lt;&gt;Rejected",App_Status,"&lt;&gt;Withdrawn")</f>
        <v/>
      </c>
      <c r="J6" s="9" t="n"/>
    </row>
    <row r="7" ht="18" customHeight="1">
      <c r="B7" s="10" t="inlineStr">
        <is>
          <t>submitted (beyond Wishlist)</t>
        </is>
      </c>
      <c r="C7" s="11" t="n"/>
      <c r="D7" s="10" t="inlineStr">
        <is>
          <t>Mon–Sun, by Date Applied</t>
        </is>
      </c>
      <c r="E7" s="11" t="n"/>
      <c r="G7" s="10" t="inlineStr">
        <is>
          <t>calendar month, by Date Applied</t>
        </is>
      </c>
      <c r="H7" s="11" t="n"/>
      <c r="I7" s="10" t="inlineStr">
        <is>
          <t>Applied → Offer, still open</t>
        </is>
      </c>
      <c r="J7" s="11" t="n"/>
    </row>
    <row r="8" ht="8" customHeight="1"/>
    <row r="9" ht="20" customHeight="1">
      <c r="B9" s="12" t="inlineStr">
        <is>
          <t>Interviews</t>
        </is>
      </c>
      <c r="C9" s="7" t="n"/>
      <c r="D9" s="13" t="inlineStr">
        <is>
          <t>Final Rounds</t>
        </is>
      </c>
      <c r="E9" s="7" t="n"/>
      <c r="G9" s="14" t="inlineStr">
        <is>
          <t>Offers</t>
        </is>
      </c>
      <c r="H9" s="7" t="n"/>
      <c r="I9" s="15" t="inlineStr">
        <is>
          <t>Accepted</t>
        </is>
      </c>
      <c r="J9" s="7" t="n"/>
    </row>
    <row r="10" ht="34" customHeight="1">
      <c r="B10" s="16">
        <f>COUNTIFS(App_Stage,"&gt;=3")</f>
        <v/>
      </c>
      <c r="C10" s="9" t="n"/>
      <c r="D10" s="17">
        <f>COUNTIFS(App_Stage,"&gt;=5")</f>
        <v/>
      </c>
      <c r="E10" s="9" t="n"/>
      <c r="G10" s="18">
        <f>COUNTIFS(App_Stage,"&gt;=6")</f>
        <v/>
      </c>
      <c r="H10" s="9" t="n"/>
      <c r="I10" s="19">
        <f>COUNTIF(App_Status,"Accepted")</f>
        <v/>
      </c>
      <c r="J10" s="9" t="n"/>
    </row>
    <row r="11" ht="18" customHeight="1">
      <c r="B11" s="20" t="inlineStr">
        <is>
          <t>reached Interview 1 or later</t>
        </is>
      </c>
      <c r="C11" s="11" t="n"/>
      <c r="D11" s="21" t="inlineStr">
        <is>
          <t>reached the final round</t>
        </is>
      </c>
      <c r="E11" s="11" t="n"/>
      <c r="G11" s="22" t="inlineStr">
        <is>
          <t>offers received</t>
        </is>
      </c>
      <c r="H11" s="11" t="n"/>
      <c r="I11" s="23" t="inlineStr">
        <is>
          <t>offers accepted</t>
        </is>
      </c>
      <c r="J11" s="11" t="n"/>
    </row>
    <row r="12" ht="10" customHeight="1"/>
    <row r="13" ht="28" customHeight="1">
      <c r="B13" s="24">
        <f>IF($M$13=0,"✓  Nothing due — all follow-ups are on track.","Today:  "&amp;'Follow-Ups'!$B$6&amp;" overdue · "&amp;'Follow-Ups'!$C$6&amp;" due today · "&amp;'Follow-Ups'!$D$6&amp;" no response · "&amp;'Follow-Ups'!$E$6&amp;" due soon · "&amp;'Follow-Ups'!$F$6&amp;" contact follow-ups · "&amp;'Follow-Ups'!$G$6&amp;" upcoming interviews   →  Follow-Ups tab")</f>
        <v/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L13">
        <f>'Follow-Ups'!$B$6</f>
        <v/>
      </c>
      <c r="M13">
        <f>SUM('Follow-Ups'!$B$6:$G$6)</f>
        <v/>
      </c>
    </row>
    <row r="14" ht="12" customHeight="1"/>
    <row r="15">
      <c r="B15" s="5" t="inlineStr">
        <is>
          <t>PIPELINE · CURRENT STATUS</t>
        </is>
      </c>
      <c r="G15" s="5" t="inlineStr">
        <is>
          <t>CONVERSION</t>
        </is>
      </c>
    </row>
    <row r="16">
      <c r="B16" s="26" t="inlineStr">
        <is>
          <t>Status</t>
        </is>
      </c>
      <c r="C16" s="26" t="inlineStr"/>
      <c r="D16" s="27" t="inlineStr">
        <is>
          <t>Count</t>
        </is>
      </c>
      <c r="E16" s="26" t="inlineStr"/>
      <c r="G16" s="26" t="inlineStr">
        <is>
          <t>Metric</t>
        </is>
      </c>
      <c r="H16" s="26" t="inlineStr"/>
      <c r="I16" s="27" t="inlineStr">
        <is>
          <t>Rate</t>
        </is>
      </c>
      <c r="J16" s="26" t="inlineStr">
        <is>
          <t>Basis</t>
        </is>
      </c>
    </row>
    <row r="17" ht="18" customHeight="1">
      <c r="B17" s="28" t="inlineStr">
        <is>
          <t>Wishlist</t>
        </is>
      </c>
      <c r="C17" s="29" t="n"/>
      <c r="D17" s="30">
        <f>COUNTIF(App_Status,$B17)</f>
        <v/>
      </c>
      <c r="E17" s="31">
        <f>IF(OR(NOT(ISNUMBER(D17)),MAX($D$17:$D$26)&lt;=0),"",IF(D17&lt;=0,"",REPT("█",MAX(1,ROUND(D17/MAX($D$17:$D$26)*14,0)))))</f>
        <v/>
      </c>
      <c r="G17" s="32" t="inlineStr">
        <is>
          <t>Application → Interview</t>
        </is>
      </c>
      <c r="H17" s="29" t="n"/>
      <c r="I17" s="33">
        <f>IF(B6=0,"–",B10/B6)</f>
        <v/>
      </c>
      <c r="J17" s="34">
        <f>B10&amp;" of "&amp;B6</f>
        <v/>
      </c>
    </row>
    <row r="18" ht="18" customHeight="1">
      <c r="B18" s="35" t="inlineStr">
        <is>
          <t>Applied</t>
        </is>
      </c>
      <c r="C18" s="29" t="n"/>
      <c r="D18" s="30">
        <f>COUNTIF(App_Status,$B18)</f>
        <v/>
      </c>
      <c r="E18" s="36">
        <f>IF(OR(NOT(ISNUMBER(D18)),MAX($D$17:$D$26)&lt;=0),"",IF(D18&lt;=0,"",REPT("█",MAX(1,ROUND(D18/MAX($D$17:$D$26)*14,0)))))</f>
        <v/>
      </c>
      <c r="G18" s="32" t="inlineStr">
        <is>
          <t>Interview → Final</t>
        </is>
      </c>
      <c r="H18" s="29" t="n"/>
      <c r="I18" s="33">
        <f>IF(B10=0,"–",D10/B10)</f>
        <v/>
      </c>
      <c r="J18" s="34">
        <f>D10&amp;" of "&amp;B10</f>
        <v/>
      </c>
    </row>
    <row r="19" ht="18" customHeight="1">
      <c r="B19" s="37" t="inlineStr">
        <is>
          <t>Screening</t>
        </is>
      </c>
      <c r="C19" s="29" t="n"/>
      <c r="D19" s="30">
        <f>COUNTIF(App_Status,$B19)</f>
        <v/>
      </c>
      <c r="E19" s="38">
        <f>IF(OR(NOT(ISNUMBER(D19)),MAX($D$17:$D$26)&lt;=0),"",IF(D19&lt;=0,"",REPT("█",MAX(1,ROUND(D19/MAX($D$17:$D$26)*14,0)))))</f>
        <v/>
      </c>
      <c r="G19" s="32" t="inlineStr">
        <is>
          <t>Final → Offer</t>
        </is>
      </c>
      <c r="H19" s="29" t="n"/>
      <c r="I19" s="33">
        <f>IF(D10=0,"–",G10/D10)</f>
        <v/>
      </c>
      <c r="J19" s="34">
        <f>G10&amp;" of "&amp;D10</f>
        <v/>
      </c>
    </row>
    <row r="20" ht="18" customHeight="1">
      <c r="B20" s="39" t="inlineStr">
        <is>
          <t>Interview 1</t>
        </is>
      </c>
      <c r="C20" s="29" t="n"/>
      <c r="D20" s="30">
        <f>COUNTIF(App_Status,$B20)</f>
        <v/>
      </c>
      <c r="E20" s="40">
        <f>IF(OR(NOT(ISNUMBER(D20)),MAX($D$17:$D$26)&lt;=0),"",IF(D20&lt;=0,"",REPT("█",MAX(1,ROUND(D20/MAX($D$17:$D$26)*14,0)))))</f>
        <v/>
      </c>
      <c r="G20" s="32" t="inlineStr">
        <is>
          <t>Overall Offer Rate</t>
        </is>
      </c>
      <c r="H20" s="29" t="n"/>
      <c r="I20" s="33">
        <f>IF(B6=0,"–",G10/B6)</f>
        <v/>
      </c>
      <c r="J20" s="34">
        <f>G10&amp;" of "&amp;B6</f>
        <v/>
      </c>
    </row>
    <row r="21" ht="18" customHeight="1">
      <c r="B21" s="39" t="inlineStr">
        <is>
          <t>Interview 2</t>
        </is>
      </c>
      <c r="C21" s="29" t="n"/>
      <c r="D21" s="30">
        <f>COUNTIF(App_Status,$B21)</f>
        <v/>
      </c>
      <c r="E21" s="40">
        <f>IF(OR(NOT(ISNUMBER(D21)),MAX($D$17:$D$26)&lt;=0),"",IF(D21&lt;=0,"",REPT("█",MAX(1,ROUND(D21/MAX($D$17:$D$26)*14,0)))))</f>
        <v/>
      </c>
      <c r="G21" s="32" t="inlineStr">
        <is>
          <t>Avg. Days to First Response</t>
        </is>
      </c>
      <c r="H21" s="29" t="n"/>
      <c r="I21" s="41">
        <f>IF(COUNT(App_DaysToResp)=0,"–",AVERAGE(App_DaysToResp))</f>
        <v/>
      </c>
      <c r="J21" s="34">
        <f>"from "&amp;COUNT(App_DaysToResp)&amp;" replies"</f>
        <v/>
      </c>
    </row>
    <row r="22" ht="18" customHeight="1">
      <c r="B22" s="42" t="inlineStr">
        <is>
          <t>Final</t>
        </is>
      </c>
      <c r="C22" s="29" t="n"/>
      <c r="D22" s="30">
        <f>COUNTIF(App_Status,$B22)</f>
        <v/>
      </c>
      <c r="E22" s="43">
        <f>IF(OR(NOT(ISNUMBER(D22)),MAX($D$17:$D$26)&lt;=0),"",IF(D22&lt;=0,"",REPT("█",MAX(1,ROUND(D22/MAX($D$17:$D$26)*14,0)))))</f>
        <v/>
      </c>
    </row>
    <row r="23" ht="18" customHeight="1">
      <c r="B23" s="44" t="inlineStr">
        <is>
          <t>Offer</t>
        </is>
      </c>
      <c r="C23" s="29" t="n"/>
      <c r="D23" s="30">
        <f>COUNTIF(App_Status,$B23)</f>
        <v/>
      </c>
      <c r="E23" s="45">
        <f>IF(OR(NOT(ISNUMBER(D23)),MAX($D$17:$D$26)&lt;=0),"",IF(D23&lt;=0,"",REPT("█",MAX(1,ROUND(D23/MAX($D$17:$D$26)*14,0)))))</f>
        <v/>
      </c>
      <c r="G23" s="5" t="inlineStr">
        <is>
          <t>DATA CHECKS</t>
        </is>
      </c>
    </row>
    <row r="24" ht="18" customHeight="1">
      <c r="B24" s="46" t="inlineStr">
        <is>
          <t>Accepted</t>
        </is>
      </c>
      <c r="C24" s="29" t="n"/>
      <c r="D24" s="30">
        <f>COUNTIF(App_Status,$B24)</f>
        <v/>
      </c>
      <c r="E24" s="47">
        <f>IF(OR(NOT(ISNUMBER(D24)),MAX($D$17:$D$26)&lt;=0),"",IF(D24&lt;=0,"",REPT("█",MAX(1,ROUND(D24/MAX($D$17:$D$26)*14,0)))))</f>
        <v/>
      </c>
      <c r="G24" s="48" t="inlineStr">
        <is>
          <t>Submitted, but no Date Applied</t>
        </is>
      </c>
      <c r="H24" s="29" t="n"/>
      <c r="I24" s="30">
        <f>SUMPRODUCT(ISNUMBER(App_Stage)*(App_Stage&gt;=1)*NOT(ISNUMBER(App_DateApplied)))</f>
        <v/>
      </c>
      <c r="J24" s="34">
        <f>IF(I24=0,"✓ ok","⚠ fix on Applications")</f>
        <v/>
      </c>
    </row>
    <row r="25" ht="18" customHeight="1">
      <c r="B25" s="49" t="inlineStr">
        <is>
          <t>Rejected</t>
        </is>
      </c>
      <c r="C25" s="29" t="n"/>
      <c r="D25" s="30">
        <f>COUNTIF(App_Status,$B25)</f>
        <v/>
      </c>
      <c r="E25" s="50">
        <f>IF(OR(NOT(ISNUMBER(D25)),MAX($D$17:$D$26)&lt;=0),"",IF(D25&lt;=0,"",REPT("█",MAX(1,ROUND(D25/MAX($D$17:$D$26)*14,0)))))</f>
        <v/>
      </c>
      <c r="G25" s="48" t="inlineStr">
        <is>
          <t>Submitted, but no Role Category</t>
        </is>
      </c>
      <c r="H25" s="29" t="n"/>
      <c r="I25" s="30">
        <f>SUMPRODUCT(ISNUMBER(App_Stage)*(App_Stage&gt;=1)*(App_Role=""))</f>
        <v/>
      </c>
      <c r="J25" s="34">
        <f>IF(I25=0,"✓ ok","⚠ fix on Applications")</f>
        <v/>
      </c>
    </row>
    <row r="26" ht="18" customHeight="1">
      <c r="B26" s="51" t="inlineStr">
        <is>
          <t>Withdrawn</t>
        </is>
      </c>
      <c r="C26" s="29" t="n"/>
      <c r="D26" s="30">
        <f>COUNTIF(App_Status,$B26)</f>
        <v/>
      </c>
      <c r="E26" s="52">
        <f>IF(OR(NOT(ISNUMBER(D26)),MAX($D$17:$D$26)&lt;=0),"",IF(D26&lt;=0,"",REPT("█",MAX(1,ROUND(D26/MAX($D$17:$D$26)*14,0)))))</f>
        <v/>
      </c>
      <c r="G26" s="48" t="inlineStr">
        <is>
          <t>Duplicate Application IDs</t>
        </is>
      </c>
      <c r="H26" s="29" t="n"/>
      <c r="I26" s="30">
        <f>SUMPRODUCT(ISNUMBER(App_ID)*(COUNTIF(App_ID,App_ID)&gt;1))</f>
        <v/>
      </c>
      <c r="J26" s="34">
        <f>IF(I26=0,"✓ ok","⚠ fix on Applications")</f>
        <v/>
      </c>
    </row>
    <row r="28">
      <c r="B28" s="5" t="inlineStr">
        <is>
          <t>APPLICATIONS BY ROLE</t>
        </is>
      </c>
      <c r="G28" s="5" t="inlineStr">
        <is>
          <t>APPLICATIONS BY SOURCE</t>
        </is>
      </c>
    </row>
    <row r="29">
      <c r="B29" s="26" t="inlineStr"/>
      <c r="C29" s="26" t="inlineStr"/>
      <c r="D29" s="27" t="inlineStr">
        <is>
          <t>Apps</t>
        </is>
      </c>
      <c r="E29" s="26" t="inlineStr"/>
      <c r="G29" s="26" t="inlineStr"/>
      <c r="H29" s="26" t="inlineStr"/>
      <c r="I29" s="27" t="inlineStr">
        <is>
          <t>Apps</t>
        </is>
      </c>
      <c r="J29" s="26" t="inlineStr"/>
    </row>
    <row r="30" ht="18" customHeight="1">
      <c r="B30" s="32">
        <f>Settings!$J$13</f>
        <v/>
      </c>
      <c r="C30" s="29" t="n"/>
      <c r="D30" s="30">
        <f>COUNTIFS(App_Role,$B30,App_Stage,"&gt;=1")</f>
        <v/>
      </c>
      <c r="E30" s="53">
        <f>IF(OR(NOT(ISNUMBER(D30)),MAX($D$30:$D$41)&lt;=0),"",IF(D30&lt;=0,"",REPT("█",MAX(1,ROUND(D30/MAX($D$30:$D$41)*14,0)))))</f>
        <v/>
      </c>
      <c r="G30" s="32">
        <f>Settings!$D$13</f>
        <v/>
      </c>
      <c r="H30" s="29" t="n"/>
      <c r="I30" s="30">
        <f>COUNTIFS(App_Source,$G30,App_Stage,"&gt;=1")</f>
        <v/>
      </c>
      <c r="J30" s="53">
        <f>IF(OR(NOT(ISNUMBER(I30)),MAX($I$30:$I$40)&lt;=0),"",IF(I30&lt;=0,"",REPT("█",MAX(1,ROUND(I30/MAX($I$30:$I$40)*14,0)))))</f>
        <v/>
      </c>
    </row>
    <row r="31" ht="18" customHeight="1">
      <c r="B31" s="32">
        <f>Settings!$J$14</f>
        <v/>
      </c>
      <c r="C31" s="29" t="n"/>
      <c r="D31" s="30">
        <f>COUNTIFS(App_Role,$B31,App_Stage,"&gt;=1")</f>
        <v/>
      </c>
      <c r="E31" s="53">
        <f>IF(OR(NOT(ISNUMBER(D31)),MAX($D$30:$D$41)&lt;=0),"",IF(D31&lt;=0,"",REPT("█",MAX(1,ROUND(D31/MAX($D$30:$D$41)*14,0)))))</f>
        <v/>
      </c>
      <c r="G31" s="32">
        <f>Settings!$D$14</f>
        <v/>
      </c>
      <c r="H31" s="29" t="n"/>
      <c r="I31" s="30">
        <f>COUNTIFS(App_Source,$G31,App_Stage,"&gt;=1")</f>
        <v/>
      </c>
      <c r="J31" s="53">
        <f>IF(OR(NOT(ISNUMBER(I31)),MAX($I$30:$I$40)&lt;=0),"",IF(I31&lt;=0,"",REPT("█",MAX(1,ROUND(I31/MAX($I$30:$I$40)*14,0)))))</f>
        <v/>
      </c>
    </row>
    <row r="32" ht="18" customHeight="1">
      <c r="B32" s="32">
        <f>Settings!$J$15</f>
        <v/>
      </c>
      <c r="C32" s="29" t="n"/>
      <c r="D32" s="30">
        <f>COUNTIFS(App_Role,$B32,App_Stage,"&gt;=1")</f>
        <v/>
      </c>
      <c r="E32" s="53">
        <f>IF(OR(NOT(ISNUMBER(D32)),MAX($D$30:$D$41)&lt;=0),"",IF(D32&lt;=0,"",REPT("█",MAX(1,ROUND(D32/MAX($D$30:$D$41)*14,0)))))</f>
        <v/>
      </c>
      <c r="G32" s="32">
        <f>Settings!$D$15</f>
        <v/>
      </c>
      <c r="H32" s="29" t="n"/>
      <c r="I32" s="30">
        <f>COUNTIFS(App_Source,$G32,App_Stage,"&gt;=1")</f>
        <v/>
      </c>
      <c r="J32" s="53">
        <f>IF(OR(NOT(ISNUMBER(I32)),MAX($I$30:$I$40)&lt;=0),"",IF(I32&lt;=0,"",REPT("█",MAX(1,ROUND(I32/MAX($I$30:$I$40)*14,0)))))</f>
        <v/>
      </c>
    </row>
    <row r="33" ht="18" customHeight="1">
      <c r="B33" s="32">
        <f>Settings!$J$16</f>
        <v/>
      </c>
      <c r="C33" s="29" t="n"/>
      <c r="D33" s="30">
        <f>COUNTIFS(App_Role,$B33,App_Stage,"&gt;=1")</f>
        <v/>
      </c>
      <c r="E33" s="53">
        <f>IF(OR(NOT(ISNUMBER(D33)),MAX($D$30:$D$41)&lt;=0),"",IF(D33&lt;=0,"",REPT("█",MAX(1,ROUND(D33/MAX($D$30:$D$41)*14,0)))))</f>
        <v/>
      </c>
      <c r="G33" s="32">
        <f>Settings!$D$16</f>
        <v/>
      </c>
      <c r="H33" s="29" t="n"/>
      <c r="I33" s="30">
        <f>COUNTIFS(App_Source,$G33,App_Stage,"&gt;=1")</f>
        <v/>
      </c>
      <c r="J33" s="53">
        <f>IF(OR(NOT(ISNUMBER(I33)),MAX($I$30:$I$40)&lt;=0),"",IF(I33&lt;=0,"",REPT("█",MAX(1,ROUND(I33/MAX($I$30:$I$40)*14,0)))))</f>
        <v/>
      </c>
    </row>
    <row r="34" ht="18" customHeight="1">
      <c r="B34" s="32">
        <f>Settings!$J$17</f>
        <v/>
      </c>
      <c r="C34" s="29" t="n"/>
      <c r="D34" s="30">
        <f>COUNTIFS(App_Role,$B34,App_Stage,"&gt;=1")</f>
        <v/>
      </c>
      <c r="E34" s="53">
        <f>IF(OR(NOT(ISNUMBER(D34)),MAX($D$30:$D$41)&lt;=0),"",IF(D34&lt;=0,"",REPT("█",MAX(1,ROUND(D34/MAX($D$30:$D$41)*14,0)))))</f>
        <v/>
      </c>
      <c r="G34" s="32">
        <f>Settings!$D$17</f>
        <v/>
      </c>
      <c r="H34" s="29" t="n"/>
      <c r="I34" s="30">
        <f>COUNTIFS(App_Source,$G34,App_Stage,"&gt;=1")</f>
        <v/>
      </c>
      <c r="J34" s="53">
        <f>IF(OR(NOT(ISNUMBER(I34)),MAX($I$30:$I$40)&lt;=0),"",IF(I34&lt;=0,"",REPT("█",MAX(1,ROUND(I34/MAX($I$30:$I$40)*14,0)))))</f>
        <v/>
      </c>
    </row>
    <row r="35" ht="18" customHeight="1">
      <c r="B35" s="32">
        <f>Settings!$J$18</f>
        <v/>
      </c>
      <c r="C35" s="29" t="n"/>
      <c r="D35" s="30">
        <f>COUNTIFS(App_Role,$B35,App_Stage,"&gt;=1")</f>
        <v/>
      </c>
      <c r="E35" s="53">
        <f>IF(OR(NOT(ISNUMBER(D35)),MAX($D$30:$D$41)&lt;=0),"",IF(D35&lt;=0,"",REPT("█",MAX(1,ROUND(D35/MAX($D$30:$D$41)*14,0)))))</f>
        <v/>
      </c>
      <c r="G35" s="32">
        <f>Settings!$D$18</f>
        <v/>
      </c>
      <c r="H35" s="29" t="n"/>
      <c r="I35" s="30">
        <f>COUNTIFS(App_Source,$G35,App_Stage,"&gt;=1")</f>
        <v/>
      </c>
      <c r="J35" s="53">
        <f>IF(OR(NOT(ISNUMBER(I35)),MAX($I$30:$I$40)&lt;=0),"",IF(I35&lt;=0,"",REPT("█",MAX(1,ROUND(I35/MAX($I$30:$I$40)*14,0)))))</f>
        <v/>
      </c>
    </row>
    <row r="36" ht="18" customHeight="1">
      <c r="B36" s="32">
        <f>Settings!$J$19</f>
        <v/>
      </c>
      <c r="C36" s="29" t="n"/>
      <c r="D36" s="30">
        <f>COUNTIFS(App_Role,$B36,App_Stage,"&gt;=1")</f>
        <v/>
      </c>
      <c r="E36" s="53">
        <f>IF(OR(NOT(ISNUMBER(D36)),MAX($D$30:$D$41)&lt;=0),"",IF(D36&lt;=0,"",REPT("█",MAX(1,ROUND(D36/MAX($D$30:$D$41)*14,0)))))</f>
        <v/>
      </c>
      <c r="G36" s="32">
        <f>Settings!$D$19</f>
        <v/>
      </c>
      <c r="H36" s="29" t="n"/>
      <c r="I36" s="30">
        <f>COUNTIFS(App_Source,$G36,App_Stage,"&gt;=1")</f>
        <v/>
      </c>
      <c r="J36" s="53">
        <f>IF(OR(NOT(ISNUMBER(I36)),MAX($I$30:$I$40)&lt;=0),"",IF(I36&lt;=0,"",REPT("█",MAX(1,ROUND(I36/MAX($I$30:$I$40)*14,0)))))</f>
        <v/>
      </c>
    </row>
    <row r="37" ht="18" customHeight="1">
      <c r="B37" s="32">
        <f>Settings!$J$20</f>
        <v/>
      </c>
      <c r="C37" s="29" t="n"/>
      <c r="D37" s="30">
        <f>COUNTIFS(App_Role,$B37,App_Stage,"&gt;=1")</f>
        <v/>
      </c>
      <c r="E37" s="53">
        <f>IF(OR(NOT(ISNUMBER(D37)),MAX($D$30:$D$41)&lt;=0),"",IF(D37&lt;=0,"",REPT("█",MAX(1,ROUND(D37/MAX($D$30:$D$41)*14,0)))))</f>
        <v/>
      </c>
      <c r="G37" s="32">
        <f>Settings!$D$20</f>
        <v/>
      </c>
      <c r="H37" s="29" t="n"/>
      <c r="I37" s="30">
        <f>COUNTIFS(App_Source,$G37,App_Stage,"&gt;=1")</f>
        <v/>
      </c>
      <c r="J37" s="53">
        <f>IF(OR(NOT(ISNUMBER(I37)),MAX($I$30:$I$40)&lt;=0),"",IF(I37&lt;=0,"",REPT("█",MAX(1,ROUND(I37/MAX($I$30:$I$40)*14,0)))))</f>
        <v/>
      </c>
    </row>
    <row r="38" ht="18" customHeight="1">
      <c r="B38" s="32">
        <f>Settings!$J$21</f>
        <v/>
      </c>
      <c r="C38" s="29" t="n"/>
      <c r="D38" s="30">
        <f>COUNTIFS(App_Role,$B38,App_Stage,"&gt;=1")</f>
        <v/>
      </c>
      <c r="E38" s="53">
        <f>IF(OR(NOT(ISNUMBER(D38)),MAX($D$30:$D$41)&lt;=0),"",IF(D38&lt;=0,"",REPT("█",MAX(1,ROUND(D38/MAX($D$30:$D$41)*14,0)))))</f>
        <v/>
      </c>
      <c r="G38" s="32">
        <f>Settings!$D$21</f>
        <v/>
      </c>
      <c r="H38" s="29" t="n"/>
      <c r="I38" s="30">
        <f>COUNTIFS(App_Source,$G38,App_Stage,"&gt;=1")</f>
        <v/>
      </c>
      <c r="J38" s="53">
        <f>IF(OR(NOT(ISNUMBER(I38)),MAX($I$30:$I$40)&lt;=0),"",IF(I38&lt;=0,"",REPT("█",MAX(1,ROUND(I38/MAX($I$30:$I$40)*14,0)))))</f>
        <v/>
      </c>
    </row>
    <row r="39" ht="18" customHeight="1">
      <c r="B39" s="32">
        <f>Settings!$J$22</f>
        <v/>
      </c>
      <c r="C39" s="29" t="n"/>
      <c r="D39" s="30">
        <f>COUNTIFS(App_Role,$B39,App_Stage,"&gt;=1")</f>
        <v/>
      </c>
      <c r="E39" s="53">
        <f>IF(OR(NOT(ISNUMBER(D39)),MAX($D$30:$D$41)&lt;=0),"",IF(D39&lt;=0,"",REPT("█",MAX(1,ROUND(D39/MAX($D$30:$D$41)*14,0)))))</f>
        <v/>
      </c>
      <c r="G39" s="32">
        <f>Settings!$D$22</f>
        <v/>
      </c>
      <c r="H39" s="29" t="n"/>
      <c r="I39" s="30">
        <f>COUNTIFS(App_Source,$G39,App_Stage,"&gt;=1")</f>
        <v/>
      </c>
      <c r="J39" s="53">
        <f>IF(OR(NOT(ISNUMBER(I39)),MAX($I$30:$I$40)&lt;=0),"",IF(I39&lt;=0,"",REPT("█",MAX(1,ROUND(I39/MAX($I$30:$I$40)*14,0)))))</f>
        <v/>
      </c>
    </row>
    <row r="40" ht="18" customHeight="1">
      <c r="B40" s="32">
        <f>Settings!$J$23</f>
        <v/>
      </c>
      <c r="C40" s="29" t="n"/>
      <c r="D40" s="30">
        <f>COUNTIFS(App_Role,$B40,App_Stage,"&gt;=1")</f>
        <v/>
      </c>
      <c r="E40" s="53">
        <f>IF(OR(NOT(ISNUMBER(D40)),MAX($D$30:$D$41)&lt;=0),"",IF(D40&lt;=0,"",REPT("█",MAX(1,ROUND(D40/MAX($D$30:$D$41)*14,0)))))</f>
        <v/>
      </c>
      <c r="G40" s="54" t="inlineStr">
        <is>
          <t>Not set</t>
        </is>
      </c>
      <c r="H40" s="29" t="n"/>
      <c r="I40" s="30">
        <f>MAX(0,B6-SUM(I30:I39))</f>
        <v/>
      </c>
      <c r="J40" s="31">
        <f>IF(OR(NOT(ISNUMBER(I40)),MAX($I$30:$I$40)&lt;=0),"",IF(I40&lt;=0,"",REPT("█",MAX(1,ROUND(I40/MAX($I$30:$I$40)*14,0)))))</f>
        <v/>
      </c>
    </row>
    <row r="41" ht="18" customHeight="1">
      <c r="B41" s="54" t="inlineStr">
        <is>
          <t>Not set</t>
        </is>
      </c>
      <c r="C41" s="29" t="n"/>
      <c r="D41" s="30">
        <f>MAX(0,B6-SUM(D30:D40))</f>
        <v/>
      </c>
      <c r="E41" s="31">
        <f>IF(OR(NOT(ISNUMBER(D41)),MAX($D$30:$D$41)&lt;=0),"",IF(D41&lt;=0,"",REPT("█",MAX(1,ROUND(D41/MAX($D$30:$D$41)*14,0)))))</f>
        <v/>
      </c>
    </row>
    <row r="43">
      <c r="B43" s="5" t="inlineStr">
        <is>
          <t>MATCH QUALITY · YOUR OWN ASSESSMENT</t>
        </is>
      </c>
      <c r="G43" s="5" t="inlineStr">
        <is>
          <t>TOP PERFORMERS · INTERVIEW RATE</t>
        </is>
      </c>
    </row>
    <row r="44">
      <c r="B44" s="26" t="inlineStr"/>
      <c r="C44" s="26" t="inlineStr"/>
      <c r="D44" s="27" t="inlineStr">
        <is>
          <t>Apps</t>
        </is>
      </c>
      <c r="E44" s="26" t="inlineStr"/>
      <c r="G44" s="26" t="inlineStr"/>
      <c r="H44" s="26" t="inlineStr"/>
      <c r="I44" s="26" t="inlineStr"/>
      <c r="J44" s="26" t="inlineStr"/>
    </row>
    <row r="45" ht="18" customHeight="1">
      <c r="B45" s="55" t="inlineStr">
        <is>
          <t>Excellent Match · 90–100%</t>
        </is>
      </c>
      <c r="C45" s="29" t="n"/>
      <c r="D45" s="30">
        <f>COUNTIFS(App_MatchCat,"Excellent Match",App_Stage,"&gt;=1")</f>
        <v/>
      </c>
      <c r="E45" s="53">
        <f>IF(OR(NOT(ISNUMBER(D45)),MAX($D$45:$D$49)&lt;=0),"",IF(D45&lt;=0,"",REPT("█",MAX(1,ROUND(D45/MAX($D$45:$D$49)*14,0)))))</f>
        <v/>
      </c>
      <c r="G45" s="56" t="inlineStr">
        <is>
          <t>CV version</t>
        </is>
      </c>
      <c r="H45" s="57">
        <f>Analytics!C23</f>
        <v/>
      </c>
      <c r="I45" s="29" t="n"/>
      <c r="J45" s="29" t="n"/>
    </row>
    <row r="46" ht="18" customHeight="1">
      <c r="B46" s="58" t="inlineStr">
        <is>
          <t>Strong Match · 75–89%</t>
        </is>
      </c>
      <c r="C46" s="29" t="n"/>
      <c r="D46" s="30">
        <f>COUNTIFS(App_MatchCat,"Strong Match",App_Stage,"&gt;=1")</f>
        <v/>
      </c>
      <c r="E46" s="53">
        <f>IF(OR(NOT(ISNUMBER(D46)),MAX($D$45:$D$49)&lt;=0),"",IF(D46&lt;=0,"",REPT("█",MAX(1,ROUND(D46/MAX($D$45:$D$49)*14,0)))))</f>
        <v/>
      </c>
      <c r="G46" s="56" t="inlineStr">
        <is>
          <t>Source</t>
        </is>
      </c>
      <c r="H46" s="57">
        <f>Analytics!C56</f>
        <v/>
      </c>
      <c r="I46" s="29" t="n"/>
      <c r="J46" s="29" t="n"/>
    </row>
    <row r="47" ht="18" customHeight="1">
      <c r="B47" s="59" t="inlineStr">
        <is>
          <t>Moderate Match · 60–74%</t>
        </is>
      </c>
      <c r="C47" s="29" t="n"/>
      <c r="D47" s="30">
        <f>COUNTIFS(App_MatchCat,"Moderate Match",App_Stage,"&gt;=1")</f>
        <v/>
      </c>
      <c r="E47" s="53">
        <f>IF(OR(NOT(ISNUMBER(D47)),MAX($D$45:$D$49)&lt;=0),"",IF(D47&lt;=0,"",REPT("█",MAX(1,ROUND(D47/MAX($D$45:$D$49)*14,0)))))</f>
        <v/>
      </c>
      <c r="G47" s="56" t="inlineStr">
        <is>
          <t>Role category</t>
        </is>
      </c>
      <c r="H47" s="57">
        <f>Analytics!C40</f>
        <v/>
      </c>
      <c r="I47" s="29" t="n"/>
      <c r="J47" s="29" t="n"/>
    </row>
    <row r="48" ht="18" customHeight="1">
      <c r="B48" s="60" t="inlineStr">
        <is>
          <t>Low Match · below 60%</t>
        </is>
      </c>
      <c r="C48" s="29" t="n"/>
      <c r="D48" s="30">
        <f>COUNTIFS(App_MatchCat,"Low Match",App_Stage,"&gt;=1")</f>
        <v/>
      </c>
      <c r="E48" s="53">
        <f>IF(OR(NOT(ISNUMBER(D48)),MAX($D$45:$D$49)&lt;=0),"",IF(D48&lt;=0,"",REPT("█",MAX(1,ROUND(D48/MAX($D$45:$D$49)*14,0)))))</f>
        <v/>
      </c>
      <c r="G48" s="56" t="inlineStr">
        <is>
          <t>Match band</t>
        </is>
      </c>
      <c r="H48" s="57">
        <f>Analytics!C66</f>
        <v/>
      </c>
      <c r="I48" s="29" t="n"/>
      <c r="J48" s="29" t="n"/>
    </row>
    <row r="49" ht="18" customHeight="1">
      <c r="B49" s="61" t="inlineStr">
        <is>
          <t>Not rated</t>
        </is>
      </c>
      <c r="C49" s="29" t="n"/>
      <c r="D49" s="30">
        <f>MAX(0,B6-SUM(D45:D48))</f>
        <v/>
      </c>
      <c r="E49" s="31">
        <f>IF(OR(NOT(ISNUMBER(D49)),MAX($D$45:$D$49)&lt;=0),"",IF(D49&lt;=0,"",REPT("█",MAX(1,ROUND(D49/MAX($D$45:$D$49)*14,0)))))</f>
        <v/>
      </c>
      <c r="G49" s="62">
        <f>"Groups need ≥ "&amp;Set_MinSample&amp;" applications · details on Analytics"</f>
        <v/>
      </c>
    </row>
    <row r="51">
      <c r="B51" s="5" t="inlineStr">
        <is>
          <t>APPLICATIONS PER WEEK · LAST 12 WEEKS</t>
        </is>
      </c>
    </row>
    <row r="66">
      <c r="B66" s="63" t="inlineStr">
        <is>
          <t>New here? The Guide tab explains every column, colour and metric.</t>
        </is>
      </c>
    </row>
  </sheetData>
  <conditionalFormatting sqref="B13:J13">
    <cfRule type="expression" priority="1" dxfId="0" stopIfTrue="1">
      <formula>$L$13&gt;0</formula>
    </cfRule>
    <cfRule type="expression" priority="2" dxfId="1" stopIfTrue="1">
      <formula>$M$13&gt;0</formula>
    </cfRule>
    <cfRule type="expression" priority="3" dxfId="2" stopIfTrue="1">
      <formula>$M$13=0</formula>
    </cfRule>
  </conditionalFormatting>
  <conditionalFormatting sqref="I24:J26">
    <cfRule type="expression" priority="4" dxfId="3" stopIfTrue="1">
      <formula>$I24&gt;0</formula>
    </cfRule>
  </conditionalFormatting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B1:N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4" customWidth="1" min="3" max="3"/>
    <col width="30" customWidth="1" min="4" max="4"/>
    <col width="14" customWidth="1" min="5" max="5"/>
    <col width="28" customWidth="1" min="6" max="6"/>
    <col width="13" customWidth="1" min="7" max="7"/>
    <col width="12" customWidth="1" min="8" max="8"/>
    <col width="15" customWidth="1" min="9" max="9"/>
    <col width="11" customWidth="1" min="10" max="10"/>
    <col width="10" customWidth="1" min="11" max="11"/>
    <col width="22" customWidth="1" min="12" max="12"/>
    <col width="9" customWidth="1" min="13" max="13"/>
    <col hidden="1" width="6" customWidth="1" min="14" max="14"/>
  </cols>
  <sheetData>
    <row r="1" ht="30" customHeight="1">
      <c r="B1" s="64" t="inlineStr">
        <is>
          <t>Follow-Ups</t>
        </is>
      </c>
    </row>
    <row r="2">
      <c r="B2" s="4" t="inlineStr">
        <is>
          <t>Everything that needs your attention, most urgent first. Fills itself from Applications, Contacts and Interviews.</t>
        </is>
      </c>
    </row>
    <row r="3">
      <c r="B3" s="63">
        <f>"No-response threshold: "&amp;Set_FollowUpDays&amp;" days  ·  Due-soon window: "&amp;Set_DueSoonDays&amp;" days  ·  Upcoming interviews: next "&amp;Set_InterviewWindow&amp;" days  ·  change these on Settings"</f>
        <v/>
      </c>
    </row>
    <row r="5" ht="26" customHeight="1">
      <c r="B5" s="65" t="inlineStr">
        <is>
          <t>Follow Up Required</t>
        </is>
      </c>
      <c r="C5" s="65" t="inlineStr">
        <is>
          <t>Action Due Today</t>
        </is>
      </c>
      <c r="D5" s="65" t="inlineStr">
        <is>
          <t>No Response Yet</t>
        </is>
      </c>
      <c r="E5" s="65" t="inlineStr">
        <is>
          <t>Due Soon</t>
        </is>
      </c>
      <c r="F5" s="65" t="inlineStr">
        <is>
          <t>Contact Follow-ups</t>
        </is>
      </c>
      <c r="G5" s="65" t="inlineStr">
        <is>
          <t>Upcoming Interviews</t>
        </is>
      </c>
    </row>
    <row r="6" ht="34" customHeight="1">
      <c r="B6" s="66">
        <f>COUNTIF(App_Flag,"FOLLOW UP REQUIRED")</f>
        <v/>
      </c>
      <c r="C6" s="66">
        <f>COUNTIF(App_Flag,"ACTION DUE TODAY")</f>
        <v/>
      </c>
      <c r="D6" s="66">
        <f>COUNTIF(App_Flag,"NO RESPONSE")</f>
        <v/>
      </c>
      <c r="E6" s="66">
        <f>COUNTIF(App_Flag,"DUE SOON")</f>
        <v/>
      </c>
      <c r="F6" s="66">
        <f>COUNT(Ct_Key)</f>
        <v/>
      </c>
      <c r="G6" s="66">
        <f>COUNT(Int_Key)</f>
        <v/>
      </c>
    </row>
    <row r="8">
      <c r="B8" s="5" t="inlineStr">
        <is>
          <t>APPLICATIONS — ACTION LIST (OVERDUE FIRST, THEN DUE TODAY, NO RESPONSE, DUE SOON)</t>
        </is>
      </c>
    </row>
    <row r="9" ht="28" customHeight="1">
      <c r="B9" s="26" t="inlineStr">
        <is>
          <t>Action Flag</t>
        </is>
      </c>
      <c r="C9" s="26" t="inlineStr">
        <is>
          <t>Company</t>
        </is>
      </c>
      <c r="D9" s="26" t="inlineStr">
        <is>
          <t>Job Title</t>
        </is>
      </c>
      <c r="E9" s="26" t="inlineStr">
        <is>
          <t>Status</t>
        </is>
      </c>
      <c r="F9" s="26" t="inlineStr">
        <is>
          <t>Next Action</t>
        </is>
      </c>
      <c r="G9" s="27" t="inlineStr">
        <is>
          <t>Next Action Date</t>
        </is>
      </c>
      <c r="H9" s="27" t="inlineStr">
        <is>
          <t>Days Overdue</t>
        </is>
      </c>
      <c r="I9" s="27" t="inlineStr">
        <is>
          <t>Date Applied</t>
        </is>
      </c>
      <c r="J9" s="27" t="inlineStr">
        <is>
          <t>Days Since Applied</t>
        </is>
      </c>
      <c r="K9" s="26" t="inlineStr">
        <is>
          <t>Priority</t>
        </is>
      </c>
      <c r="L9" s="26" t="inlineStr">
        <is>
          <t>Recruiter / Hiring Manager</t>
        </is>
      </c>
      <c r="M9" s="26" t="inlineStr">
        <is>
          <t>Job Link</t>
        </is>
      </c>
    </row>
    <row r="10" ht="18" customHeight="1">
      <c r="B10" s="67">
        <f>IF($N10="","",INDEX(App_Flag,$N10)&amp;"")</f>
        <v/>
      </c>
      <c r="C10" s="67">
        <f>IF($N10="","",INDEX(App_Company,$N10)&amp;"")</f>
        <v/>
      </c>
      <c r="D10" s="67">
        <f>IF($N10="","",INDEX(App_JobTitle,$N10)&amp;"")</f>
        <v/>
      </c>
      <c r="E10" s="67">
        <f>IF($N10="","",INDEX(App_Status,$N10)&amp;"")</f>
        <v/>
      </c>
      <c r="F10" s="67">
        <f>IF($N10="","",INDEX(App_NextAction,$N10)&amp;"")</f>
        <v/>
      </c>
      <c r="G10" s="68">
        <f>IF($N10="","",IF(ISNUMBER(INDEX(App_NextDate,$N10)),INDEX(App_NextDate,$N10),""))</f>
        <v/>
      </c>
      <c r="H10" s="69">
        <f>IF($N10="","",IF(ISNUMBER(INDEX(App_NextDate,$N10)),IF(INT(INDEX(App_NextDate,$N10))&lt;TODAY(),TODAY()-INT(INDEX(App_NextDate,$N10)),""),""))</f>
        <v/>
      </c>
      <c r="I10" s="68">
        <f>IF($N10="","",IF(ISNUMBER(INDEX(App_DateApplied,$N10)),INDEX(App_DateApplied,$N10),""))</f>
        <v/>
      </c>
      <c r="J10" s="69">
        <f>IF($N10="","",IF(ISNUMBER(INDEX(App_DateApplied,$N10)),TODAY()-INT(INDEX(App_DateApplied,$N10)),""))</f>
        <v/>
      </c>
      <c r="K10" s="67">
        <f>IF($N10="","",INDEX(App_Priority,$N10)&amp;"")</f>
        <v/>
      </c>
      <c r="L10" s="67">
        <f>IF($N10="","",INDEX(App_Contact,$N10)&amp;"")</f>
        <v/>
      </c>
      <c r="M10" s="70">
        <f>IF($N10="","",IF(INDEX(App_URL,$N10)="","",HYPERLINK(INDEX(App_URL,$N10),"Open ↗")))</f>
        <v/>
      </c>
      <c r="N10">
        <f>IFERROR(MATCH(SMALL(App_ActionKey,1),App_ActionKey,0),"")</f>
        <v/>
      </c>
    </row>
    <row r="11" ht="18" customHeight="1">
      <c r="B11" s="67">
        <f>IF($N11="","",INDEX(App_Flag,$N11)&amp;"")</f>
        <v/>
      </c>
      <c r="C11" s="67">
        <f>IF($N11="","",INDEX(App_Company,$N11)&amp;"")</f>
        <v/>
      </c>
      <c r="D11" s="67">
        <f>IF($N11="","",INDEX(App_JobTitle,$N11)&amp;"")</f>
        <v/>
      </c>
      <c r="E11" s="67">
        <f>IF($N11="","",INDEX(App_Status,$N11)&amp;"")</f>
        <v/>
      </c>
      <c r="F11" s="67">
        <f>IF($N11="","",INDEX(App_NextAction,$N11)&amp;"")</f>
        <v/>
      </c>
      <c r="G11" s="68">
        <f>IF($N11="","",IF(ISNUMBER(INDEX(App_NextDate,$N11)),INDEX(App_NextDate,$N11),""))</f>
        <v/>
      </c>
      <c r="H11" s="69">
        <f>IF($N11="","",IF(ISNUMBER(INDEX(App_NextDate,$N11)),IF(INT(INDEX(App_NextDate,$N11))&lt;TODAY(),TODAY()-INT(INDEX(App_NextDate,$N11)),""),""))</f>
        <v/>
      </c>
      <c r="I11" s="68">
        <f>IF($N11="","",IF(ISNUMBER(INDEX(App_DateApplied,$N11)),INDEX(App_DateApplied,$N11),""))</f>
        <v/>
      </c>
      <c r="J11" s="69">
        <f>IF($N11="","",IF(ISNUMBER(INDEX(App_DateApplied,$N11)),TODAY()-INT(INDEX(App_DateApplied,$N11)),""))</f>
        <v/>
      </c>
      <c r="K11" s="67">
        <f>IF($N11="","",INDEX(App_Priority,$N11)&amp;"")</f>
        <v/>
      </c>
      <c r="L11" s="67">
        <f>IF($N11="","",INDEX(App_Contact,$N11)&amp;"")</f>
        <v/>
      </c>
      <c r="M11" s="70">
        <f>IF($N11="","",IF(INDEX(App_URL,$N11)="","",HYPERLINK(INDEX(App_URL,$N11),"Open ↗")))</f>
        <v/>
      </c>
      <c r="N11">
        <f>IFERROR(MATCH(SMALL(App_ActionKey,2),App_ActionKey,0),"")</f>
        <v/>
      </c>
    </row>
    <row r="12" ht="18" customHeight="1">
      <c r="B12" s="67">
        <f>IF($N12="","",INDEX(App_Flag,$N12)&amp;"")</f>
        <v/>
      </c>
      <c r="C12" s="67">
        <f>IF($N12="","",INDEX(App_Company,$N12)&amp;"")</f>
        <v/>
      </c>
      <c r="D12" s="67">
        <f>IF($N12="","",INDEX(App_JobTitle,$N12)&amp;"")</f>
        <v/>
      </c>
      <c r="E12" s="67">
        <f>IF($N12="","",INDEX(App_Status,$N12)&amp;"")</f>
        <v/>
      </c>
      <c r="F12" s="67">
        <f>IF($N12="","",INDEX(App_NextAction,$N12)&amp;"")</f>
        <v/>
      </c>
      <c r="G12" s="68">
        <f>IF($N12="","",IF(ISNUMBER(INDEX(App_NextDate,$N12)),INDEX(App_NextDate,$N12),""))</f>
        <v/>
      </c>
      <c r="H12" s="69">
        <f>IF($N12="","",IF(ISNUMBER(INDEX(App_NextDate,$N12)),IF(INT(INDEX(App_NextDate,$N12))&lt;TODAY(),TODAY()-INT(INDEX(App_NextDate,$N12)),""),""))</f>
        <v/>
      </c>
      <c r="I12" s="68">
        <f>IF($N12="","",IF(ISNUMBER(INDEX(App_DateApplied,$N12)),INDEX(App_DateApplied,$N12),""))</f>
        <v/>
      </c>
      <c r="J12" s="69">
        <f>IF($N12="","",IF(ISNUMBER(INDEX(App_DateApplied,$N12)),TODAY()-INT(INDEX(App_DateApplied,$N12)),""))</f>
        <v/>
      </c>
      <c r="K12" s="67">
        <f>IF($N12="","",INDEX(App_Priority,$N12)&amp;"")</f>
        <v/>
      </c>
      <c r="L12" s="67">
        <f>IF($N12="","",INDEX(App_Contact,$N12)&amp;"")</f>
        <v/>
      </c>
      <c r="M12" s="70">
        <f>IF($N12="","",IF(INDEX(App_URL,$N12)="","",HYPERLINK(INDEX(App_URL,$N12),"Open ↗")))</f>
        <v/>
      </c>
      <c r="N12">
        <f>IFERROR(MATCH(SMALL(App_ActionKey,3),App_ActionKey,0),"")</f>
        <v/>
      </c>
    </row>
    <row r="13" ht="18" customHeight="1">
      <c r="B13" s="67">
        <f>IF($N13="","",INDEX(App_Flag,$N13)&amp;"")</f>
        <v/>
      </c>
      <c r="C13" s="67">
        <f>IF($N13="","",INDEX(App_Company,$N13)&amp;"")</f>
        <v/>
      </c>
      <c r="D13" s="67">
        <f>IF($N13="","",INDEX(App_JobTitle,$N13)&amp;"")</f>
        <v/>
      </c>
      <c r="E13" s="67">
        <f>IF($N13="","",INDEX(App_Status,$N13)&amp;"")</f>
        <v/>
      </c>
      <c r="F13" s="67">
        <f>IF($N13="","",INDEX(App_NextAction,$N13)&amp;"")</f>
        <v/>
      </c>
      <c r="G13" s="68">
        <f>IF($N13="","",IF(ISNUMBER(INDEX(App_NextDate,$N13)),INDEX(App_NextDate,$N13),""))</f>
        <v/>
      </c>
      <c r="H13" s="69">
        <f>IF($N13="","",IF(ISNUMBER(INDEX(App_NextDate,$N13)),IF(INT(INDEX(App_NextDate,$N13))&lt;TODAY(),TODAY()-INT(INDEX(App_NextDate,$N13)),""),""))</f>
        <v/>
      </c>
      <c r="I13" s="68">
        <f>IF($N13="","",IF(ISNUMBER(INDEX(App_DateApplied,$N13)),INDEX(App_DateApplied,$N13),""))</f>
        <v/>
      </c>
      <c r="J13" s="69">
        <f>IF($N13="","",IF(ISNUMBER(INDEX(App_DateApplied,$N13)),TODAY()-INT(INDEX(App_DateApplied,$N13)),""))</f>
        <v/>
      </c>
      <c r="K13" s="67">
        <f>IF($N13="","",INDEX(App_Priority,$N13)&amp;"")</f>
        <v/>
      </c>
      <c r="L13" s="67">
        <f>IF($N13="","",INDEX(App_Contact,$N13)&amp;"")</f>
        <v/>
      </c>
      <c r="M13" s="70">
        <f>IF($N13="","",IF(INDEX(App_URL,$N13)="","",HYPERLINK(INDEX(App_URL,$N13),"Open ↗")))</f>
        <v/>
      </c>
      <c r="N13">
        <f>IFERROR(MATCH(SMALL(App_ActionKey,4),App_ActionKey,0),"")</f>
        <v/>
      </c>
    </row>
    <row r="14" ht="18" customHeight="1">
      <c r="B14" s="67">
        <f>IF($N14="","",INDEX(App_Flag,$N14)&amp;"")</f>
        <v/>
      </c>
      <c r="C14" s="67">
        <f>IF($N14="","",INDEX(App_Company,$N14)&amp;"")</f>
        <v/>
      </c>
      <c r="D14" s="67">
        <f>IF($N14="","",INDEX(App_JobTitle,$N14)&amp;"")</f>
        <v/>
      </c>
      <c r="E14" s="67">
        <f>IF($N14="","",INDEX(App_Status,$N14)&amp;"")</f>
        <v/>
      </c>
      <c r="F14" s="67">
        <f>IF($N14="","",INDEX(App_NextAction,$N14)&amp;"")</f>
        <v/>
      </c>
      <c r="G14" s="68">
        <f>IF($N14="","",IF(ISNUMBER(INDEX(App_NextDate,$N14)),INDEX(App_NextDate,$N14),""))</f>
        <v/>
      </c>
      <c r="H14" s="69">
        <f>IF($N14="","",IF(ISNUMBER(INDEX(App_NextDate,$N14)),IF(INT(INDEX(App_NextDate,$N14))&lt;TODAY(),TODAY()-INT(INDEX(App_NextDate,$N14)),""),""))</f>
        <v/>
      </c>
      <c r="I14" s="68">
        <f>IF($N14="","",IF(ISNUMBER(INDEX(App_DateApplied,$N14)),INDEX(App_DateApplied,$N14),""))</f>
        <v/>
      </c>
      <c r="J14" s="69">
        <f>IF($N14="","",IF(ISNUMBER(INDEX(App_DateApplied,$N14)),TODAY()-INT(INDEX(App_DateApplied,$N14)),""))</f>
        <v/>
      </c>
      <c r="K14" s="67">
        <f>IF($N14="","",INDEX(App_Priority,$N14)&amp;"")</f>
        <v/>
      </c>
      <c r="L14" s="67">
        <f>IF($N14="","",INDEX(App_Contact,$N14)&amp;"")</f>
        <v/>
      </c>
      <c r="M14" s="70">
        <f>IF($N14="","",IF(INDEX(App_URL,$N14)="","",HYPERLINK(INDEX(App_URL,$N14),"Open ↗")))</f>
        <v/>
      </c>
      <c r="N14">
        <f>IFERROR(MATCH(SMALL(App_ActionKey,5),App_ActionKey,0),"")</f>
        <v/>
      </c>
    </row>
    <row r="15" ht="18" customHeight="1">
      <c r="B15" s="67">
        <f>IF($N15="","",INDEX(App_Flag,$N15)&amp;"")</f>
        <v/>
      </c>
      <c r="C15" s="67">
        <f>IF($N15="","",INDEX(App_Company,$N15)&amp;"")</f>
        <v/>
      </c>
      <c r="D15" s="67">
        <f>IF($N15="","",INDEX(App_JobTitle,$N15)&amp;"")</f>
        <v/>
      </c>
      <c r="E15" s="67">
        <f>IF($N15="","",INDEX(App_Status,$N15)&amp;"")</f>
        <v/>
      </c>
      <c r="F15" s="67">
        <f>IF($N15="","",INDEX(App_NextAction,$N15)&amp;"")</f>
        <v/>
      </c>
      <c r="G15" s="68">
        <f>IF($N15="","",IF(ISNUMBER(INDEX(App_NextDate,$N15)),INDEX(App_NextDate,$N15),""))</f>
        <v/>
      </c>
      <c r="H15" s="69">
        <f>IF($N15="","",IF(ISNUMBER(INDEX(App_NextDate,$N15)),IF(INT(INDEX(App_NextDate,$N15))&lt;TODAY(),TODAY()-INT(INDEX(App_NextDate,$N15)),""),""))</f>
        <v/>
      </c>
      <c r="I15" s="68">
        <f>IF($N15="","",IF(ISNUMBER(INDEX(App_DateApplied,$N15)),INDEX(App_DateApplied,$N15),""))</f>
        <v/>
      </c>
      <c r="J15" s="69">
        <f>IF($N15="","",IF(ISNUMBER(INDEX(App_DateApplied,$N15)),TODAY()-INT(INDEX(App_DateApplied,$N15)),""))</f>
        <v/>
      </c>
      <c r="K15" s="67">
        <f>IF($N15="","",INDEX(App_Priority,$N15)&amp;"")</f>
        <v/>
      </c>
      <c r="L15" s="67">
        <f>IF($N15="","",INDEX(App_Contact,$N15)&amp;"")</f>
        <v/>
      </c>
      <c r="M15" s="70">
        <f>IF($N15="","",IF(INDEX(App_URL,$N15)="","",HYPERLINK(INDEX(App_URL,$N15),"Open ↗")))</f>
        <v/>
      </c>
      <c r="N15">
        <f>IFERROR(MATCH(SMALL(App_ActionKey,6),App_ActionKey,0),"")</f>
        <v/>
      </c>
    </row>
    <row r="16" ht="18" customHeight="1">
      <c r="B16" s="67">
        <f>IF($N16="","",INDEX(App_Flag,$N16)&amp;"")</f>
        <v/>
      </c>
      <c r="C16" s="67">
        <f>IF($N16="","",INDEX(App_Company,$N16)&amp;"")</f>
        <v/>
      </c>
      <c r="D16" s="67">
        <f>IF($N16="","",INDEX(App_JobTitle,$N16)&amp;"")</f>
        <v/>
      </c>
      <c r="E16" s="67">
        <f>IF($N16="","",INDEX(App_Status,$N16)&amp;"")</f>
        <v/>
      </c>
      <c r="F16" s="67">
        <f>IF($N16="","",INDEX(App_NextAction,$N16)&amp;"")</f>
        <v/>
      </c>
      <c r="G16" s="68">
        <f>IF($N16="","",IF(ISNUMBER(INDEX(App_NextDate,$N16)),INDEX(App_NextDate,$N16),""))</f>
        <v/>
      </c>
      <c r="H16" s="69">
        <f>IF($N16="","",IF(ISNUMBER(INDEX(App_NextDate,$N16)),IF(INT(INDEX(App_NextDate,$N16))&lt;TODAY(),TODAY()-INT(INDEX(App_NextDate,$N16)),""),""))</f>
        <v/>
      </c>
      <c r="I16" s="68">
        <f>IF($N16="","",IF(ISNUMBER(INDEX(App_DateApplied,$N16)),INDEX(App_DateApplied,$N16),""))</f>
        <v/>
      </c>
      <c r="J16" s="69">
        <f>IF($N16="","",IF(ISNUMBER(INDEX(App_DateApplied,$N16)),TODAY()-INT(INDEX(App_DateApplied,$N16)),""))</f>
        <v/>
      </c>
      <c r="K16" s="67">
        <f>IF($N16="","",INDEX(App_Priority,$N16)&amp;"")</f>
        <v/>
      </c>
      <c r="L16" s="67">
        <f>IF($N16="","",INDEX(App_Contact,$N16)&amp;"")</f>
        <v/>
      </c>
      <c r="M16" s="70">
        <f>IF($N16="","",IF(INDEX(App_URL,$N16)="","",HYPERLINK(INDEX(App_URL,$N16),"Open ↗")))</f>
        <v/>
      </c>
      <c r="N16">
        <f>IFERROR(MATCH(SMALL(App_ActionKey,7),App_ActionKey,0),"")</f>
        <v/>
      </c>
    </row>
    <row r="17" ht="18" customHeight="1">
      <c r="B17" s="67">
        <f>IF($N17="","",INDEX(App_Flag,$N17)&amp;"")</f>
        <v/>
      </c>
      <c r="C17" s="67">
        <f>IF($N17="","",INDEX(App_Company,$N17)&amp;"")</f>
        <v/>
      </c>
      <c r="D17" s="67">
        <f>IF($N17="","",INDEX(App_JobTitle,$N17)&amp;"")</f>
        <v/>
      </c>
      <c r="E17" s="67">
        <f>IF($N17="","",INDEX(App_Status,$N17)&amp;"")</f>
        <v/>
      </c>
      <c r="F17" s="67">
        <f>IF($N17="","",INDEX(App_NextAction,$N17)&amp;"")</f>
        <v/>
      </c>
      <c r="G17" s="68">
        <f>IF($N17="","",IF(ISNUMBER(INDEX(App_NextDate,$N17)),INDEX(App_NextDate,$N17),""))</f>
        <v/>
      </c>
      <c r="H17" s="69">
        <f>IF($N17="","",IF(ISNUMBER(INDEX(App_NextDate,$N17)),IF(INT(INDEX(App_NextDate,$N17))&lt;TODAY(),TODAY()-INT(INDEX(App_NextDate,$N17)),""),""))</f>
        <v/>
      </c>
      <c r="I17" s="68">
        <f>IF($N17="","",IF(ISNUMBER(INDEX(App_DateApplied,$N17)),INDEX(App_DateApplied,$N17),""))</f>
        <v/>
      </c>
      <c r="J17" s="69">
        <f>IF($N17="","",IF(ISNUMBER(INDEX(App_DateApplied,$N17)),TODAY()-INT(INDEX(App_DateApplied,$N17)),""))</f>
        <v/>
      </c>
      <c r="K17" s="67">
        <f>IF($N17="","",INDEX(App_Priority,$N17)&amp;"")</f>
        <v/>
      </c>
      <c r="L17" s="67">
        <f>IF($N17="","",INDEX(App_Contact,$N17)&amp;"")</f>
        <v/>
      </c>
      <c r="M17" s="70">
        <f>IF($N17="","",IF(INDEX(App_URL,$N17)="","",HYPERLINK(INDEX(App_URL,$N17),"Open ↗")))</f>
        <v/>
      </c>
      <c r="N17">
        <f>IFERROR(MATCH(SMALL(App_ActionKey,8),App_ActionKey,0),"")</f>
        <v/>
      </c>
    </row>
    <row r="18" ht="18" customHeight="1">
      <c r="B18" s="67">
        <f>IF($N18="","",INDEX(App_Flag,$N18)&amp;"")</f>
        <v/>
      </c>
      <c r="C18" s="67">
        <f>IF($N18="","",INDEX(App_Company,$N18)&amp;"")</f>
        <v/>
      </c>
      <c r="D18" s="67">
        <f>IF($N18="","",INDEX(App_JobTitle,$N18)&amp;"")</f>
        <v/>
      </c>
      <c r="E18" s="67">
        <f>IF($N18="","",INDEX(App_Status,$N18)&amp;"")</f>
        <v/>
      </c>
      <c r="F18" s="67">
        <f>IF($N18="","",INDEX(App_NextAction,$N18)&amp;"")</f>
        <v/>
      </c>
      <c r="G18" s="68">
        <f>IF($N18="","",IF(ISNUMBER(INDEX(App_NextDate,$N18)),INDEX(App_NextDate,$N18),""))</f>
        <v/>
      </c>
      <c r="H18" s="69">
        <f>IF($N18="","",IF(ISNUMBER(INDEX(App_NextDate,$N18)),IF(INT(INDEX(App_NextDate,$N18))&lt;TODAY(),TODAY()-INT(INDEX(App_NextDate,$N18)),""),""))</f>
        <v/>
      </c>
      <c r="I18" s="68">
        <f>IF($N18="","",IF(ISNUMBER(INDEX(App_DateApplied,$N18)),INDEX(App_DateApplied,$N18),""))</f>
        <v/>
      </c>
      <c r="J18" s="69">
        <f>IF($N18="","",IF(ISNUMBER(INDEX(App_DateApplied,$N18)),TODAY()-INT(INDEX(App_DateApplied,$N18)),""))</f>
        <v/>
      </c>
      <c r="K18" s="67">
        <f>IF($N18="","",INDEX(App_Priority,$N18)&amp;"")</f>
        <v/>
      </c>
      <c r="L18" s="67">
        <f>IF($N18="","",INDEX(App_Contact,$N18)&amp;"")</f>
        <v/>
      </c>
      <c r="M18" s="70">
        <f>IF($N18="","",IF(INDEX(App_URL,$N18)="","",HYPERLINK(INDEX(App_URL,$N18),"Open ↗")))</f>
        <v/>
      </c>
      <c r="N18">
        <f>IFERROR(MATCH(SMALL(App_ActionKey,9),App_ActionKey,0),"")</f>
        <v/>
      </c>
    </row>
    <row r="19" ht="18" customHeight="1">
      <c r="B19" s="67">
        <f>IF($N19="","",INDEX(App_Flag,$N19)&amp;"")</f>
        <v/>
      </c>
      <c r="C19" s="67">
        <f>IF($N19="","",INDEX(App_Company,$N19)&amp;"")</f>
        <v/>
      </c>
      <c r="D19" s="67">
        <f>IF($N19="","",INDEX(App_JobTitle,$N19)&amp;"")</f>
        <v/>
      </c>
      <c r="E19" s="67">
        <f>IF($N19="","",INDEX(App_Status,$N19)&amp;"")</f>
        <v/>
      </c>
      <c r="F19" s="67">
        <f>IF($N19="","",INDEX(App_NextAction,$N19)&amp;"")</f>
        <v/>
      </c>
      <c r="G19" s="68">
        <f>IF($N19="","",IF(ISNUMBER(INDEX(App_NextDate,$N19)),INDEX(App_NextDate,$N19),""))</f>
        <v/>
      </c>
      <c r="H19" s="69">
        <f>IF($N19="","",IF(ISNUMBER(INDEX(App_NextDate,$N19)),IF(INT(INDEX(App_NextDate,$N19))&lt;TODAY(),TODAY()-INT(INDEX(App_NextDate,$N19)),""),""))</f>
        <v/>
      </c>
      <c r="I19" s="68">
        <f>IF($N19="","",IF(ISNUMBER(INDEX(App_DateApplied,$N19)),INDEX(App_DateApplied,$N19),""))</f>
        <v/>
      </c>
      <c r="J19" s="69">
        <f>IF($N19="","",IF(ISNUMBER(INDEX(App_DateApplied,$N19)),TODAY()-INT(INDEX(App_DateApplied,$N19)),""))</f>
        <v/>
      </c>
      <c r="K19" s="67">
        <f>IF($N19="","",INDEX(App_Priority,$N19)&amp;"")</f>
        <v/>
      </c>
      <c r="L19" s="67">
        <f>IF($N19="","",INDEX(App_Contact,$N19)&amp;"")</f>
        <v/>
      </c>
      <c r="M19" s="70">
        <f>IF($N19="","",IF(INDEX(App_URL,$N19)="","",HYPERLINK(INDEX(App_URL,$N19),"Open ↗")))</f>
        <v/>
      </c>
      <c r="N19">
        <f>IFERROR(MATCH(SMALL(App_ActionKey,10),App_ActionKey,0),"")</f>
        <v/>
      </c>
    </row>
    <row r="20" ht="18" customHeight="1">
      <c r="B20" s="67">
        <f>IF($N20="","",INDEX(App_Flag,$N20)&amp;"")</f>
        <v/>
      </c>
      <c r="C20" s="67">
        <f>IF($N20="","",INDEX(App_Company,$N20)&amp;"")</f>
        <v/>
      </c>
      <c r="D20" s="67">
        <f>IF($N20="","",INDEX(App_JobTitle,$N20)&amp;"")</f>
        <v/>
      </c>
      <c r="E20" s="67">
        <f>IF($N20="","",INDEX(App_Status,$N20)&amp;"")</f>
        <v/>
      </c>
      <c r="F20" s="67">
        <f>IF($N20="","",INDEX(App_NextAction,$N20)&amp;"")</f>
        <v/>
      </c>
      <c r="G20" s="68">
        <f>IF($N20="","",IF(ISNUMBER(INDEX(App_NextDate,$N20)),INDEX(App_NextDate,$N20),""))</f>
        <v/>
      </c>
      <c r="H20" s="69">
        <f>IF($N20="","",IF(ISNUMBER(INDEX(App_NextDate,$N20)),IF(INT(INDEX(App_NextDate,$N20))&lt;TODAY(),TODAY()-INT(INDEX(App_NextDate,$N20)),""),""))</f>
        <v/>
      </c>
      <c r="I20" s="68">
        <f>IF($N20="","",IF(ISNUMBER(INDEX(App_DateApplied,$N20)),INDEX(App_DateApplied,$N20),""))</f>
        <v/>
      </c>
      <c r="J20" s="69">
        <f>IF($N20="","",IF(ISNUMBER(INDEX(App_DateApplied,$N20)),TODAY()-INT(INDEX(App_DateApplied,$N20)),""))</f>
        <v/>
      </c>
      <c r="K20" s="67">
        <f>IF($N20="","",INDEX(App_Priority,$N20)&amp;"")</f>
        <v/>
      </c>
      <c r="L20" s="67">
        <f>IF($N20="","",INDEX(App_Contact,$N20)&amp;"")</f>
        <v/>
      </c>
      <c r="M20" s="70">
        <f>IF($N20="","",IF(INDEX(App_URL,$N20)="","",HYPERLINK(INDEX(App_URL,$N20),"Open ↗")))</f>
        <v/>
      </c>
      <c r="N20">
        <f>IFERROR(MATCH(SMALL(App_ActionKey,11),App_ActionKey,0),"")</f>
        <v/>
      </c>
    </row>
    <row r="21" ht="18" customHeight="1">
      <c r="B21" s="67">
        <f>IF($N21="","",INDEX(App_Flag,$N21)&amp;"")</f>
        <v/>
      </c>
      <c r="C21" s="67">
        <f>IF($N21="","",INDEX(App_Company,$N21)&amp;"")</f>
        <v/>
      </c>
      <c r="D21" s="67">
        <f>IF($N21="","",INDEX(App_JobTitle,$N21)&amp;"")</f>
        <v/>
      </c>
      <c r="E21" s="67">
        <f>IF($N21="","",INDEX(App_Status,$N21)&amp;"")</f>
        <v/>
      </c>
      <c r="F21" s="67">
        <f>IF($N21="","",INDEX(App_NextAction,$N21)&amp;"")</f>
        <v/>
      </c>
      <c r="G21" s="68">
        <f>IF($N21="","",IF(ISNUMBER(INDEX(App_NextDate,$N21)),INDEX(App_NextDate,$N21),""))</f>
        <v/>
      </c>
      <c r="H21" s="69">
        <f>IF($N21="","",IF(ISNUMBER(INDEX(App_NextDate,$N21)),IF(INT(INDEX(App_NextDate,$N21))&lt;TODAY(),TODAY()-INT(INDEX(App_NextDate,$N21)),""),""))</f>
        <v/>
      </c>
      <c r="I21" s="68">
        <f>IF($N21="","",IF(ISNUMBER(INDEX(App_DateApplied,$N21)),INDEX(App_DateApplied,$N21),""))</f>
        <v/>
      </c>
      <c r="J21" s="69">
        <f>IF($N21="","",IF(ISNUMBER(INDEX(App_DateApplied,$N21)),TODAY()-INT(INDEX(App_DateApplied,$N21)),""))</f>
        <v/>
      </c>
      <c r="K21" s="67">
        <f>IF($N21="","",INDEX(App_Priority,$N21)&amp;"")</f>
        <v/>
      </c>
      <c r="L21" s="67">
        <f>IF($N21="","",INDEX(App_Contact,$N21)&amp;"")</f>
        <v/>
      </c>
      <c r="M21" s="70">
        <f>IF($N21="","",IF(INDEX(App_URL,$N21)="","",HYPERLINK(INDEX(App_URL,$N21),"Open ↗")))</f>
        <v/>
      </c>
      <c r="N21">
        <f>IFERROR(MATCH(SMALL(App_ActionKey,12),App_ActionKey,0),"")</f>
        <v/>
      </c>
    </row>
    <row r="22" ht="18" customHeight="1">
      <c r="B22" s="67">
        <f>IF($N22="","",INDEX(App_Flag,$N22)&amp;"")</f>
        <v/>
      </c>
      <c r="C22" s="67">
        <f>IF($N22="","",INDEX(App_Company,$N22)&amp;"")</f>
        <v/>
      </c>
      <c r="D22" s="67">
        <f>IF($N22="","",INDEX(App_JobTitle,$N22)&amp;"")</f>
        <v/>
      </c>
      <c r="E22" s="67">
        <f>IF($N22="","",INDEX(App_Status,$N22)&amp;"")</f>
        <v/>
      </c>
      <c r="F22" s="67">
        <f>IF($N22="","",INDEX(App_NextAction,$N22)&amp;"")</f>
        <v/>
      </c>
      <c r="G22" s="68">
        <f>IF($N22="","",IF(ISNUMBER(INDEX(App_NextDate,$N22)),INDEX(App_NextDate,$N22),""))</f>
        <v/>
      </c>
      <c r="H22" s="69">
        <f>IF($N22="","",IF(ISNUMBER(INDEX(App_NextDate,$N22)),IF(INT(INDEX(App_NextDate,$N22))&lt;TODAY(),TODAY()-INT(INDEX(App_NextDate,$N22)),""),""))</f>
        <v/>
      </c>
      <c r="I22" s="68">
        <f>IF($N22="","",IF(ISNUMBER(INDEX(App_DateApplied,$N22)),INDEX(App_DateApplied,$N22),""))</f>
        <v/>
      </c>
      <c r="J22" s="69">
        <f>IF($N22="","",IF(ISNUMBER(INDEX(App_DateApplied,$N22)),TODAY()-INT(INDEX(App_DateApplied,$N22)),""))</f>
        <v/>
      </c>
      <c r="K22" s="67">
        <f>IF($N22="","",INDEX(App_Priority,$N22)&amp;"")</f>
        <v/>
      </c>
      <c r="L22" s="67">
        <f>IF($N22="","",INDEX(App_Contact,$N22)&amp;"")</f>
        <v/>
      </c>
      <c r="M22" s="70">
        <f>IF($N22="","",IF(INDEX(App_URL,$N22)="","",HYPERLINK(INDEX(App_URL,$N22),"Open ↗")))</f>
        <v/>
      </c>
      <c r="N22">
        <f>IFERROR(MATCH(SMALL(App_ActionKey,13),App_ActionKey,0),"")</f>
        <v/>
      </c>
    </row>
    <row r="23" ht="18" customHeight="1">
      <c r="B23" s="67">
        <f>IF($N23="","",INDEX(App_Flag,$N23)&amp;"")</f>
        <v/>
      </c>
      <c r="C23" s="67">
        <f>IF($N23="","",INDEX(App_Company,$N23)&amp;"")</f>
        <v/>
      </c>
      <c r="D23" s="67">
        <f>IF($N23="","",INDEX(App_JobTitle,$N23)&amp;"")</f>
        <v/>
      </c>
      <c r="E23" s="67">
        <f>IF($N23="","",INDEX(App_Status,$N23)&amp;"")</f>
        <v/>
      </c>
      <c r="F23" s="67">
        <f>IF($N23="","",INDEX(App_NextAction,$N23)&amp;"")</f>
        <v/>
      </c>
      <c r="G23" s="68">
        <f>IF($N23="","",IF(ISNUMBER(INDEX(App_NextDate,$N23)),INDEX(App_NextDate,$N23),""))</f>
        <v/>
      </c>
      <c r="H23" s="69">
        <f>IF($N23="","",IF(ISNUMBER(INDEX(App_NextDate,$N23)),IF(INT(INDEX(App_NextDate,$N23))&lt;TODAY(),TODAY()-INT(INDEX(App_NextDate,$N23)),""),""))</f>
        <v/>
      </c>
      <c r="I23" s="68">
        <f>IF($N23="","",IF(ISNUMBER(INDEX(App_DateApplied,$N23)),INDEX(App_DateApplied,$N23),""))</f>
        <v/>
      </c>
      <c r="J23" s="69">
        <f>IF($N23="","",IF(ISNUMBER(INDEX(App_DateApplied,$N23)),TODAY()-INT(INDEX(App_DateApplied,$N23)),""))</f>
        <v/>
      </c>
      <c r="K23" s="67">
        <f>IF($N23="","",INDEX(App_Priority,$N23)&amp;"")</f>
        <v/>
      </c>
      <c r="L23" s="67">
        <f>IF($N23="","",INDEX(App_Contact,$N23)&amp;"")</f>
        <v/>
      </c>
      <c r="M23" s="70">
        <f>IF($N23="","",IF(INDEX(App_URL,$N23)="","",HYPERLINK(INDEX(App_URL,$N23),"Open ↗")))</f>
        <v/>
      </c>
      <c r="N23">
        <f>IFERROR(MATCH(SMALL(App_ActionKey,14),App_ActionKey,0),"")</f>
        <v/>
      </c>
    </row>
    <row r="24" ht="18" customHeight="1">
      <c r="B24" s="67">
        <f>IF($N24="","",INDEX(App_Flag,$N24)&amp;"")</f>
        <v/>
      </c>
      <c r="C24" s="67">
        <f>IF($N24="","",INDEX(App_Company,$N24)&amp;"")</f>
        <v/>
      </c>
      <c r="D24" s="67">
        <f>IF($N24="","",INDEX(App_JobTitle,$N24)&amp;"")</f>
        <v/>
      </c>
      <c r="E24" s="67">
        <f>IF($N24="","",INDEX(App_Status,$N24)&amp;"")</f>
        <v/>
      </c>
      <c r="F24" s="67">
        <f>IF($N24="","",INDEX(App_NextAction,$N24)&amp;"")</f>
        <v/>
      </c>
      <c r="G24" s="68">
        <f>IF($N24="","",IF(ISNUMBER(INDEX(App_NextDate,$N24)),INDEX(App_NextDate,$N24),""))</f>
        <v/>
      </c>
      <c r="H24" s="69">
        <f>IF($N24="","",IF(ISNUMBER(INDEX(App_NextDate,$N24)),IF(INT(INDEX(App_NextDate,$N24))&lt;TODAY(),TODAY()-INT(INDEX(App_NextDate,$N24)),""),""))</f>
        <v/>
      </c>
      <c r="I24" s="68">
        <f>IF($N24="","",IF(ISNUMBER(INDEX(App_DateApplied,$N24)),INDEX(App_DateApplied,$N24),""))</f>
        <v/>
      </c>
      <c r="J24" s="69">
        <f>IF($N24="","",IF(ISNUMBER(INDEX(App_DateApplied,$N24)),TODAY()-INT(INDEX(App_DateApplied,$N24)),""))</f>
        <v/>
      </c>
      <c r="K24" s="67">
        <f>IF($N24="","",INDEX(App_Priority,$N24)&amp;"")</f>
        <v/>
      </c>
      <c r="L24" s="67">
        <f>IF($N24="","",INDEX(App_Contact,$N24)&amp;"")</f>
        <v/>
      </c>
      <c r="M24" s="70">
        <f>IF($N24="","",IF(INDEX(App_URL,$N24)="","",HYPERLINK(INDEX(App_URL,$N24),"Open ↗")))</f>
        <v/>
      </c>
      <c r="N24">
        <f>IFERROR(MATCH(SMALL(App_ActionKey,15),App_ActionKey,0),"")</f>
        <v/>
      </c>
    </row>
    <row r="25" ht="18" customHeight="1">
      <c r="B25" s="67">
        <f>IF($N25="","",INDEX(App_Flag,$N25)&amp;"")</f>
        <v/>
      </c>
      <c r="C25" s="67">
        <f>IF($N25="","",INDEX(App_Company,$N25)&amp;"")</f>
        <v/>
      </c>
      <c r="D25" s="67">
        <f>IF($N25="","",INDEX(App_JobTitle,$N25)&amp;"")</f>
        <v/>
      </c>
      <c r="E25" s="67">
        <f>IF($N25="","",INDEX(App_Status,$N25)&amp;"")</f>
        <v/>
      </c>
      <c r="F25" s="67">
        <f>IF($N25="","",INDEX(App_NextAction,$N25)&amp;"")</f>
        <v/>
      </c>
      <c r="G25" s="68">
        <f>IF($N25="","",IF(ISNUMBER(INDEX(App_NextDate,$N25)),INDEX(App_NextDate,$N25),""))</f>
        <v/>
      </c>
      <c r="H25" s="69">
        <f>IF($N25="","",IF(ISNUMBER(INDEX(App_NextDate,$N25)),IF(INT(INDEX(App_NextDate,$N25))&lt;TODAY(),TODAY()-INT(INDEX(App_NextDate,$N25)),""),""))</f>
        <v/>
      </c>
      <c r="I25" s="68">
        <f>IF($N25="","",IF(ISNUMBER(INDEX(App_DateApplied,$N25)),INDEX(App_DateApplied,$N25),""))</f>
        <v/>
      </c>
      <c r="J25" s="69">
        <f>IF($N25="","",IF(ISNUMBER(INDEX(App_DateApplied,$N25)),TODAY()-INT(INDEX(App_DateApplied,$N25)),""))</f>
        <v/>
      </c>
      <c r="K25" s="67">
        <f>IF($N25="","",INDEX(App_Priority,$N25)&amp;"")</f>
        <v/>
      </c>
      <c r="L25" s="67">
        <f>IF($N25="","",INDEX(App_Contact,$N25)&amp;"")</f>
        <v/>
      </c>
      <c r="M25" s="70">
        <f>IF($N25="","",IF(INDEX(App_URL,$N25)="","",HYPERLINK(INDEX(App_URL,$N25),"Open ↗")))</f>
        <v/>
      </c>
      <c r="N25">
        <f>IFERROR(MATCH(SMALL(App_ActionKey,16),App_ActionKey,0),"")</f>
        <v/>
      </c>
    </row>
    <row r="26" ht="18" customHeight="1">
      <c r="B26" s="67">
        <f>IF($N26="","",INDEX(App_Flag,$N26)&amp;"")</f>
        <v/>
      </c>
      <c r="C26" s="67">
        <f>IF($N26="","",INDEX(App_Company,$N26)&amp;"")</f>
        <v/>
      </c>
      <c r="D26" s="67">
        <f>IF($N26="","",INDEX(App_JobTitle,$N26)&amp;"")</f>
        <v/>
      </c>
      <c r="E26" s="67">
        <f>IF($N26="","",INDEX(App_Status,$N26)&amp;"")</f>
        <v/>
      </c>
      <c r="F26" s="67">
        <f>IF($N26="","",INDEX(App_NextAction,$N26)&amp;"")</f>
        <v/>
      </c>
      <c r="G26" s="68">
        <f>IF($N26="","",IF(ISNUMBER(INDEX(App_NextDate,$N26)),INDEX(App_NextDate,$N26),""))</f>
        <v/>
      </c>
      <c r="H26" s="69">
        <f>IF($N26="","",IF(ISNUMBER(INDEX(App_NextDate,$N26)),IF(INT(INDEX(App_NextDate,$N26))&lt;TODAY(),TODAY()-INT(INDEX(App_NextDate,$N26)),""),""))</f>
        <v/>
      </c>
      <c r="I26" s="68">
        <f>IF($N26="","",IF(ISNUMBER(INDEX(App_DateApplied,$N26)),INDEX(App_DateApplied,$N26),""))</f>
        <v/>
      </c>
      <c r="J26" s="69">
        <f>IF($N26="","",IF(ISNUMBER(INDEX(App_DateApplied,$N26)),TODAY()-INT(INDEX(App_DateApplied,$N26)),""))</f>
        <v/>
      </c>
      <c r="K26" s="67">
        <f>IF($N26="","",INDEX(App_Priority,$N26)&amp;"")</f>
        <v/>
      </c>
      <c r="L26" s="67">
        <f>IF($N26="","",INDEX(App_Contact,$N26)&amp;"")</f>
        <v/>
      </c>
      <c r="M26" s="70">
        <f>IF($N26="","",IF(INDEX(App_URL,$N26)="","",HYPERLINK(INDEX(App_URL,$N26),"Open ↗")))</f>
        <v/>
      </c>
      <c r="N26">
        <f>IFERROR(MATCH(SMALL(App_ActionKey,17),App_ActionKey,0),"")</f>
        <v/>
      </c>
    </row>
    <row r="27" ht="18" customHeight="1">
      <c r="B27" s="67">
        <f>IF($N27="","",INDEX(App_Flag,$N27)&amp;"")</f>
        <v/>
      </c>
      <c r="C27" s="67">
        <f>IF($N27="","",INDEX(App_Company,$N27)&amp;"")</f>
        <v/>
      </c>
      <c r="D27" s="67">
        <f>IF($N27="","",INDEX(App_JobTitle,$N27)&amp;"")</f>
        <v/>
      </c>
      <c r="E27" s="67">
        <f>IF($N27="","",INDEX(App_Status,$N27)&amp;"")</f>
        <v/>
      </c>
      <c r="F27" s="67">
        <f>IF($N27="","",INDEX(App_NextAction,$N27)&amp;"")</f>
        <v/>
      </c>
      <c r="G27" s="68">
        <f>IF($N27="","",IF(ISNUMBER(INDEX(App_NextDate,$N27)),INDEX(App_NextDate,$N27),""))</f>
        <v/>
      </c>
      <c r="H27" s="69">
        <f>IF($N27="","",IF(ISNUMBER(INDEX(App_NextDate,$N27)),IF(INT(INDEX(App_NextDate,$N27))&lt;TODAY(),TODAY()-INT(INDEX(App_NextDate,$N27)),""),""))</f>
        <v/>
      </c>
      <c r="I27" s="68">
        <f>IF($N27="","",IF(ISNUMBER(INDEX(App_DateApplied,$N27)),INDEX(App_DateApplied,$N27),""))</f>
        <v/>
      </c>
      <c r="J27" s="69">
        <f>IF($N27="","",IF(ISNUMBER(INDEX(App_DateApplied,$N27)),TODAY()-INT(INDEX(App_DateApplied,$N27)),""))</f>
        <v/>
      </c>
      <c r="K27" s="67">
        <f>IF($N27="","",INDEX(App_Priority,$N27)&amp;"")</f>
        <v/>
      </c>
      <c r="L27" s="67">
        <f>IF($N27="","",INDEX(App_Contact,$N27)&amp;"")</f>
        <v/>
      </c>
      <c r="M27" s="70">
        <f>IF($N27="","",IF(INDEX(App_URL,$N27)="","",HYPERLINK(INDEX(App_URL,$N27),"Open ↗")))</f>
        <v/>
      </c>
      <c r="N27">
        <f>IFERROR(MATCH(SMALL(App_ActionKey,18),App_ActionKey,0),"")</f>
        <v/>
      </c>
    </row>
    <row r="28" ht="18" customHeight="1">
      <c r="B28" s="67">
        <f>IF($N28="","",INDEX(App_Flag,$N28)&amp;"")</f>
        <v/>
      </c>
      <c r="C28" s="67">
        <f>IF($N28="","",INDEX(App_Company,$N28)&amp;"")</f>
        <v/>
      </c>
      <c r="D28" s="67">
        <f>IF($N28="","",INDEX(App_JobTitle,$N28)&amp;"")</f>
        <v/>
      </c>
      <c r="E28" s="67">
        <f>IF($N28="","",INDEX(App_Status,$N28)&amp;"")</f>
        <v/>
      </c>
      <c r="F28" s="67">
        <f>IF($N28="","",INDEX(App_NextAction,$N28)&amp;"")</f>
        <v/>
      </c>
      <c r="G28" s="68">
        <f>IF($N28="","",IF(ISNUMBER(INDEX(App_NextDate,$N28)),INDEX(App_NextDate,$N28),""))</f>
        <v/>
      </c>
      <c r="H28" s="69">
        <f>IF($N28="","",IF(ISNUMBER(INDEX(App_NextDate,$N28)),IF(INT(INDEX(App_NextDate,$N28))&lt;TODAY(),TODAY()-INT(INDEX(App_NextDate,$N28)),""),""))</f>
        <v/>
      </c>
      <c r="I28" s="68">
        <f>IF($N28="","",IF(ISNUMBER(INDEX(App_DateApplied,$N28)),INDEX(App_DateApplied,$N28),""))</f>
        <v/>
      </c>
      <c r="J28" s="69">
        <f>IF($N28="","",IF(ISNUMBER(INDEX(App_DateApplied,$N28)),TODAY()-INT(INDEX(App_DateApplied,$N28)),""))</f>
        <v/>
      </c>
      <c r="K28" s="67">
        <f>IF($N28="","",INDEX(App_Priority,$N28)&amp;"")</f>
        <v/>
      </c>
      <c r="L28" s="67">
        <f>IF($N28="","",INDEX(App_Contact,$N28)&amp;"")</f>
        <v/>
      </c>
      <c r="M28" s="70">
        <f>IF($N28="","",IF(INDEX(App_URL,$N28)="","",HYPERLINK(INDEX(App_URL,$N28),"Open ↗")))</f>
        <v/>
      </c>
      <c r="N28">
        <f>IFERROR(MATCH(SMALL(App_ActionKey,19),App_ActionKey,0),"")</f>
        <v/>
      </c>
    </row>
    <row r="29" ht="18" customHeight="1">
      <c r="B29" s="67">
        <f>IF($N29="","",INDEX(App_Flag,$N29)&amp;"")</f>
        <v/>
      </c>
      <c r="C29" s="67">
        <f>IF($N29="","",INDEX(App_Company,$N29)&amp;"")</f>
        <v/>
      </c>
      <c r="D29" s="67">
        <f>IF($N29="","",INDEX(App_JobTitle,$N29)&amp;"")</f>
        <v/>
      </c>
      <c r="E29" s="67">
        <f>IF($N29="","",INDEX(App_Status,$N29)&amp;"")</f>
        <v/>
      </c>
      <c r="F29" s="67">
        <f>IF($N29="","",INDEX(App_NextAction,$N29)&amp;"")</f>
        <v/>
      </c>
      <c r="G29" s="68">
        <f>IF($N29="","",IF(ISNUMBER(INDEX(App_NextDate,$N29)),INDEX(App_NextDate,$N29),""))</f>
        <v/>
      </c>
      <c r="H29" s="69">
        <f>IF($N29="","",IF(ISNUMBER(INDEX(App_NextDate,$N29)),IF(INT(INDEX(App_NextDate,$N29))&lt;TODAY(),TODAY()-INT(INDEX(App_NextDate,$N29)),""),""))</f>
        <v/>
      </c>
      <c r="I29" s="68">
        <f>IF($N29="","",IF(ISNUMBER(INDEX(App_DateApplied,$N29)),INDEX(App_DateApplied,$N29),""))</f>
        <v/>
      </c>
      <c r="J29" s="69">
        <f>IF($N29="","",IF(ISNUMBER(INDEX(App_DateApplied,$N29)),TODAY()-INT(INDEX(App_DateApplied,$N29)),""))</f>
        <v/>
      </c>
      <c r="K29" s="67">
        <f>IF($N29="","",INDEX(App_Priority,$N29)&amp;"")</f>
        <v/>
      </c>
      <c r="L29" s="67">
        <f>IF($N29="","",INDEX(App_Contact,$N29)&amp;"")</f>
        <v/>
      </c>
      <c r="M29" s="70">
        <f>IF($N29="","",IF(INDEX(App_URL,$N29)="","",HYPERLINK(INDEX(App_URL,$N29),"Open ↗")))</f>
        <v/>
      </c>
      <c r="N29">
        <f>IFERROR(MATCH(SMALL(App_ActionKey,20),App_ActionKey,0),"")</f>
        <v/>
      </c>
    </row>
    <row r="30" ht="18" customHeight="1">
      <c r="B30" s="67">
        <f>IF($N30="","",INDEX(App_Flag,$N30)&amp;"")</f>
        <v/>
      </c>
      <c r="C30" s="67">
        <f>IF($N30="","",INDEX(App_Company,$N30)&amp;"")</f>
        <v/>
      </c>
      <c r="D30" s="67">
        <f>IF($N30="","",INDEX(App_JobTitle,$N30)&amp;"")</f>
        <v/>
      </c>
      <c r="E30" s="67">
        <f>IF($N30="","",INDEX(App_Status,$N30)&amp;"")</f>
        <v/>
      </c>
      <c r="F30" s="67">
        <f>IF($N30="","",INDEX(App_NextAction,$N30)&amp;"")</f>
        <v/>
      </c>
      <c r="G30" s="68">
        <f>IF($N30="","",IF(ISNUMBER(INDEX(App_NextDate,$N30)),INDEX(App_NextDate,$N30),""))</f>
        <v/>
      </c>
      <c r="H30" s="69">
        <f>IF($N30="","",IF(ISNUMBER(INDEX(App_NextDate,$N30)),IF(INT(INDEX(App_NextDate,$N30))&lt;TODAY(),TODAY()-INT(INDEX(App_NextDate,$N30)),""),""))</f>
        <v/>
      </c>
      <c r="I30" s="68">
        <f>IF($N30="","",IF(ISNUMBER(INDEX(App_DateApplied,$N30)),INDEX(App_DateApplied,$N30),""))</f>
        <v/>
      </c>
      <c r="J30" s="69">
        <f>IF($N30="","",IF(ISNUMBER(INDEX(App_DateApplied,$N30)),TODAY()-INT(INDEX(App_DateApplied,$N30)),""))</f>
        <v/>
      </c>
      <c r="K30" s="67">
        <f>IF($N30="","",INDEX(App_Priority,$N30)&amp;"")</f>
        <v/>
      </c>
      <c r="L30" s="67">
        <f>IF($N30="","",INDEX(App_Contact,$N30)&amp;"")</f>
        <v/>
      </c>
      <c r="M30" s="70">
        <f>IF($N30="","",IF(INDEX(App_URL,$N30)="","",HYPERLINK(INDEX(App_URL,$N30),"Open ↗")))</f>
        <v/>
      </c>
      <c r="N30">
        <f>IFERROR(MATCH(SMALL(App_ActionKey,21),App_ActionKey,0),"")</f>
        <v/>
      </c>
    </row>
    <row r="31" ht="18" customHeight="1">
      <c r="B31" s="67">
        <f>IF($N31="","",INDEX(App_Flag,$N31)&amp;"")</f>
        <v/>
      </c>
      <c r="C31" s="67">
        <f>IF($N31="","",INDEX(App_Company,$N31)&amp;"")</f>
        <v/>
      </c>
      <c r="D31" s="67">
        <f>IF($N31="","",INDEX(App_JobTitle,$N31)&amp;"")</f>
        <v/>
      </c>
      <c r="E31" s="67">
        <f>IF($N31="","",INDEX(App_Status,$N31)&amp;"")</f>
        <v/>
      </c>
      <c r="F31" s="67">
        <f>IF($N31="","",INDEX(App_NextAction,$N31)&amp;"")</f>
        <v/>
      </c>
      <c r="G31" s="68">
        <f>IF($N31="","",IF(ISNUMBER(INDEX(App_NextDate,$N31)),INDEX(App_NextDate,$N31),""))</f>
        <v/>
      </c>
      <c r="H31" s="69">
        <f>IF($N31="","",IF(ISNUMBER(INDEX(App_NextDate,$N31)),IF(INT(INDEX(App_NextDate,$N31))&lt;TODAY(),TODAY()-INT(INDEX(App_NextDate,$N31)),""),""))</f>
        <v/>
      </c>
      <c r="I31" s="68">
        <f>IF($N31="","",IF(ISNUMBER(INDEX(App_DateApplied,$N31)),INDEX(App_DateApplied,$N31),""))</f>
        <v/>
      </c>
      <c r="J31" s="69">
        <f>IF($N31="","",IF(ISNUMBER(INDEX(App_DateApplied,$N31)),TODAY()-INT(INDEX(App_DateApplied,$N31)),""))</f>
        <v/>
      </c>
      <c r="K31" s="67">
        <f>IF($N31="","",INDEX(App_Priority,$N31)&amp;"")</f>
        <v/>
      </c>
      <c r="L31" s="67">
        <f>IF($N31="","",INDEX(App_Contact,$N31)&amp;"")</f>
        <v/>
      </c>
      <c r="M31" s="70">
        <f>IF($N31="","",IF(INDEX(App_URL,$N31)="","",HYPERLINK(INDEX(App_URL,$N31),"Open ↗")))</f>
        <v/>
      </c>
      <c r="N31">
        <f>IFERROR(MATCH(SMALL(App_ActionKey,22),App_ActionKey,0),"")</f>
        <v/>
      </c>
    </row>
    <row r="32" ht="18" customHeight="1">
      <c r="B32" s="67">
        <f>IF($N32="","",INDEX(App_Flag,$N32)&amp;"")</f>
        <v/>
      </c>
      <c r="C32" s="67">
        <f>IF($N32="","",INDEX(App_Company,$N32)&amp;"")</f>
        <v/>
      </c>
      <c r="D32" s="67">
        <f>IF($N32="","",INDEX(App_JobTitle,$N32)&amp;"")</f>
        <v/>
      </c>
      <c r="E32" s="67">
        <f>IF($N32="","",INDEX(App_Status,$N32)&amp;"")</f>
        <v/>
      </c>
      <c r="F32" s="67">
        <f>IF($N32="","",INDEX(App_NextAction,$N32)&amp;"")</f>
        <v/>
      </c>
      <c r="G32" s="68">
        <f>IF($N32="","",IF(ISNUMBER(INDEX(App_NextDate,$N32)),INDEX(App_NextDate,$N32),""))</f>
        <v/>
      </c>
      <c r="H32" s="69">
        <f>IF($N32="","",IF(ISNUMBER(INDEX(App_NextDate,$N32)),IF(INT(INDEX(App_NextDate,$N32))&lt;TODAY(),TODAY()-INT(INDEX(App_NextDate,$N32)),""),""))</f>
        <v/>
      </c>
      <c r="I32" s="68">
        <f>IF($N32="","",IF(ISNUMBER(INDEX(App_DateApplied,$N32)),INDEX(App_DateApplied,$N32),""))</f>
        <v/>
      </c>
      <c r="J32" s="69">
        <f>IF($N32="","",IF(ISNUMBER(INDEX(App_DateApplied,$N32)),TODAY()-INT(INDEX(App_DateApplied,$N32)),""))</f>
        <v/>
      </c>
      <c r="K32" s="67">
        <f>IF($N32="","",INDEX(App_Priority,$N32)&amp;"")</f>
        <v/>
      </c>
      <c r="L32" s="67">
        <f>IF($N32="","",INDEX(App_Contact,$N32)&amp;"")</f>
        <v/>
      </c>
      <c r="M32" s="70">
        <f>IF($N32="","",IF(INDEX(App_URL,$N32)="","",HYPERLINK(INDEX(App_URL,$N32),"Open ↗")))</f>
        <v/>
      </c>
      <c r="N32">
        <f>IFERROR(MATCH(SMALL(App_ActionKey,23),App_ActionKey,0),"")</f>
        <v/>
      </c>
    </row>
    <row r="33" ht="18" customHeight="1">
      <c r="B33" s="67">
        <f>IF($N33="","",INDEX(App_Flag,$N33)&amp;"")</f>
        <v/>
      </c>
      <c r="C33" s="67">
        <f>IF($N33="","",INDEX(App_Company,$N33)&amp;"")</f>
        <v/>
      </c>
      <c r="D33" s="67">
        <f>IF($N33="","",INDEX(App_JobTitle,$N33)&amp;"")</f>
        <v/>
      </c>
      <c r="E33" s="67">
        <f>IF($N33="","",INDEX(App_Status,$N33)&amp;"")</f>
        <v/>
      </c>
      <c r="F33" s="67">
        <f>IF($N33="","",INDEX(App_NextAction,$N33)&amp;"")</f>
        <v/>
      </c>
      <c r="G33" s="68">
        <f>IF($N33="","",IF(ISNUMBER(INDEX(App_NextDate,$N33)),INDEX(App_NextDate,$N33),""))</f>
        <v/>
      </c>
      <c r="H33" s="69">
        <f>IF($N33="","",IF(ISNUMBER(INDEX(App_NextDate,$N33)),IF(INT(INDEX(App_NextDate,$N33))&lt;TODAY(),TODAY()-INT(INDEX(App_NextDate,$N33)),""),""))</f>
        <v/>
      </c>
      <c r="I33" s="68">
        <f>IF($N33="","",IF(ISNUMBER(INDEX(App_DateApplied,$N33)),INDEX(App_DateApplied,$N33),""))</f>
        <v/>
      </c>
      <c r="J33" s="69">
        <f>IF($N33="","",IF(ISNUMBER(INDEX(App_DateApplied,$N33)),TODAY()-INT(INDEX(App_DateApplied,$N33)),""))</f>
        <v/>
      </c>
      <c r="K33" s="67">
        <f>IF($N33="","",INDEX(App_Priority,$N33)&amp;"")</f>
        <v/>
      </c>
      <c r="L33" s="67">
        <f>IF($N33="","",INDEX(App_Contact,$N33)&amp;"")</f>
        <v/>
      </c>
      <c r="M33" s="70">
        <f>IF($N33="","",IF(INDEX(App_URL,$N33)="","",HYPERLINK(INDEX(App_URL,$N33),"Open ↗")))</f>
        <v/>
      </c>
      <c r="N33">
        <f>IFERROR(MATCH(SMALL(App_ActionKey,24),App_ActionKey,0),"")</f>
        <v/>
      </c>
    </row>
    <row r="34" ht="18" customHeight="1">
      <c r="B34" s="67">
        <f>IF($N34="","",INDEX(App_Flag,$N34)&amp;"")</f>
        <v/>
      </c>
      <c r="C34" s="67">
        <f>IF($N34="","",INDEX(App_Company,$N34)&amp;"")</f>
        <v/>
      </c>
      <c r="D34" s="67">
        <f>IF($N34="","",INDEX(App_JobTitle,$N34)&amp;"")</f>
        <v/>
      </c>
      <c r="E34" s="67">
        <f>IF($N34="","",INDEX(App_Status,$N34)&amp;"")</f>
        <v/>
      </c>
      <c r="F34" s="67">
        <f>IF($N34="","",INDEX(App_NextAction,$N34)&amp;"")</f>
        <v/>
      </c>
      <c r="G34" s="68">
        <f>IF($N34="","",IF(ISNUMBER(INDEX(App_NextDate,$N34)),INDEX(App_NextDate,$N34),""))</f>
        <v/>
      </c>
      <c r="H34" s="69">
        <f>IF($N34="","",IF(ISNUMBER(INDEX(App_NextDate,$N34)),IF(INT(INDEX(App_NextDate,$N34))&lt;TODAY(),TODAY()-INT(INDEX(App_NextDate,$N34)),""),""))</f>
        <v/>
      </c>
      <c r="I34" s="68">
        <f>IF($N34="","",IF(ISNUMBER(INDEX(App_DateApplied,$N34)),INDEX(App_DateApplied,$N34),""))</f>
        <v/>
      </c>
      <c r="J34" s="69">
        <f>IF($N34="","",IF(ISNUMBER(INDEX(App_DateApplied,$N34)),TODAY()-INT(INDEX(App_DateApplied,$N34)),""))</f>
        <v/>
      </c>
      <c r="K34" s="67">
        <f>IF($N34="","",INDEX(App_Priority,$N34)&amp;"")</f>
        <v/>
      </c>
      <c r="L34" s="67">
        <f>IF($N34="","",INDEX(App_Contact,$N34)&amp;"")</f>
        <v/>
      </c>
      <c r="M34" s="70">
        <f>IF($N34="","",IF(INDEX(App_URL,$N34)="","",HYPERLINK(INDEX(App_URL,$N34),"Open ↗")))</f>
        <v/>
      </c>
      <c r="N34">
        <f>IFERROR(MATCH(SMALL(App_ActionKey,25),App_ActionKey,0),"")</f>
        <v/>
      </c>
    </row>
    <row r="35">
      <c r="B35" s="71">
        <f>IF(COUNT(App_ActionKey)&gt;25,"+ "&amp;(COUNT(App_ActionKey)-25)&amp;" more — filter the Action Flag column on Applications","")</f>
        <v/>
      </c>
    </row>
    <row r="37">
      <c r="B37" s="5">
        <f>"UPCOMING INTERVIEWS — NEXT "&amp;Set_InterviewWindow&amp;" DAYS"</f>
        <v/>
      </c>
    </row>
    <row r="38" ht="28" customHeight="1">
      <c r="B38" s="26" t="inlineStr">
        <is>
          <t>Interview Date</t>
        </is>
      </c>
      <c r="C38" s="26" t="inlineStr">
        <is>
          <t>Company</t>
        </is>
      </c>
      <c r="D38" s="26" t="inlineStr">
        <is>
          <t>Job Title</t>
        </is>
      </c>
      <c r="E38" s="26" t="inlineStr">
        <is>
          <t>Stage</t>
        </is>
      </c>
      <c r="F38" s="26" t="inlineStr">
        <is>
          <t>Interview Type</t>
        </is>
      </c>
      <c r="G38" s="27" t="inlineStr">
        <is>
          <t>Days Until</t>
        </is>
      </c>
      <c r="H38" s="26" t="inlineStr">
        <is>
          <t>Preparation</t>
        </is>
      </c>
      <c r="I38" s="26" t="inlineStr">
        <is>
          <t>Interviewer</t>
        </is>
      </c>
      <c r="J38" s="26" t="inlineStr"/>
      <c r="K38" s="26" t="inlineStr"/>
      <c r="L38" s="26" t="inlineStr">
        <is>
          <t>Next Step</t>
        </is>
      </c>
    </row>
    <row r="39" ht="18" customHeight="1">
      <c r="B39" s="72">
        <f>IF($N39="","",IF(ISNUMBER(INDEX(Int_Date,$N39)),INDEX(Int_Date,$N39),""))</f>
        <v/>
      </c>
      <c r="C39" s="67">
        <f>IF($N39="","",INDEX(Int_Company,$N39)&amp;"")</f>
        <v/>
      </c>
      <c r="D39" s="67">
        <f>IF($N39="","",INDEX(Int_JobTitle,$N39)&amp;"")</f>
        <v/>
      </c>
      <c r="E39" s="67">
        <f>IF($N39="","",INDEX(Int_Stage,$N39)&amp;"")</f>
        <v/>
      </c>
      <c r="F39" s="67">
        <f>IF($N39="","",INDEX(Int_Type,$N39)&amp;"")</f>
        <v/>
      </c>
      <c r="G39" s="69">
        <f>IF($N39="","",IF(ISNUMBER(INDEX(Int_Date,$N39)),INT(INDEX(Int_Date,$N39))-TODAY(),""))</f>
        <v/>
      </c>
      <c r="H39" s="67">
        <f>IF($N39="","",INDEX(Int_Prep,$N39)&amp;"")</f>
        <v/>
      </c>
      <c r="I39" s="67">
        <f>IF($N39="","",INDEX(Int_Interviewer,$N39)&amp;"")</f>
        <v/>
      </c>
      <c r="L39" s="67">
        <f>IF($N39="","",INDEX(Int_NextStep,$N39)&amp;"")</f>
        <v/>
      </c>
      <c r="N39">
        <f>IFERROR(MATCH(SMALL(Int_Key,1),Int_Key,0),"")</f>
        <v/>
      </c>
    </row>
    <row r="40" ht="18" customHeight="1">
      <c r="B40" s="72">
        <f>IF($N40="","",IF(ISNUMBER(INDEX(Int_Date,$N40)),INDEX(Int_Date,$N40),""))</f>
        <v/>
      </c>
      <c r="C40" s="67">
        <f>IF($N40="","",INDEX(Int_Company,$N40)&amp;"")</f>
        <v/>
      </c>
      <c r="D40" s="67">
        <f>IF($N40="","",INDEX(Int_JobTitle,$N40)&amp;"")</f>
        <v/>
      </c>
      <c r="E40" s="67">
        <f>IF($N40="","",INDEX(Int_Stage,$N40)&amp;"")</f>
        <v/>
      </c>
      <c r="F40" s="67">
        <f>IF($N40="","",INDEX(Int_Type,$N40)&amp;"")</f>
        <v/>
      </c>
      <c r="G40" s="69">
        <f>IF($N40="","",IF(ISNUMBER(INDEX(Int_Date,$N40)),INT(INDEX(Int_Date,$N40))-TODAY(),""))</f>
        <v/>
      </c>
      <c r="H40" s="67">
        <f>IF($N40="","",INDEX(Int_Prep,$N40)&amp;"")</f>
        <v/>
      </c>
      <c r="I40" s="67">
        <f>IF($N40="","",INDEX(Int_Interviewer,$N40)&amp;"")</f>
        <v/>
      </c>
      <c r="L40" s="67">
        <f>IF($N40="","",INDEX(Int_NextStep,$N40)&amp;"")</f>
        <v/>
      </c>
      <c r="N40">
        <f>IFERROR(MATCH(SMALL(Int_Key,2),Int_Key,0),"")</f>
        <v/>
      </c>
    </row>
    <row r="41" ht="18" customHeight="1">
      <c r="B41" s="72">
        <f>IF($N41="","",IF(ISNUMBER(INDEX(Int_Date,$N41)),INDEX(Int_Date,$N41),""))</f>
        <v/>
      </c>
      <c r="C41" s="67">
        <f>IF($N41="","",INDEX(Int_Company,$N41)&amp;"")</f>
        <v/>
      </c>
      <c r="D41" s="67">
        <f>IF($N41="","",INDEX(Int_JobTitle,$N41)&amp;"")</f>
        <v/>
      </c>
      <c r="E41" s="67">
        <f>IF($N41="","",INDEX(Int_Stage,$N41)&amp;"")</f>
        <v/>
      </c>
      <c r="F41" s="67">
        <f>IF($N41="","",INDEX(Int_Type,$N41)&amp;"")</f>
        <v/>
      </c>
      <c r="G41" s="69">
        <f>IF($N41="","",IF(ISNUMBER(INDEX(Int_Date,$N41)),INT(INDEX(Int_Date,$N41))-TODAY(),""))</f>
        <v/>
      </c>
      <c r="H41" s="67">
        <f>IF($N41="","",INDEX(Int_Prep,$N41)&amp;"")</f>
        <v/>
      </c>
      <c r="I41" s="67">
        <f>IF($N41="","",INDEX(Int_Interviewer,$N41)&amp;"")</f>
        <v/>
      </c>
      <c r="L41" s="67">
        <f>IF($N41="","",INDEX(Int_NextStep,$N41)&amp;"")</f>
        <v/>
      </c>
      <c r="N41">
        <f>IFERROR(MATCH(SMALL(Int_Key,3),Int_Key,0),"")</f>
        <v/>
      </c>
    </row>
    <row r="42" ht="18" customHeight="1">
      <c r="B42" s="72">
        <f>IF($N42="","",IF(ISNUMBER(INDEX(Int_Date,$N42)),INDEX(Int_Date,$N42),""))</f>
        <v/>
      </c>
      <c r="C42" s="67">
        <f>IF($N42="","",INDEX(Int_Company,$N42)&amp;"")</f>
        <v/>
      </c>
      <c r="D42" s="67">
        <f>IF($N42="","",INDEX(Int_JobTitle,$N42)&amp;"")</f>
        <v/>
      </c>
      <c r="E42" s="67">
        <f>IF($N42="","",INDEX(Int_Stage,$N42)&amp;"")</f>
        <v/>
      </c>
      <c r="F42" s="67">
        <f>IF($N42="","",INDEX(Int_Type,$N42)&amp;"")</f>
        <v/>
      </c>
      <c r="G42" s="69">
        <f>IF($N42="","",IF(ISNUMBER(INDEX(Int_Date,$N42)),INT(INDEX(Int_Date,$N42))-TODAY(),""))</f>
        <v/>
      </c>
      <c r="H42" s="67">
        <f>IF($N42="","",INDEX(Int_Prep,$N42)&amp;"")</f>
        <v/>
      </c>
      <c r="I42" s="67">
        <f>IF($N42="","",INDEX(Int_Interviewer,$N42)&amp;"")</f>
        <v/>
      </c>
      <c r="L42" s="67">
        <f>IF($N42="","",INDEX(Int_NextStep,$N42)&amp;"")</f>
        <v/>
      </c>
      <c r="N42">
        <f>IFERROR(MATCH(SMALL(Int_Key,4),Int_Key,0),"")</f>
        <v/>
      </c>
    </row>
    <row r="43" ht="18" customHeight="1">
      <c r="B43" s="72">
        <f>IF($N43="","",IF(ISNUMBER(INDEX(Int_Date,$N43)),INDEX(Int_Date,$N43),""))</f>
        <v/>
      </c>
      <c r="C43" s="67">
        <f>IF($N43="","",INDEX(Int_Company,$N43)&amp;"")</f>
        <v/>
      </c>
      <c r="D43" s="67">
        <f>IF($N43="","",INDEX(Int_JobTitle,$N43)&amp;"")</f>
        <v/>
      </c>
      <c r="E43" s="67">
        <f>IF($N43="","",INDEX(Int_Stage,$N43)&amp;"")</f>
        <v/>
      </c>
      <c r="F43" s="67">
        <f>IF($N43="","",INDEX(Int_Type,$N43)&amp;"")</f>
        <v/>
      </c>
      <c r="G43" s="69">
        <f>IF($N43="","",IF(ISNUMBER(INDEX(Int_Date,$N43)),INT(INDEX(Int_Date,$N43))-TODAY(),""))</f>
        <v/>
      </c>
      <c r="H43" s="67">
        <f>IF($N43="","",INDEX(Int_Prep,$N43)&amp;"")</f>
        <v/>
      </c>
      <c r="I43" s="67">
        <f>IF($N43="","",INDEX(Int_Interviewer,$N43)&amp;"")</f>
        <v/>
      </c>
      <c r="L43" s="67">
        <f>IF($N43="","",INDEX(Int_NextStep,$N43)&amp;"")</f>
        <v/>
      </c>
      <c r="N43">
        <f>IFERROR(MATCH(SMALL(Int_Key,5),Int_Key,0),"")</f>
        <v/>
      </c>
    </row>
    <row r="44" ht="18" customHeight="1">
      <c r="B44" s="72">
        <f>IF($N44="","",IF(ISNUMBER(INDEX(Int_Date,$N44)),INDEX(Int_Date,$N44),""))</f>
        <v/>
      </c>
      <c r="C44" s="67">
        <f>IF($N44="","",INDEX(Int_Company,$N44)&amp;"")</f>
        <v/>
      </c>
      <c r="D44" s="67">
        <f>IF($N44="","",INDEX(Int_JobTitle,$N44)&amp;"")</f>
        <v/>
      </c>
      <c r="E44" s="67">
        <f>IF($N44="","",INDEX(Int_Stage,$N44)&amp;"")</f>
        <v/>
      </c>
      <c r="F44" s="67">
        <f>IF($N44="","",INDEX(Int_Type,$N44)&amp;"")</f>
        <v/>
      </c>
      <c r="G44" s="69">
        <f>IF($N44="","",IF(ISNUMBER(INDEX(Int_Date,$N44)),INT(INDEX(Int_Date,$N44))-TODAY(),""))</f>
        <v/>
      </c>
      <c r="H44" s="67">
        <f>IF($N44="","",INDEX(Int_Prep,$N44)&amp;"")</f>
        <v/>
      </c>
      <c r="I44" s="67">
        <f>IF($N44="","",INDEX(Int_Interviewer,$N44)&amp;"")</f>
        <v/>
      </c>
      <c r="L44" s="67">
        <f>IF($N44="","",INDEX(Int_NextStep,$N44)&amp;"")</f>
        <v/>
      </c>
      <c r="N44">
        <f>IFERROR(MATCH(SMALL(Int_Key,6),Int_Key,0),"")</f>
        <v/>
      </c>
    </row>
    <row r="45" ht="18" customHeight="1">
      <c r="B45" s="72">
        <f>IF($N45="","",IF(ISNUMBER(INDEX(Int_Date,$N45)),INDEX(Int_Date,$N45),""))</f>
        <v/>
      </c>
      <c r="C45" s="67">
        <f>IF($N45="","",INDEX(Int_Company,$N45)&amp;"")</f>
        <v/>
      </c>
      <c r="D45" s="67">
        <f>IF($N45="","",INDEX(Int_JobTitle,$N45)&amp;"")</f>
        <v/>
      </c>
      <c r="E45" s="67">
        <f>IF($N45="","",INDEX(Int_Stage,$N45)&amp;"")</f>
        <v/>
      </c>
      <c r="F45" s="67">
        <f>IF($N45="","",INDEX(Int_Type,$N45)&amp;"")</f>
        <v/>
      </c>
      <c r="G45" s="69">
        <f>IF($N45="","",IF(ISNUMBER(INDEX(Int_Date,$N45)),INT(INDEX(Int_Date,$N45))-TODAY(),""))</f>
        <v/>
      </c>
      <c r="H45" s="67">
        <f>IF($N45="","",INDEX(Int_Prep,$N45)&amp;"")</f>
        <v/>
      </c>
      <c r="I45" s="67">
        <f>IF($N45="","",INDEX(Int_Interviewer,$N45)&amp;"")</f>
        <v/>
      </c>
      <c r="L45" s="67">
        <f>IF($N45="","",INDEX(Int_NextStep,$N45)&amp;"")</f>
        <v/>
      </c>
      <c r="N45">
        <f>IFERROR(MATCH(SMALL(Int_Key,7),Int_Key,0),"")</f>
        <v/>
      </c>
    </row>
    <row r="46" ht="18" customHeight="1">
      <c r="B46" s="72">
        <f>IF($N46="","",IF(ISNUMBER(INDEX(Int_Date,$N46)),INDEX(Int_Date,$N46),""))</f>
        <v/>
      </c>
      <c r="C46" s="67">
        <f>IF($N46="","",INDEX(Int_Company,$N46)&amp;"")</f>
        <v/>
      </c>
      <c r="D46" s="67">
        <f>IF($N46="","",INDEX(Int_JobTitle,$N46)&amp;"")</f>
        <v/>
      </c>
      <c r="E46" s="67">
        <f>IF($N46="","",INDEX(Int_Stage,$N46)&amp;"")</f>
        <v/>
      </c>
      <c r="F46" s="67">
        <f>IF($N46="","",INDEX(Int_Type,$N46)&amp;"")</f>
        <v/>
      </c>
      <c r="G46" s="69">
        <f>IF($N46="","",IF(ISNUMBER(INDEX(Int_Date,$N46)),INT(INDEX(Int_Date,$N46))-TODAY(),""))</f>
        <v/>
      </c>
      <c r="H46" s="67">
        <f>IF($N46="","",INDEX(Int_Prep,$N46)&amp;"")</f>
        <v/>
      </c>
      <c r="I46" s="67">
        <f>IF($N46="","",INDEX(Int_Interviewer,$N46)&amp;"")</f>
        <v/>
      </c>
      <c r="L46" s="67">
        <f>IF($N46="","",INDEX(Int_NextStep,$N46)&amp;"")</f>
        <v/>
      </c>
      <c r="N46">
        <f>IFERROR(MATCH(SMALL(Int_Key,8),Int_Key,0),"")</f>
        <v/>
      </c>
    </row>
    <row r="47" ht="18" customHeight="1">
      <c r="B47" s="72">
        <f>IF($N47="","",IF(ISNUMBER(INDEX(Int_Date,$N47)),INDEX(Int_Date,$N47),""))</f>
        <v/>
      </c>
      <c r="C47" s="67">
        <f>IF($N47="","",INDEX(Int_Company,$N47)&amp;"")</f>
        <v/>
      </c>
      <c r="D47" s="67">
        <f>IF($N47="","",INDEX(Int_JobTitle,$N47)&amp;"")</f>
        <v/>
      </c>
      <c r="E47" s="67">
        <f>IF($N47="","",INDEX(Int_Stage,$N47)&amp;"")</f>
        <v/>
      </c>
      <c r="F47" s="67">
        <f>IF($N47="","",INDEX(Int_Type,$N47)&amp;"")</f>
        <v/>
      </c>
      <c r="G47" s="69">
        <f>IF($N47="","",IF(ISNUMBER(INDEX(Int_Date,$N47)),INT(INDEX(Int_Date,$N47))-TODAY(),""))</f>
        <v/>
      </c>
      <c r="H47" s="67">
        <f>IF($N47="","",INDEX(Int_Prep,$N47)&amp;"")</f>
        <v/>
      </c>
      <c r="I47" s="67">
        <f>IF($N47="","",INDEX(Int_Interviewer,$N47)&amp;"")</f>
        <v/>
      </c>
      <c r="L47" s="67">
        <f>IF($N47="","",INDEX(Int_NextStep,$N47)&amp;"")</f>
        <v/>
      </c>
      <c r="N47">
        <f>IFERROR(MATCH(SMALL(Int_Key,9),Int_Key,0),"")</f>
        <v/>
      </c>
    </row>
    <row r="48" ht="18" customHeight="1">
      <c r="B48" s="72">
        <f>IF($N48="","",IF(ISNUMBER(INDEX(Int_Date,$N48)),INDEX(Int_Date,$N48),""))</f>
        <v/>
      </c>
      <c r="C48" s="67">
        <f>IF($N48="","",INDEX(Int_Company,$N48)&amp;"")</f>
        <v/>
      </c>
      <c r="D48" s="67">
        <f>IF($N48="","",INDEX(Int_JobTitle,$N48)&amp;"")</f>
        <v/>
      </c>
      <c r="E48" s="67">
        <f>IF($N48="","",INDEX(Int_Stage,$N48)&amp;"")</f>
        <v/>
      </c>
      <c r="F48" s="67">
        <f>IF($N48="","",INDEX(Int_Type,$N48)&amp;"")</f>
        <v/>
      </c>
      <c r="G48" s="69">
        <f>IF($N48="","",IF(ISNUMBER(INDEX(Int_Date,$N48)),INT(INDEX(Int_Date,$N48))-TODAY(),""))</f>
        <v/>
      </c>
      <c r="H48" s="67">
        <f>IF($N48="","",INDEX(Int_Prep,$N48)&amp;"")</f>
        <v/>
      </c>
      <c r="I48" s="67">
        <f>IF($N48="","",INDEX(Int_Interviewer,$N48)&amp;"")</f>
        <v/>
      </c>
      <c r="L48" s="67">
        <f>IF($N48="","",INDEX(Int_NextStep,$N48)&amp;"")</f>
        <v/>
      </c>
      <c r="N48">
        <f>IFERROR(MATCH(SMALL(Int_Key,10),Int_Key,0),"")</f>
        <v/>
      </c>
    </row>
    <row r="49">
      <c r="B49" s="71">
        <f>IF(COUNT(Int_Key)&gt;10,"+ "&amp;(COUNT(Int_Key)-10)&amp;" more — see the Interviews tab","")</f>
        <v/>
      </c>
    </row>
    <row r="51">
      <c r="B51" s="5" t="inlineStr">
        <is>
          <t>CONTACTS — FOLLOW-UPS DUE (OVERDUE, TODAY AND WITHIN THE DUE-SOON WINDOW)</t>
        </is>
      </c>
    </row>
    <row r="52" ht="28" customHeight="1">
      <c r="B52" s="26" t="inlineStr">
        <is>
          <t>Name</t>
        </is>
      </c>
      <c r="C52" s="26" t="inlineStr">
        <is>
          <t>Company</t>
        </is>
      </c>
      <c r="D52" s="26" t="inlineStr">
        <is>
          <t>Job Title</t>
        </is>
      </c>
      <c r="E52" s="26" t="inlineStr">
        <is>
          <t>Response</t>
        </is>
      </c>
      <c r="F52" s="26" t="inlineStr">
        <is>
          <t>Notes</t>
        </is>
      </c>
      <c r="G52" s="27" t="inlineStr">
        <is>
          <t>Follow-up Date</t>
        </is>
      </c>
      <c r="H52" s="27" t="inlineStr">
        <is>
          <t>Days Overdue</t>
        </is>
      </c>
      <c r="I52" s="26" t="inlineStr">
        <is>
          <t>Referral Potential</t>
        </is>
      </c>
      <c r="J52" s="26" t="inlineStr">
        <is>
          <t>Contacted?</t>
        </is>
      </c>
      <c r="K52" s="26" t="inlineStr"/>
      <c r="L52" s="26" t="inlineStr">
        <is>
          <t>Relationship</t>
        </is>
      </c>
      <c r="M52" s="26" t="inlineStr">
        <is>
          <t>LinkedIn</t>
        </is>
      </c>
    </row>
    <row r="53" ht="18" customHeight="1">
      <c r="B53" s="67">
        <f>IF($N53="","",INDEX(Ct_Name,$N53)&amp;"")</f>
        <v/>
      </c>
      <c r="C53" s="67">
        <f>IF($N53="","",INDEX(Ct_Company,$N53)&amp;"")</f>
        <v/>
      </c>
      <c r="D53" s="67">
        <f>IF($N53="","",INDEX(Ct_JobTitle,$N53)&amp;"")</f>
        <v/>
      </c>
      <c r="E53" s="67">
        <f>IF($N53="","",INDEX(Ct_Response,$N53)&amp;"")</f>
        <v/>
      </c>
      <c r="F53" s="67">
        <f>IF($N53="","",INDEX(Ct_Notes,$N53)&amp;"")</f>
        <v/>
      </c>
      <c r="G53" s="68">
        <f>IF($N53="","",IF(ISNUMBER(INDEX(Ct_FollowUp,$N53)),INDEX(Ct_FollowUp,$N53),""))</f>
        <v/>
      </c>
      <c r="H53" s="69">
        <f>IF($N53="","",IF(ISNUMBER(INDEX(Ct_FollowUp,$N53)),IF(INT(INDEX(Ct_FollowUp,$N53))&lt;TODAY(),TODAY()-INT(INDEX(Ct_FollowUp,$N53)),""),""))</f>
        <v/>
      </c>
      <c r="I53" s="67">
        <f>IF($N53="","",INDEX(Ct_RefPotential,$N53)&amp;"")</f>
        <v/>
      </c>
      <c r="J53" s="67">
        <f>IF($N53="","",INDEX(Ct_Contacted,$N53)&amp;"")</f>
        <v/>
      </c>
      <c r="L53" s="67">
        <f>IF($N53="","",INDEX(Ct_Relationship,$N53)&amp;"")</f>
        <v/>
      </c>
      <c r="M53" s="70">
        <f>IF($N53="","",IF(INDEX(Ct_LinkedIn,$N53)="","",HYPERLINK(INDEX(Ct_LinkedIn,$N53),"Open ↗")))</f>
        <v/>
      </c>
      <c r="N53">
        <f>IFERROR(MATCH(SMALL(Ct_Key,1),Ct_Key,0),"")</f>
        <v/>
      </c>
    </row>
    <row r="54" ht="18" customHeight="1">
      <c r="B54" s="67">
        <f>IF($N54="","",INDEX(Ct_Name,$N54)&amp;"")</f>
        <v/>
      </c>
      <c r="C54" s="67">
        <f>IF($N54="","",INDEX(Ct_Company,$N54)&amp;"")</f>
        <v/>
      </c>
      <c r="D54" s="67">
        <f>IF($N54="","",INDEX(Ct_JobTitle,$N54)&amp;"")</f>
        <v/>
      </c>
      <c r="E54" s="67">
        <f>IF($N54="","",INDEX(Ct_Response,$N54)&amp;"")</f>
        <v/>
      </c>
      <c r="F54" s="67">
        <f>IF($N54="","",INDEX(Ct_Notes,$N54)&amp;"")</f>
        <v/>
      </c>
      <c r="G54" s="68">
        <f>IF($N54="","",IF(ISNUMBER(INDEX(Ct_FollowUp,$N54)),INDEX(Ct_FollowUp,$N54),""))</f>
        <v/>
      </c>
      <c r="H54" s="69">
        <f>IF($N54="","",IF(ISNUMBER(INDEX(Ct_FollowUp,$N54)),IF(INT(INDEX(Ct_FollowUp,$N54))&lt;TODAY(),TODAY()-INT(INDEX(Ct_FollowUp,$N54)),""),""))</f>
        <v/>
      </c>
      <c r="I54" s="67">
        <f>IF($N54="","",INDEX(Ct_RefPotential,$N54)&amp;"")</f>
        <v/>
      </c>
      <c r="J54" s="67">
        <f>IF($N54="","",INDEX(Ct_Contacted,$N54)&amp;"")</f>
        <v/>
      </c>
      <c r="L54" s="67">
        <f>IF($N54="","",INDEX(Ct_Relationship,$N54)&amp;"")</f>
        <v/>
      </c>
      <c r="M54" s="70">
        <f>IF($N54="","",IF(INDEX(Ct_LinkedIn,$N54)="","",HYPERLINK(INDEX(Ct_LinkedIn,$N54),"Open ↗")))</f>
        <v/>
      </c>
      <c r="N54">
        <f>IFERROR(MATCH(SMALL(Ct_Key,2),Ct_Key,0),"")</f>
        <v/>
      </c>
    </row>
    <row r="55" ht="18" customHeight="1">
      <c r="B55" s="67">
        <f>IF($N55="","",INDEX(Ct_Name,$N55)&amp;"")</f>
        <v/>
      </c>
      <c r="C55" s="67">
        <f>IF($N55="","",INDEX(Ct_Company,$N55)&amp;"")</f>
        <v/>
      </c>
      <c r="D55" s="67">
        <f>IF($N55="","",INDEX(Ct_JobTitle,$N55)&amp;"")</f>
        <v/>
      </c>
      <c r="E55" s="67">
        <f>IF($N55="","",INDEX(Ct_Response,$N55)&amp;"")</f>
        <v/>
      </c>
      <c r="F55" s="67">
        <f>IF($N55="","",INDEX(Ct_Notes,$N55)&amp;"")</f>
        <v/>
      </c>
      <c r="G55" s="68">
        <f>IF($N55="","",IF(ISNUMBER(INDEX(Ct_FollowUp,$N55)),INDEX(Ct_FollowUp,$N55),""))</f>
        <v/>
      </c>
      <c r="H55" s="69">
        <f>IF($N55="","",IF(ISNUMBER(INDEX(Ct_FollowUp,$N55)),IF(INT(INDEX(Ct_FollowUp,$N55))&lt;TODAY(),TODAY()-INT(INDEX(Ct_FollowUp,$N55)),""),""))</f>
        <v/>
      </c>
      <c r="I55" s="67">
        <f>IF($N55="","",INDEX(Ct_RefPotential,$N55)&amp;"")</f>
        <v/>
      </c>
      <c r="J55" s="67">
        <f>IF($N55="","",INDEX(Ct_Contacted,$N55)&amp;"")</f>
        <v/>
      </c>
      <c r="L55" s="67">
        <f>IF($N55="","",INDEX(Ct_Relationship,$N55)&amp;"")</f>
        <v/>
      </c>
      <c r="M55" s="70">
        <f>IF($N55="","",IF(INDEX(Ct_LinkedIn,$N55)="","",HYPERLINK(INDEX(Ct_LinkedIn,$N55),"Open ↗")))</f>
        <v/>
      </c>
      <c r="N55">
        <f>IFERROR(MATCH(SMALL(Ct_Key,3),Ct_Key,0),"")</f>
        <v/>
      </c>
    </row>
    <row r="56" ht="18" customHeight="1">
      <c r="B56" s="67">
        <f>IF($N56="","",INDEX(Ct_Name,$N56)&amp;"")</f>
        <v/>
      </c>
      <c r="C56" s="67">
        <f>IF($N56="","",INDEX(Ct_Company,$N56)&amp;"")</f>
        <v/>
      </c>
      <c r="D56" s="67">
        <f>IF($N56="","",INDEX(Ct_JobTitle,$N56)&amp;"")</f>
        <v/>
      </c>
      <c r="E56" s="67">
        <f>IF($N56="","",INDEX(Ct_Response,$N56)&amp;"")</f>
        <v/>
      </c>
      <c r="F56" s="67">
        <f>IF($N56="","",INDEX(Ct_Notes,$N56)&amp;"")</f>
        <v/>
      </c>
      <c r="G56" s="68">
        <f>IF($N56="","",IF(ISNUMBER(INDEX(Ct_FollowUp,$N56)),INDEX(Ct_FollowUp,$N56),""))</f>
        <v/>
      </c>
      <c r="H56" s="69">
        <f>IF($N56="","",IF(ISNUMBER(INDEX(Ct_FollowUp,$N56)),IF(INT(INDEX(Ct_FollowUp,$N56))&lt;TODAY(),TODAY()-INT(INDEX(Ct_FollowUp,$N56)),""),""))</f>
        <v/>
      </c>
      <c r="I56" s="67">
        <f>IF($N56="","",INDEX(Ct_RefPotential,$N56)&amp;"")</f>
        <v/>
      </c>
      <c r="J56" s="67">
        <f>IF($N56="","",INDEX(Ct_Contacted,$N56)&amp;"")</f>
        <v/>
      </c>
      <c r="L56" s="67">
        <f>IF($N56="","",INDEX(Ct_Relationship,$N56)&amp;"")</f>
        <v/>
      </c>
      <c r="M56" s="70">
        <f>IF($N56="","",IF(INDEX(Ct_LinkedIn,$N56)="","",HYPERLINK(INDEX(Ct_LinkedIn,$N56),"Open ↗")))</f>
        <v/>
      </c>
      <c r="N56">
        <f>IFERROR(MATCH(SMALL(Ct_Key,4),Ct_Key,0),"")</f>
        <v/>
      </c>
    </row>
    <row r="57" ht="18" customHeight="1">
      <c r="B57" s="67">
        <f>IF($N57="","",INDEX(Ct_Name,$N57)&amp;"")</f>
        <v/>
      </c>
      <c r="C57" s="67">
        <f>IF($N57="","",INDEX(Ct_Company,$N57)&amp;"")</f>
        <v/>
      </c>
      <c r="D57" s="67">
        <f>IF($N57="","",INDEX(Ct_JobTitle,$N57)&amp;"")</f>
        <v/>
      </c>
      <c r="E57" s="67">
        <f>IF($N57="","",INDEX(Ct_Response,$N57)&amp;"")</f>
        <v/>
      </c>
      <c r="F57" s="67">
        <f>IF($N57="","",INDEX(Ct_Notes,$N57)&amp;"")</f>
        <v/>
      </c>
      <c r="G57" s="68">
        <f>IF($N57="","",IF(ISNUMBER(INDEX(Ct_FollowUp,$N57)),INDEX(Ct_FollowUp,$N57),""))</f>
        <v/>
      </c>
      <c r="H57" s="69">
        <f>IF($N57="","",IF(ISNUMBER(INDEX(Ct_FollowUp,$N57)),IF(INT(INDEX(Ct_FollowUp,$N57))&lt;TODAY(),TODAY()-INT(INDEX(Ct_FollowUp,$N57)),""),""))</f>
        <v/>
      </c>
      <c r="I57" s="67">
        <f>IF($N57="","",INDEX(Ct_RefPotential,$N57)&amp;"")</f>
        <v/>
      </c>
      <c r="J57" s="67">
        <f>IF($N57="","",INDEX(Ct_Contacted,$N57)&amp;"")</f>
        <v/>
      </c>
      <c r="L57" s="67">
        <f>IF($N57="","",INDEX(Ct_Relationship,$N57)&amp;"")</f>
        <v/>
      </c>
      <c r="M57" s="70">
        <f>IF($N57="","",IF(INDEX(Ct_LinkedIn,$N57)="","",HYPERLINK(INDEX(Ct_LinkedIn,$N57),"Open ↗")))</f>
        <v/>
      </c>
      <c r="N57">
        <f>IFERROR(MATCH(SMALL(Ct_Key,5),Ct_Key,0),"")</f>
        <v/>
      </c>
    </row>
    <row r="58" ht="18" customHeight="1">
      <c r="B58" s="67">
        <f>IF($N58="","",INDEX(Ct_Name,$N58)&amp;"")</f>
        <v/>
      </c>
      <c r="C58" s="67">
        <f>IF($N58="","",INDEX(Ct_Company,$N58)&amp;"")</f>
        <v/>
      </c>
      <c r="D58" s="67">
        <f>IF($N58="","",INDEX(Ct_JobTitle,$N58)&amp;"")</f>
        <v/>
      </c>
      <c r="E58" s="67">
        <f>IF($N58="","",INDEX(Ct_Response,$N58)&amp;"")</f>
        <v/>
      </c>
      <c r="F58" s="67">
        <f>IF($N58="","",INDEX(Ct_Notes,$N58)&amp;"")</f>
        <v/>
      </c>
      <c r="G58" s="68">
        <f>IF($N58="","",IF(ISNUMBER(INDEX(Ct_FollowUp,$N58)),INDEX(Ct_FollowUp,$N58),""))</f>
        <v/>
      </c>
      <c r="H58" s="69">
        <f>IF($N58="","",IF(ISNUMBER(INDEX(Ct_FollowUp,$N58)),IF(INT(INDEX(Ct_FollowUp,$N58))&lt;TODAY(),TODAY()-INT(INDEX(Ct_FollowUp,$N58)),""),""))</f>
        <v/>
      </c>
      <c r="I58" s="67">
        <f>IF($N58="","",INDEX(Ct_RefPotential,$N58)&amp;"")</f>
        <v/>
      </c>
      <c r="J58" s="67">
        <f>IF($N58="","",INDEX(Ct_Contacted,$N58)&amp;"")</f>
        <v/>
      </c>
      <c r="L58" s="67">
        <f>IF($N58="","",INDEX(Ct_Relationship,$N58)&amp;"")</f>
        <v/>
      </c>
      <c r="M58" s="70">
        <f>IF($N58="","",IF(INDEX(Ct_LinkedIn,$N58)="","",HYPERLINK(INDEX(Ct_LinkedIn,$N58),"Open ↗")))</f>
        <v/>
      </c>
      <c r="N58">
        <f>IFERROR(MATCH(SMALL(Ct_Key,6),Ct_Key,0),"")</f>
        <v/>
      </c>
    </row>
    <row r="59" ht="18" customHeight="1">
      <c r="B59" s="67">
        <f>IF($N59="","",INDEX(Ct_Name,$N59)&amp;"")</f>
        <v/>
      </c>
      <c r="C59" s="67">
        <f>IF($N59="","",INDEX(Ct_Company,$N59)&amp;"")</f>
        <v/>
      </c>
      <c r="D59" s="67">
        <f>IF($N59="","",INDEX(Ct_JobTitle,$N59)&amp;"")</f>
        <v/>
      </c>
      <c r="E59" s="67">
        <f>IF($N59="","",INDEX(Ct_Response,$N59)&amp;"")</f>
        <v/>
      </c>
      <c r="F59" s="67">
        <f>IF($N59="","",INDEX(Ct_Notes,$N59)&amp;"")</f>
        <v/>
      </c>
      <c r="G59" s="68">
        <f>IF($N59="","",IF(ISNUMBER(INDEX(Ct_FollowUp,$N59)),INDEX(Ct_FollowUp,$N59),""))</f>
        <v/>
      </c>
      <c r="H59" s="69">
        <f>IF($N59="","",IF(ISNUMBER(INDEX(Ct_FollowUp,$N59)),IF(INT(INDEX(Ct_FollowUp,$N59))&lt;TODAY(),TODAY()-INT(INDEX(Ct_FollowUp,$N59)),""),""))</f>
        <v/>
      </c>
      <c r="I59" s="67">
        <f>IF($N59="","",INDEX(Ct_RefPotential,$N59)&amp;"")</f>
        <v/>
      </c>
      <c r="J59" s="67">
        <f>IF($N59="","",INDEX(Ct_Contacted,$N59)&amp;"")</f>
        <v/>
      </c>
      <c r="L59" s="67">
        <f>IF($N59="","",INDEX(Ct_Relationship,$N59)&amp;"")</f>
        <v/>
      </c>
      <c r="M59" s="70">
        <f>IF($N59="","",IF(INDEX(Ct_LinkedIn,$N59)="","",HYPERLINK(INDEX(Ct_LinkedIn,$N59),"Open ↗")))</f>
        <v/>
      </c>
      <c r="N59">
        <f>IFERROR(MATCH(SMALL(Ct_Key,7),Ct_Key,0),"")</f>
        <v/>
      </c>
    </row>
    <row r="60" ht="18" customHeight="1">
      <c r="B60" s="67">
        <f>IF($N60="","",INDEX(Ct_Name,$N60)&amp;"")</f>
        <v/>
      </c>
      <c r="C60" s="67">
        <f>IF($N60="","",INDEX(Ct_Company,$N60)&amp;"")</f>
        <v/>
      </c>
      <c r="D60" s="67">
        <f>IF($N60="","",INDEX(Ct_JobTitle,$N60)&amp;"")</f>
        <v/>
      </c>
      <c r="E60" s="67">
        <f>IF($N60="","",INDEX(Ct_Response,$N60)&amp;"")</f>
        <v/>
      </c>
      <c r="F60" s="67">
        <f>IF($N60="","",INDEX(Ct_Notes,$N60)&amp;"")</f>
        <v/>
      </c>
      <c r="G60" s="68">
        <f>IF($N60="","",IF(ISNUMBER(INDEX(Ct_FollowUp,$N60)),INDEX(Ct_FollowUp,$N60),""))</f>
        <v/>
      </c>
      <c r="H60" s="69">
        <f>IF($N60="","",IF(ISNUMBER(INDEX(Ct_FollowUp,$N60)),IF(INT(INDEX(Ct_FollowUp,$N60))&lt;TODAY(),TODAY()-INT(INDEX(Ct_FollowUp,$N60)),""),""))</f>
        <v/>
      </c>
      <c r="I60" s="67">
        <f>IF($N60="","",INDEX(Ct_RefPotential,$N60)&amp;"")</f>
        <v/>
      </c>
      <c r="J60" s="67">
        <f>IF($N60="","",INDEX(Ct_Contacted,$N60)&amp;"")</f>
        <v/>
      </c>
      <c r="L60" s="67">
        <f>IF($N60="","",INDEX(Ct_Relationship,$N60)&amp;"")</f>
        <v/>
      </c>
      <c r="M60" s="70">
        <f>IF($N60="","",IF(INDEX(Ct_LinkedIn,$N60)="","",HYPERLINK(INDEX(Ct_LinkedIn,$N60),"Open ↗")))</f>
        <v/>
      </c>
      <c r="N60">
        <f>IFERROR(MATCH(SMALL(Ct_Key,8),Ct_Key,0),"")</f>
        <v/>
      </c>
    </row>
    <row r="61" ht="18" customHeight="1">
      <c r="B61" s="67">
        <f>IF($N61="","",INDEX(Ct_Name,$N61)&amp;"")</f>
        <v/>
      </c>
      <c r="C61" s="67">
        <f>IF($N61="","",INDEX(Ct_Company,$N61)&amp;"")</f>
        <v/>
      </c>
      <c r="D61" s="67">
        <f>IF($N61="","",INDEX(Ct_JobTitle,$N61)&amp;"")</f>
        <v/>
      </c>
      <c r="E61" s="67">
        <f>IF($N61="","",INDEX(Ct_Response,$N61)&amp;"")</f>
        <v/>
      </c>
      <c r="F61" s="67">
        <f>IF($N61="","",INDEX(Ct_Notes,$N61)&amp;"")</f>
        <v/>
      </c>
      <c r="G61" s="68">
        <f>IF($N61="","",IF(ISNUMBER(INDEX(Ct_FollowUp,$N61)),INDEX(Ct_FollowUp,$N61),""))</f>
        <v/>
      </c>
      <c r="H61" s="69">
        <f>IF($N61="","",IF(ISNUMBER(INDEX(Ct_FollowUp,$N61)),IF(INT(INDEX(Ct_FollowUp,$N61))&lt;TODAY(),TODAY()-INT(INDEX(Ct_FollowUp,$N61)),""),""))</f>
        <v/>
      </c>
      <c r="I61" s="67">
        <f>IF($N61="","",INDEX(Ct_RefPotential,$N61)&amp;"")</f>
        <v/>
      </c>
      <c r="J61" s="67">
        <f>IF($N61="","",INDEX(Ct_Contacted,$N61)&amp;"")</f>
        <v/>
      </c>
      <c r="L61" s="67">
        <f>IF($N61="","",INDEX(Ct_Relationship,$N61)&amp;"")</f>
        <v/>
      </c>
      <c r="M61" s="70">
        <f>IF($N61="","",IF(INDEX(Ct_LinkedIn,$N61)="","",HYPERLINK(INDEX(Ct_LinkedIn,$N61),"Open ↗")))</f>
        <v/>
      </c>
      <c r="N61">
        <f>IFERROR(MATCH(SMALL(Ct_Key,9),Ct_Key,0),"")</f>
        <v/>
      </c>
    </row>
    <row r="62" ht="18" customHeight="1">
      <c r="B62" s="67">
        <f>IF($N62="","",INDEX(Ct_Name,$N62)&amp;"")</f>
        <v/>
      </c>
      <c r="C62" s="67">
        <f>IF($N62="","",INDEX(Ct_Company,$N62)&amp;"")</f>
        <v/>
      </c>
      <c r="D62" s="67">
        <f>IF($N62="","",INDEX(Ct_JobTitle,$N62)&amp;"")</f>
        <v/>
      </c>
      <c r="E62" s="67">
        <f>IF($N62="","",INDEX(Ct_Response,$N62)&amp;"")</f>
        <v/>
      </c>
      <c r="F62" s="67">
        <f>IF($N62="","",INDEX(Ct_Notes,$N62)&amp;"")</f>
        <v/>
      </c>
      <c r="G62" s="68">
        <f>IF($N62="","",IF(ISNUMBER(INDEX(Ct_FollowUp,$N62)),INDEX(Ct_FollowUp,$N62),""))</f>
        <v/>
      </c>
      <c r="H62" s="69">
        <f>IF($N62="","",IF(ISNUMBER(INDEX(Ct_FollowUp,$N62)),IF(INT(INDEX(Ct_FollowUp,$N62))&lt;TODAY(),TODAY()-INT(INDEX(Ct_FollowUp,$N62)),""),""))</f>
        <v/>
      </c>
      <c r="I62" s="67">
        <f>IF($N62="","",INDEX(Ct_RefPotential,$N62)&amp;"")</f>
        <v/>
      </c>
      <c r="J62" s="67">
        <f>IF($N62="","",INDEX(Ct_Contacted,$N62)&amp;"")</f>
        <v/>
      </c>
      <c r="L62" s="67">
        <f>IF($N62="","",INDEX(Ct_Relationship,$N62)&amp;"")</f>
        <v/>
      </c>
      <c r="M62" s="70">
        <f>IF($N62="","",IF(INDEX(Ct_LinkedIn,$N62)="","",HYPERLINK(INDEX(Ct_LinkedIn,$N62),"Open ↗")))</f>
        <v/>
      </c>
      <c r="N62">
        <f>IFERROR(MATCH(SMALL(Ct_Key,10),Ct_Key,0),"")</f>
        <v/>
      </c>
    </row>
    <row r="63" ht="18" customHeight="1">
      <c r="B63" s="67">
        <f>IF($N63="","",INDEX(Ct_Name,$N63)&amp;"")</f>
        <v/>
      </c>
      <c r="C63" s="67">
        <f>IF($N63="","",INDEX(Ct_Company,$N63)&amp;"")</f>
        <v/>
      </c>
      <c r="D63" s="67">
        <f>IF($N63="","",INDEX(Ct_JobTitle,$N63)&amp;"")</f>
        <v/>
      </c>
      <c r="E63" s="67">
        <f>IF($N63="","",INDEX(Ct_Response,$N63)&amp;"")</f>
        <v/>
      </c>
      <c r="F63" s="67">
        <f>IF($N63="","",INDEX(Ct_Notes,$N63)&amp;"")</f>
        <v/>
      </c>
      <c r="G63" s="68">
        <f>IF($N63="","",IF(ISNUMBER(INDEX(Ct_FollowUp,$N63)),INDEX(Ct_FollowUp,$N63),""))</f>
        <v/>
      </c>
      <c r="H63" s="69">
        <f>IF($N63="","",IF(ISNUMBER(INDEX(Ct_FollowUp,$N63)),IF(INT(INDEX(Ct_FollowUp,$N63))&lt;TODAY(),TODAY()-INT(INDEX(Ct_FollowUp,$N63)),""),""))</f>
        <v/>
      </c>
      <c r="I63" s="67">
        <f>IF($N63="","",INDEX(Ct_RefPotential,$N63)&amp;"")</f>
        <v/>
      </c>
      <c r="J63" s="67">
        <f>IF($N63="","",INDEX(Ct_Contacted,$N63)&amp;"")</f>
        <v/>
      </c>
      <c r="L63" s="67">
        <f>IF($N63="","",INDEX(Ct_Relationship,$N63)&amp;"")</f>
        <v/>
      </c>
      <c r="M63" s="70">
        <f>IF($N63="","",IF(INDEX(Ct_LinkedIn,$N63)="","",HYPERLINK(INDEX(Ct_LinkedIn,$N63),"Open ↗")))</f>
        <v/>
      </c>
      <c r="N63">
        <f>IFERROR(MATCH(SMALL(Ct_Key,11),Ct_Key,0),"")</f>
        <v/>
      </c>
    </row>
    <row r="64" ht="18" customHeight="1">
      <c r="B64" s="67">
        <f>IF($N64="","",INDEX(Ct_Name,$N64)&amp;"")</f>
        <v/>
      </c>
      <c r="C64" s="67">
        <f>IF($N64="","",INDEX(Ct_Company,$N64)&amp;"")</f>
        <v/>
      </c>
      <c r="D64" s="67">
        <f>IF($N64="","",INDEX(Ct_JobTitle,$N64)&amp;"")</f>
        <v/>
      </c>
      <c r="E64" s="67">
        <f>IF($N64="","",INDEX(Ct_Response,$N64)&amp;"")</f>
        <v/>
      </c>
      <c r="F64" s="67">
        <f>IF($N64="","",INDEX(Ct_Notes,$N64)&amp;"")</f>
        <v/>
      </c>
      <c r="G64" s="68">
        <f>IF($N64="","",IF(ISNUMBER(INDEX(Ct_FollowUp,$N64)),INDEX(Ct_FollowUp,$N64),""))</f>
        <v/>
      </c>
      <c r="H64" s="69">
        <f>IF($N64="","",IF(ISNUMBER(INDEX(Ct_FollowUp,$N64)),IF(INT(INDEX(Ct_FollowUp,$N64))&lt;TODAY(),TODAY()-INT(INDEX(Ct_FollowUp,$N64)),""),""))</f>
        <v/>
      </c>
      <c r="I64" s="67">
        <f>IF($N64="","",INDEX(Ct_RefPotential,$N64)&amp;"")</f>
        <v/>
      </c>
      <c r="J64" s="67">
        <f>IF($N64="","",INDEX(Ct_Contacted,$N64)&amp;"")</f>
        <v/>
      </c>
      <c r="L64" s="67">
        <f>IF($N64="","",INDEX(Ct_Relationship,$N64)&amp;"")</f>
        <v/>
      </c>
      <c r="M64" s="70">
        <f>IF($N64="","",IF(INDEX(Ct_LinkedIn,$N64)="","",HYPERLINK(INDEX(Ct_LinkedIn,$N64),"Open ↗")))</f>
        <v/>
      </c>
      <c r="N64">
        <f>IFERROR(MATCH(SMALL(Ct_Key,12),Ct_Key,0),"")</f>
        <v/>
      </c>
    </row>
    <row r="65" ht="18" customHeight="1">
      <c r="B65" s="67">
        <f>IF($N65="","",INDEX(Ct_Name,$N65)&amp;"")</f>
        <v/>
      </c>
      <c r="C65" s="67">
        <f>IF($N65="","",INDEX(Ct_Company,$N65)&amp;"")</f>
        <v/>
      </c>
      <c r="D65" s="67">
        <f>IF($N65="","",INDEX(Ct_JobTitle,$N65)&amp;"")</f>
        <v/>
      </c>
      <c r="E65" s="67">
        <f>IF($N65="","",INDEX(Ct_Response,$N65)&amp;"")</f>
        <v/>
      </c>
      <c r="F65" s="67">
        <f>IF($N65="","",INDEX(Ct_Notes,$N65)&amp;"")</f>
        <v/>
      </c>
      <c r="G65" s="68">
        <f>IF($N65="","",IF(ISNUMBER(INDEX(Ct_FollowUp,$N65)),INDEX(Ct_FollowUp,$N65),""))</f>
        <v/>
      </c>
      <c r="H65" s="69">
        <f>IF($N65="","",IF(ISNUMBER(INDEX(Ct_FollowUp,$N65)),IF(INT(INDEX(Ct_FollowUp,$N65))&lt;TODAY(),TODAY()-INT(INDEX(Ct_FollowUp,$N65)),""),""))</f>
        <v/>
      </c>
      <c r="I65" s="67">
        <f>IF($N65="","",INDEX(Ct_RefPotential,$N65)&amp;"")</f>
        <v/>
      </c>
      <c r="J65" s="67">
        <f>IF($N65="","",INDEX(Ct_Contacted,$N65)&amp;"")</f>
        <v/>
      </c>
      <c r="L65" s="67">
        <f>IF($N65="","",INDEX(Ct_Relationship,$N65)&amp;"")</f>
        <v/>
      </c>
      <c r="M65" s="70">
        <f>IF($N65="","",IF(INDEX(Ct_LinkedIn,$N65)="","",HYPERLINK(INDEX(Ct_LinkedIn,$N65),"Open ↗")))</f>
        <v/>
      </c>
      <c r="N65">
        <f>IFERROR(MATCH(SMALL(Ct_Key,13),Ct_Key,0),"")</f>
        <v/>
      </c>
    </row>
    <row r="66" ht="18" customHeight="1">
      <c r="B66" s="67">
        <f>IF($N66="","",INDEX(Ct_Name,$N66)&amp;"")</f>
        <v/>
      </c>
      <c r="C66" s="67">
        <f>IF($N66="","",INDEX(Ct_Company,$N66)&amp;"")</f>
        <v/>
      </c>
      <c r="D66" s="67">
        <f>IF($N66="","",INDEX(Ct_JobTitle,$N66)&amp;"")</f>
        <v/>
      </c>
      <c r="E66" s="67">
        <f>IF($N66="","",INDEX(Ct_Response,$N66)&amp;"")</f>
        <v/>
      </c>
      <c r="F66" s="67">
        <f>IF($N66="","",INDEX(Ct_Notes,$N66)&amp;"")</f>
        <v/>
      </c>
      <c r="G66" s="68">
        <f>IF($N66="","",IF(ISNUMBER(INDEX(Ct_FollowUp,$N66)),INDEX(Ct_FollowUp,$N66),""))</f>
        <v/>
      </c>
      <c r="H66" s="69">
        <f>IF($N66="","",IF(ISNUMBER(INDEX(Ct_FollowUp,$N66)),IF(INT(INDEX(Ct_FollowUp,$N66))&lt;TODAY(),TODAY()-INT(INDEX(Ct_FollowUp,$N66)),""),""))</f>
        <v/>
      </c>
      <c r="I66" s="67">
        <f>IF($N66="","",INDEX(Ct_RefPotential,$N66)&amp;"")</f>
        <v/>
      </c>
      <c r="J66" s="67">
        <f>IF($N66="","",INDEX(Ct_Contacted,$N66)&amp;"")</f>
        <v/>
      </c>
      <c r="L66" s="67">
        <f>IF($N66="","",INDEX(Ct_Relationship,$N66)&amp;"")</f>
        <v/>
      </c>
      <c r="M66" s="70">
        <f>IF($N66="","",IF(INDEX(Ct_LinkedIn,$N66)="","",HYPERLINK(INDEX(Ct_LinkedIn,$N66),"Open ↗")))</f>
        <v/>
      </c>
      <c r="N66">
        <f>IFERROR(MATCH(SMALL(Ct_Key,14),Ct_Key,0),"")</f>
        <v/>
      </c>
    </row>
    <row r="67" ht="18" customHeight="1">
      <c r="B67" s="67">
        <f>IF($N67="","",INDEX(Ct_Name,$N67)&amp;"")</f>
        <v/>
      </c>
      <c r="C67" s="67">
        <f>IF($N67="","",INDEX(Ct_Company,$N67)&amp;"")</f>
        <v/>
      </c>
      <c r="D67" s="67">
        <f>IF($N67="","",INDEX(Ct_JobTitle,$N67)&amp;"")</f>
        <v/>
      </c>
      <c r="E67" s="67">
        <f>IF($N67="","",INDEX(Ct_Response,$N67)&amp;"")</f>
        <v/>
      </c>
      <c r="F67" s="67">
        <f>IF($N67="","",INDEX(Ct_Notes,$N67)&amp;"")</f>
        <v/>
      </c>
      <c r="G67" s="68">
        <f>IF($N67="","",IF(ISNUMBER(INDEX(Ct_FollowUp,$N67)),INDEX(Ct_FollowUp,$N67),""))</f>
        <v/>
      </c>
      <c r="H67" s="69">
        <f>IF($N67="","",IF(ISNUMBER(INDEX(Ct_FollowUp,$N67)),IF(INT(INDEX(Ct_FollowUp,$N67))&lt;TODAY(),TODAY()-INT(INDEX(Ct_FollowUp,$N67)),""),""))</f>
        <v/>
      </c>
      <c r="I67" s="67">
        <f>IF($N67="","",INDEX(Ct_RefPotential,$N67)&amp;"")</f>
        <v/>
      </c>
      <c r="J67" s="67">
        <f>IF($N67="","",INDEX(Ct_Contacted,$N67)&amp;"")</f>
        <v/>
      </c>
      <c r="L67" s="67">
        <f>IF($N67="","",INDEX(Ct_Relationship,$N67)&amp;"")</f>
        <v/>
      </c>
      <c r="M67" s="70">
        <f>IF($N67="","",IF(INDEX(Ct_LinkedIn,$N67)="","",HYPERLINK(INDEX(Ct_LinkedIn,$N67),"Open ↗")))</f>
        <v/>
      </c>
      <c r="N67">
        <f>IFERROR(MATCH(SMALL(Ct_Key,15),Ct_Key,0),"")</f>
        <v/>
      </c>
    </row>
    <row r="68">
      <c r="B68" s="71">
        <f>IF(COUNT(Ct_Key)&gt;15,"+ "&amp;(COUNT(Ct_Key)-15)&amp;" more — sort the Contacts tab by Follow-up Date","")</f>
        <v/>
      </c>
    </row>
  </sheetData>
  <conditionalFormatting sqref="B6">
    <cfRule type="expression" priority="1" dxfId="4" stopIfTrue="1">
      <formula>$B$6&gt;0</formula>
    </cfRule>
  </conditionalFormatting>
  <conditionalFormatting sqref="C6">
    <cfRule type="expression" priority="2" dxfId="5" stopIfTrue="1">
      <formula>$C$6&gt;0</formula>
    </cfRule>
  </conditionalFormatting>
  <conditionalFormatting sqref="B10:M34">
    <cfRule type="expression" priority="3" dxfId="6" stopIfTrue="0">
      <formula>$N10&lt;&gt;""</formula>
    </cfRule>
  </conditionalFormatting>
  <conditionalFormatting sqref="B10:B34">
    <cfRule type="expression" priority="4" dxfId="7" stopIfTrue="1">
      <formula>$B10="FOLLOW UP REQUIRED"</formula>
    </cfRule>
    <cfRule type="expression" priority="5" dxfId="8" stopIfTrue="1">
      <formula>$B10="ACTION DUE TODAY"</formula>
    </cfRule>
    <cfRule type="expression" priority="6" dxfId="9" stopIfTrue="1">
      <formula>$B10="NO RESPONSE"</formula>
    </cfRule>
    <cfRule type="expression" priority="7" dxfId="10" stopIfTrue="1">
      <formula>$B10="DUE SOON"</formula>
    </cfRule>
  </conditionalFormatting>
  <conditionalFormatting sqref="E10:E34">
    <cfRule type="expression" priority="8" dxfId="11" stopIfTrue="1">
      <formula>$E10="Wishlist"</formula>
    </cfRule>
    <cfRule type="expression" priority="9" dxfId="12" stopIfTrue="1">
      <formula>$E10="Applied"</formula>
    </cfRule>
    <cfRule type="expression" priority="10" dxfId="13" stopIfTrue="1">
      <formula>$E10="Screening"</formula>
    </cfRule>
    <cfRule type="expression" priority="11" dxfId="14" stopIfTrue="1">
      <formula>$E10="Interview 1"</formula>
    </cfRule>
    <cfRule type="expression" priority="12" dxfId="14" stopIfTrue="1">
      <formula>$E10="Interview 2"</formula>
    </cfRule>
    <cfRule type="expression" priority="13" dxfId="15" stopIfTrue="1">
      <formula>$E10="Final"</formula>
    </cfRule>
    <cfRule type="expression" priority="14" dxfId="16" stopIfTrue="1">
      <formula>$E10="Offer"</formula>
    </cfRule>
    <cfRule type="expression" priority="15" dxfId="17" stopIfTrue="1">
      <formula>$E10="Accepted"</formula>
    </cfRule>
    <cfRule type="expression" priority="16" dxfId="18" stopIfTrue="1">
      <formula>$E10="Rejected"</formula>
    </cfRule>
    <cfRule type="expression" priority="17" dxfId="19" stopIfTrue="1">
      <formula>$E10="Withdrawn"</formula>
    </cfRule>
  </conditionalFormatting>
  <conditionalFormatting sqref="H10:H34">
    <cfRule type="expression" priority="18" dxfId="20" stopIfTrue="1">
      <formula>AND(ISNUMBER($H10),$H10&gt;0)</formula>
    </cfRule>
  </conditionalFormatting>
  <conditionalFormatting sqref="K10:K34">
    <cfRule type="expression" priority="19" dxfId="21" stopIfTrue="1">
      <formula>$K10="High"</formula>
    </cfRule>
    <cfRule type="expression" priority="20" dxfId="22" stopIfTrue="1">
      <formula>$K10="Low"</formula>
    </cfRule>
  </conditionalFormatting>
  <conditionalFormatting sqref="B39:L48">
    <cfRule type="expression" priority="21" dxfId="6" stopIfTrue="0">
      <formula>$N39&lt;&gt;""</formula>
    </cfRule>
  </conditionalFormatting>
  <conditionalFormatting sqref="G39:G48">
    <cfRule type="expression" priority="22" dxfId="8" stopIfTrue="1">
      <formula>AND(ISNUMBER($G39),$G39=0)</formula>
    </cfRule>
  </conditionalFormatting>
  <conditionalFormatting sqref="H39:H48">
    <cfRule type="expression" priority="23" dxfId="21" stopIfTrue="1">
      <formula>$H39="Not Started"</formula>
    </cfRule>
    <cfRule type="expression" priority="24" dxfId="5" stopIfTrue="1">
      <formula>$H39="In Progress"</formula>
    </cfRule>
    <cfRule type="expression" priority="25" dxfId="23" stopIfTrue="1">
      <formula>$H39="Ready"</formula>
    </cfRule>
  </conditionalFormatting>
  <conditionalFormatting sqref="B53:M67">
    <cfRule type="expression" priority="26" dxfId="6" stopIfTrue="0">
      <formula>$N53&lt;&gt;""</formula>
    </cfRule>
  </conditionalFormatting>
  <conditionalFormatting sqref="G53:G67">
    <cfRule type="expression" priority="27" dxfId="7" stopIfTrue="1">
      <formula>AND(ISNUMBER($G53),$G53&lt;TODAY())</formula>
    </cfRule>
    <cfRule type="expression" priority="28" dxfId="24" stopIfTrue="1">
      <formula>ISNUMBER($G53)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I1004"/>
  <sheetViews>
    <sheetView showGridLines="0" zoomScale="10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30" customWidth="1" min="5" max="5"/>
    <col width="15" customWidth="1" min="6" max="6"/>
    <col width="16" customWidth="1" min="7" max="7"/>
    <col width="15" customWidth="1" min="8" max="8"/>
    <col width="24" customWidth="1" min="9" max="9"/>
    <col width="16" customWidth="1" min="10" max="10"/>
    <col width="10" customWidth="1" min="11" max="11"/>
    <col width="9" customWidth="1" min="12" max="12"/>
    <col width="13" customWidth="1" min="13" max="13"/>
    <col width="28" customWidth="1" min="14" max="14"/>
    <col width="12" customWidth="1" min="15" max="15"/>
    <col width="20" customWidth="1" min="16" max="16"/>
    <col width="22" customWidth="1" min="17" max="17"/>
    <col width="18" customWidth="1" min="18" max="18"/>
    <col width="12" customWidth="1" min="19" max="19"/>
    <col width="10" customWidth="1" min="20" max="20"/>
    <col width="15" customWidth="1" min="21" max="21"/>
    <col width="30" customWidth="1" min="22" max="22"/>
    <col width="46" customWidth="1" min="23" max="23"/>
    <col width="36" customWidth="1" min="24" max="24"/>
    <col width="12" customWidth="1" min="25" max="25"/>
    <col width="22" customWidth="1" min="26" max="26"/>
    <col width="12" customWidth="1" min="27" max="27"/>
    <col width="14" customWidth="1" min="28" max="28"/>
    <col width="21" customWidth="1" min="29" max="29"/>
    <col width="16" customWidth="1" min="30" max="30"/>
    <col width="13" customWidth="1" min="31" max="31"/>
    <col width="11" customWidth="1" min="32" max="32"/>
    <col hidden="1" width="8" customWidth="1" min="33" max="33"/>
    <col hidden="1" width="8" customWidth="1" min="34" max="34"/>
    <col hidden="1" width="8" customWidth="1" min="35" max="35"/>
  </cols>
  <sheetData>
    <row r="1" ht="26" customHeight="1">
      <c r="A1" s="73" t="inlineStr">
        <is>
          <t>Applications</t>
        </is>
      </c>
      <c r="AG1" s="74" t="inlineStr">
        <is>
          <t>Follow-up days</t>
        </is>
      </c>
      <c r="AH1" s="74" t="inlineStr">
        <is>
          <t>Due-soon days</t>
        </is>
      </c>
    </row>
    <row r="2">
      <c r="A2" s="4" t="inlineStr">
        <is>
          <t>One row per job. Status drives the pipeline · Next Action Date drives Follow-Ups · Match % is your own assessment.</t>
        </is>
      </c>
      <c r="AG2">
        <f>Set_FollowUpDays</f>
        <v/>
      </c>
      <c r="AH2">
        <f>Set_DueSoonDays</f>
        <v/>
      </c>
    </row>
    <row r="3">
      <c r="A3" s="75" t="inlineStr">
        <is>
          <t>Next ID</t>
        </is>
      </c>
      <c r="B3" s="76">
        <f>MAX(App_ID)+1</f>
        <v/>
      </c>
      <c r="D3" s="63" t="inlineStr">
        <is>
          <t>White columns = your input  ·  Grey columns = auto-calculated (don't type over them)  ·  Dates as dd.mm.yyyy (Ctrl+; = today)</t>
        </is>
      </c>
      <c r="Z3" s="77" t="inlineStr">
        <is>
          <t>EXTRA TRACKING FIELDS  ▸  your input</t>
        </is>
      </c>
      <c r="AC3" s="5" t="inlineStr">
        <is>
          <t>AUTO-CALCULATED  ▸  don't edit</t>
        </is>
      </c>
    </row>
    <row r="4" ht="34" customHeight="1">
      <c r="A4" s="78" t="inlineStr">
        <is>
          <t>Application ID</t>
        </is>
      </c>
      <c r="B4" s="78" t="inlineStr">
        <is>
          <t>Date Added</t>
        </is>
      </c>
      <c r="C4" s="78" t="inlineStr">
        <is>
          <t>Date Applied</t>
        </is>
      </c>
      <c r="D4" s="78" t="inlineStr">
        <is>
          <t>Company</t>
        </is>
      </c>
      <c r="E4" s="78" t="inlineStr">
        <is>
          <t>Job Title</t>
        </is>
      </c>
      <c r="F4" s="78" t="inlineStr">
        <is>
          <t>Job Type</t>
        </is>
      </c>
      <c r="G4" s="78" t="inlineStr">
        <is>
          <t>Location</t>
        </is>
      </c>
      <c r="H4" s="78" t="inlineStr">
        <is>
          <t>Remote / Hybrid / On-site</t>
        </is>
      </c>
      <c r="I4" s="78" t="inlineStr">
        <is>
          <t>Job URL</t>
        </is>
      </c>
      <c r="J4" s="78" t="inlineStr">
        <is>
          <t>Source</t>
        </is>
      </c>
      <c r="K4" s="78" t="inlineStr">
        <is>
          <t>Priority</t>
        </is>
      </c>
      <c r="L4" s="78" t="inlineStr">
        <is>
          <t>Match %</t>
        </is>
      </c>
      <c r="M4" s="78" t="inlineStr">
        <is>
          <t>Status</t>
        </is>
      </c>
      <c r="N4" s="78" t="inlineStr">
        <is>
          <t>Next Action</t>
        </is>
      </c>
      <c r="O4" s="78" t="inlineStr">
        <is>
          <t>Next Action Date</t>
        </is>
      </c>
      <c r="P4" s="78" t="inlineStr">
        <is>
          <t>Recruiter / Hiring Manager</t>
        </is>
      </c>
      <c r="Q4" s="78" t="inlineStr">
        <is>
          <t>Recruiter LinkedIn</t>
        </is>
      </c>
      <c r="R4" s="78" t="inlineStr">
        <is>
          <t>CV Version</t>
        </is>
      </c>
      <c r="S4" s="78" t="inlineStr">
        <is>
          <t>Cover Letter</t>
        </is>
      </c>
      <c r="T4" s="78" t="inlineStr">
        <is>
          <t>Referral</t>
        </is>
      </c>
      <c r="U4" s="78" t="inlineStr">
        <is>
          <t>Salary / Salary Range</t>
        </is>
      </c>
      <c r="V4" s="78" t="inlineStr">
        <is>
          <t>Key Technologies / Skills</t>
        </is>
      </c>
      <c r="W4" s="78" t="inlineStr">
        <is>
          <t>Why Me?</t>
        </is>
      </c>
      <c r="X4" s="78" t="inlineStr">
        <is>
          <t>Notes</t>
        </is>
      </c>
      <c r="Y4" s="78" t="inlineStr">
        <is>
          <t>Last Updated</t>
        </is>
      </c>
      <c r="Z4" s="78" t="inlineStr">
        <is>
          <t>Role Category</t>
        </is>
      </c>
      <c r="AA4" s="78" t="inlineStr">
        <is>
          <t>First Response Date</t>
        </is>
      </c>
      <c r="AB4" s="78" t="inlineStr">
        <is>
          <t>Stage When Closed</t>
        </is>
      </c>
      <c r="AC4" s="79" t="inlineStr">
        <is>
          <t>Action Flag</t>
        </is>
      </c>
      <c r="AD4" s="79" t="inlineStr">
        <is>
          <t>Match Category</t>
        </is>
      </c>
      <c r="AE4" s="79" t="inlineStr">
        <is>
          <t>Furthest Stage</t>
        </is>
      </c>
      <c r="AF4" s="79" t="inlineStr">
        <is>
          <t>Days to Response</t>
        </is>
      </c>
      <c r="AG4" s="79" t="inlineStr">
        <is>
          <t>Stage # (helper)</t>
        </is>
      </c>
      <c r="AH4" s="79" t="inlineStr">
        <is>
          <t>Action Sort Key (helper)</t>
        </is>
      </c>
      <c r="AI4" s="79" t="inlineStr">
        <is>
          <t>Active Sort Key (helper)</t>
        </is>
      </c>
    </row>
    <row r="5">
      <c r="A5" s="80" t="n"/>
      <c r="B5" s="81" t="n"/>
      <c r="C5" s="81" t="n"/>
      <c r="D5" s="82" t="n"/>
      <c r="E5" s="82" t="n"/>
      <c r="F5" s="82" t="n"/>
      <c r="G5" s="82" t="n"/>
      <c r="H5" s="82" t="n"/>
      <c r="I5" s="83" t="n"/>
      <c r="J5" s="82" t="n"/>
      <c r="K5" s="84" t="n"/>
      <c r="L5" s="85" t="n"/>
      <c r="M5" s="82" t="n"/>
      <c r="N5" s="86" t="n"/>
      <c r="O5" s="81" t="n"/>
      <c r="P5" s="82" t="n"/>
      <c r="Q5" s="83" t="n"/>
      <c r="R5" s="82" t="n"/>
      <c r="S5" s="84" t="n"/>
      <c r="T5" s="84" t="n"/>
      <c r="U5" s="82" t="n"/>
      <c r="V5" s="86" t="n"/>
      <c r="W5" s="86" t="n"/>
      <c r="X5" s="86" t="n"/>
      <c r="Y5" s="81" t="n"/>
      <c r="Z5" s="82" t="n"/>
      <c r="AA5" s="81" t="n"/>
      <c r="AB5" s="82" t="n"/>
      <c r="AC5" s="87">
        <f>IF(OR($D5="",$M5="Rejected",$M5="Withdrawn",$M5="Accepted"),"",IF(ISNUMBER($O5),IF(INT($O5)&lt;TODAY(),"FOLLOW UP REQUIRED",IF(INT($O5)=TODAY(),"ACTION DUE TODAY",IF(INT($O5)-TODAY()&lt;=Set_DueSoonDays,"DUE SOON",""))),IF(AND($M5="Applied",$AA5=""),IF(ISNUMBER($C5),IF(TODAY()-$C5&gt;=Set_FollowUpDays,"NO RESPONSE",""),""),"")))</f>
        <v/>
      </c>
      <c r="AD5" s="87">
        <f>IF(ISNUMBER($L5),IF($L5&gt;=90,"Excellent Match",IF($L5&gt;=75,"Strong Match",IF($L5&gt;=60,"Moderate Match","Low Match"))),"")</f>
        <v/>
      </c>
      <c r="AE5" s="87">
        <f>IF($D5="","",IF(OR($M5="Rejected",$M5="Withdrawn"),IF($AB5&lt;&gt;"",$AB5,IF(OR($M5="Rejected",ISNUMBER($C5)),"Applied","Wishlist")),IF($M5="",IF(ISNUMBER($C5),"Applied","Wishlist"),$M5)))</f>
        <v/>
      </c>
      <c r="AF5" s="88">
        <f>IF(AND(ISNUMBER($C5),ISNUMBER($AA5)),$AA5-$C5,"")</f>
        <v/>
      </c>
      <c r="AG5" s="87">
        <f>IF($AE5="","",IFERROR(MATCH($AE5,{"Wishlist","Applied","Screening","Interview 1","Interview 2","Final","Offer","Accepted"},0)-1,""))</f>
        <v/>
      </c>
      <c r="AH5" s="87">
        <f>IF($AC5="","",MATCH($AC5,{"FOLLOW UP REQUIRED","ACTION DUE TODAY","NO RESPONSE","DUE SOON"},0)*100000+IF(ISNUMBER($O5),$O5,IF(ISNUMBER($C5),$C5,0))+ROW()/10000)</f>
        <v/>
      </c>
      <c r="AI5" s="87">
        <f>IF(AND(ISNUMBER($AG5),$AG5&gt;=1,$AG5&lt;=6,$M5&lt;&gt;"Rejected",$M5&lt;&gt;"Withdrawn"),(10-$AG5)*100000+IF(ISNUMBER($C5),$C5,0)+ROW()/10000,"")</f>
        <v/>
      </c>
    </row>
    <row r="6">
      <c r="A6" s="80" t="n"/>
      <c r="B6" s="81" t="n"/>
      <c r="C6" s="81" t="n"/>
      <c r="D6" s="82" t="n"/>
      <c r="E6" s="82" t="n"/>
      <c r="F6" s="82" t="n"/>
      <c r="G6" s="82" t="n"/>
      <c r="H6" s="82" t="n"/>
      <c r="I6" s="83" t="n"/>
      <c r="J6" s="82" t="n"/>
      <c r="K6" s="84" t="n"/>
      <c r="L6" s="85" t="n"/>
      <c r="M6" s="82" t="n"/>
      <c r="N6" s="86" t="n"/>
      <c r="O6" s="81" t="n"/>
      <c r="P6" s="82" t="n"/>
      <c r="Q6" s="83" t="n"/>
      <c r="R6" s="82" t="n"/>
      <c r="S6" s="84" t="n"/>
      <c r="T6" s="84" t="n"/>
      <c r="U6" s="82" t="n"/>
      <c r="V6" s="86" t="n"/>
      <c r="W6" s="86" t="n"/>
      <c r="X6" s="86" t="n"/>
      <c r="Y6" s="81" t="n"/>
      <c r="Z6" s="82" t="n"/>
      <c r="AA6" s="81" t="n"/>
      <c r="AB6" s="82" t="n"/>
      <c r="AC6" s="87">
        <f>IF(OR($D6="",$M6="Rejected",$M6="Withdrawn",$M6="Accepted"),"",IF(ISNUMBER($O6),IF(INT($O6)&lt;TODAY(),"FOLLOW UP REQUIRED",IF(INT($O6)=TODAY(),"ACTION DUE TODAY",IF(INT($O6)-TODAY()&lt;=Set_DueSoonDays,"DUE SOON",""))),IF(AND($M6="Applied",$AA6=""),IF(ISNUMBER($C6),IF(TODAY()-$C6&gt;=Set_FollowUpDays,"NO RESPONSE",""),""),"")))</f>
        <v/>
      </c>
      <c r="AD6" s="87">
        <f>IF(ISNUMBER($L6),IF($L6&gt;=90,"Excellent Match",IF($L6&gt;=75,"Strong Match",IF($L6&gt;=60,"Moderate Match","Low Match"))),"")</f>
        <v/>
      </c>
      <c r="AE6" s="87">
        <f>IF($D6="","",IF(OR($M6="Rejected",$M6="Withdrawn"),IF($AB6&lt;&gt;"",$AB6,IF(OR($M6="Rejected",ISNUMBER($C6)),"Applied","Wishlist")),IF($M6="",IF(ISNUMBER($C6),"Applied","Wishlist"),$M6)))</f>
        <v/>
      </c>
      <c r="AF6" s="88">
        <f>IF(AND(ISNUMBER($C6),ISNUMBER($AA6)),$AA6-$C6,"")</f>
        <v/>
      </c>
      <c r="AG6" s="87">
        <f>IF($AE6="","",IFERROR(MATCH($AE6,{"Wishlist","Applied","Screening","Interview 1","Interview 2","Final","Offer","Accepted"},0)-1,""))</f>
        <v/>
      </c>
      <c r="AH6" s="87">
        <f>IF($AC6="","",MATCH($AC6,{"FOLLOW UP REQUIRED","ACTION DUE TODAY","NO RESPONSE","DUE SOON"},0)*100000+IF(ISNUMBER($O6),$O6,IF(ISNUMBER($C6),$C6,0))+ROW()/10000)</f>
        <v/>
      </c>
      <c r="AI6" s="87">
        <f>IF(AND(ISNUMBER($AG6),$AG6&gt;=1,$AG6&lt;=6,$M6&lt;&gt;"Rejected",$M6&lt;&gt;"Withdrawn"),(10-$AG6)*100000+IF(ISNUMBER($C6),$C6,0)+ROW()/10000,"")</f>
        <v/>
      </c>
    </row>
    <row r="7">
      <c r="A7" s="80" t="n"/>
      <c r="B7" s="81" t="n"/>
      <c r="C7" s="81" t="n"/>
      <c r="D7" s="82" t="n"/>
      <c r="E7" s="82" t="n"/>
      <c r="F7" s="82" t="n"/>
      <c r="G7" s="82" t="n"/>
      <c r="H7" s="82" t="n"/>
      <c r="I7" s="83" t="n"/>
      <c r="J7" s="82" t="n"/>
      <c r="K7" s="84" t="n"/>
      <c r="L7" s="85" t="n"/>
      <c r="M7" s="82" t="n"/>
      <c r="N7" s="86" t="n"/>
      <c r="O7" s="81" t="n"/>
      <c r="P7" s="82" t="n"/>
      <c r="Q7" s="83" t="n"/>
      <c r="R7" s="82" t="n"/>
      <c r="S7" s="84" t="n"/>
      <c r="T7" s="84" t="n"/>
      <c r="U7" s="82" t="n"/>
      <c r="V7" s="86" t="n"/>
      <c r="W7" s="86" t="n"/>
      <c r="X7" s="86" t="n"/>
      <c r="Y7" s="81" t="n"/>
      <c r="Z7" s="82" t="n"/>
      <c r="AA7" s="81" t="n"/>
      <c r="AB7" s="82" t="n"/>
      <c r="AC7" s="87">
        <f>IF(OR($D7="",$M7="Rejected",$M7="Withdrawn",$M7="Accepted"),"",IF(ISNUMBER($O7),IF(INT($O7)&lt;TODAY(),"FOLLOW UP REQUIRED",IF(INT($O7)=TODAY(),"ACTION DUE TODAY",IF(INT($O7)-TODAY()&lt;=Set_DueSoonDays,"DUE SOON",""))),IF(AND($M7="Applied",$AA7=""),IF(ISNUMBER($C7),IF(TODAY()-$C7&gt;=Set_FollowUpDays,"NO RESPONSE",""),""),"")))</f>
        <v/>
      </c>
      <c r="AD7" s="87">
        <f>IF(ISNUMBER($L7),IF($L7&gt;=90,"Excellent Match",IF($L7&gt;=75,"Strong Match",IF($L7&gt;=60,"Moderate Match","Low Match"))),"")</f>
        <v/>
      </c>
      <c r="AE7" s="87">
        <f>IF($D7="","",IF(OR($M7="Rejected",$M7="Withdrawn"),IF($AB7&lt;&gt;"",$AB7,IF(OR($M7="Rejected",ISNUMBER($C7)),"Applied","Wishlist")),IF($M7="",IF(ISNUMBER($C7),"Applied","Wishlist"),$M7)))</f>
        <v/>
      </c>
      <c r="AF7" s="88">
        <f>IF(AND(ISNUMBER($C7),ISNUMBER($AA7)),$AA7-$C7,"")</f>
        <v/>
      </c>
      <c r="AG7" s="87">
        <f>IF($AE7="","",IFERROR(MATCH($AE7,{"Wishlist","Applied","Screening","Interview 1","Interview 2","Final","Offer","Accepted"},0)-1,""))</f>
        <v/>
      </c>
      <c r="AH7" s="87">
        <f>IF($AC7="","",MATCH($AC7,{"FOLLOW UP REQUIRED","ACTION DUE TODAY","NO RESPONSE","DUE SOON"},0)*100000+IF(ISNUMBER($O7),$O7,IF(ISNUMBER($C7),$C7,0))+ROW()/10000)</f>
        <v/>
      </c>
      <c r="AI7" s="87">
        <f>IF(AND(ISNUMBER($AG7),$AG7&gt;=1,$AG7&lt;=6,$M7&lt;&gt;"Rejected",$M7&lt;&gt;"Withdrawn"),(10-$AG7)*100000+IF(ISNUMBER($C7),$C7,0)+ROW()/10000,"")</f>
        <v/>
      </c>
    </row>
    <row r="8">
      <c r="A8" s="80" t="n"/>
      <c r="B8" s="81" t="n"/>
      <c r="C8" s="81" t="n"/>
      <c r="D8" s="82" t="n"/>
      <c r="E8" s="82" t="n"/>
      <c r="F8" s="82" t="n"/>
      <c r="G8" s="82" t="n"/>
      <c r="H8" s="82" t="n"/>
      <c r="I8" s="83" t="n"/>
      <c r="J8" s="82" t="n"/>
      <c r="K8" s="84" t="n"/>
      <c r="L8" s="85" t="n"/>
      <c r="M8" s="82" t="n"/>
      <c r="N8" s="86" t="n"/>
      <c r="O8" s="81" t="n"/>
      <c r="P8" s="82" t="n"/>
      <c r="Q8" s="83" t="n"/>
      <c r="R8" s="82" t="n"/>
      <c r="S8" s="84" t="n"/>
      <c r="T8" s="84" t="n"/>
      <c r="U8" s="82" t="n"/>
      <c r="V8" s="86" t="n"/>
      <c r="W8" s="86" t="n"/>
      <c r="X8" s="86" t="n"/>
      <c r="Y8" s="81" t="n"/>
      <c r="Z8" s="82" t="n"/>
      <c r="AA8" s="81" t="n"/>
      <c r="AB8" s="82" t="n"/>
      <c r="AC8" s="87">
        <f>IF(OR($D8="",$M8="Rejected",$M8="Withdrawn",$M8="Accepted"),"",IF(ISNUMBER($O8),IF(INT($O8)&lt;TODAY(),"FOLLOW UP REQUIRED",IF(INT($O8)=TODAY(),"ACTION DUE TODAY",IF(INT($O8)-TODAY()&lt;=Set_DueSoonDays,"DUE SOON",""))),IF(AND($M8="Applied",$AA8=""),IF(ISNUMBER($C8),IF(TODAY()-$C8&gt;=Set_FollowUpDays,"NO RESPONSE",""),""),"")))</f>
        <v/>
      </c>
      <c r="AD8" s="87">
        <f>IF(ISNUMBER($L8),IF($L8&gt;=90,"Excellent Match",IF($L8&gt;=75,"Strong Match",IF($L8&gt;=60,"Moderate Match","Low Match"))),"")</f>
        <v/>
      </c>
      <c r="AE8" s="87">
        <f>IF($D8="","",IF(OR($M8="Rejected",$M8="Withdrawn"),IF($AB8&lt;&gt;"",$AB8,IF(OR($M8="Rejected",ISNUMBER($C8)),"Applied","Wishlist")),IF($M8="",IF(ISNUMBER($C8),"Applied","Wishlist"),$M8)))</f>
        <v/>
      </c>
      <c r="AF8" s="88">
        <f>IF(AND(ISNUMBER($C8),ISNUMBER($AA8)),$AA8-$C8,"")</f>
        <v/>
      </c>
      <c r="AG8" s="87">
        <f>IF($AE8="","",IFERROR(MATCH($AE8,{"Wishlist","Applied","Screening","Interview 1","Interview 2","Final","Offer","Accepted"},0)-1,""))</f>
        <v/>
      </c>
      <c r="AH8" s="87">
        <f>IF($AC8="","",MATCH($AC8,{"FOLLOW UP REQUIRED","ACTION DUE TODAY","NO RESPONSE","DUE SOON"},0)*100000+IF(ISNUMBER($O8),$O8,IF(ISNUMBER($C8),$C8,0))+ROW()/10000)</f>
        <v/>
      </c>
      <c r="AI8" s="87">
        <f>IF(AND(ISNUMBER($AG8),$AG8&gt;=1,$AG8&lt;=6,$M8&lt;&gt;"Rejected",$M8&lt;&gt;"Withdrawn"),(10-$AG8)*100000+IF(ISNUMBER($C8),$C8,0)+ROW()/10000,"")</f>
        <v/>
      </c>
    </row>
    <row r="9">
      <c r="A9" s="80" t="n"/>
      <c r="B9" s="81" t="n"/>
      <c r="C9" s="81" t="n"/>
      <c r="D9" s="82" t="n"/>
      <c r="E9" s="82" t="n"/>
      <c r="F9" s="82" t="n"/>
      <c r="G9" s="82" t="n"/>
      <c r="H9" s="82" t="n"/>
      <c r="I9" s="83" t="n"/>
      <c r="J9" s="82" t="n"/>
      <c r="K9" s="84" t="n"/>
      <c r="L9" s="85" t="n"/>
      <c r="M9" s="82" t="n"/>
      <c r="N9" s="86" t="n"/>
      <c r="O9" s="81" t="n"/>
      <c r="P9" s="82" t="n"/>
      <c r="Q9" s="83" t="n"/>
      <c r="R9" s="82" t="n"/>
      <c r="S9" s="84" t="n"/>
      <c r="T9" s="84" t="n"/>
      <c r="U9" s="82" t="n"/>
      <c r="V9" s="86" t="n"/>
      <c r="W9" s="86" t="n"/>
      <c r="X9" s="86" t="n"/>
      <c r="Y9" s="81" t="n"/>
      <c r="Z9" s="82" t="n"/>
      <c r="AA9" s="81" t="n"/>
      <c r="AB9" s="82" t="n"/>
      <c r="AC9" s="87">
        <f>IF(OR($D9="",$M9="Rejected",$M9="Withdrawn",$M9="Accepted"),"",IF(ISNUMBER($O9),IF(INT($O9)&lt;TODAY(),"FOLLOW UP REQUIRED",IF(INT($O9)=TODAY(),"ACTION DUE TODAY",IF(INT($O9)-TODAY()&lt;=Set_DueSoonDays,"DUE SOON",""))),IF(AND($M9="Applied",$AA9=""),IF(ISNUMBER($C9),IF(TODAY()-$C9&gt;=Set_FollowUpDays,"NO RESPONSE",""),""),"")))</f>
        <v/>
      </c>
      <c r="AD9" s="87">
        <f>IF(ISNUMBER($L9),IF($L9&gt;=90,"Excellent Match",IF($L9&gt;=75,"Strong Match",IF($L9&gt;=60,"Moderate Match","Low Match"))),"")</f>
        <v/>
      </c>
      <c r="AE9" s="87">
        <f>IF($D9="","",IF(OR($M9="Rejected",$M9="Withdrawn"),IF($AB9&lt;&gt;"",$AB9,IF(OR($M9="Rejected",ISNUMBER($C9)),"Applied","Wishlist")),IF($M9="",IF(ISNUMBER($C9),"Applied","Wishlist"),$M9)))</f>
        <v/>
      </c>
      <c r="AF9" s="88">
        <f>IF(AND(ISNUMBER($C9),ISNUMBER($AA9)),$AA9-$C9,"")</f>
        <v/>
      </c>
      <c r="AG9" s="87">
        <f>IF($AE9="","",IFERROR(MATCH($AE9,{"Wishlist","Applied","Screening","Interview 1","Interview 2","Final","Offer","Accepted"},0)-1,""))</f>
        <v/>
      </c>
      <c r="AH9" s="87">
        <f>IF($AC9="","",MATCH($AC9,{"FOLLOW UP REQUIRED","ACTION DUE TODAY","NO RESPONSE","DUE SOON"},0)*100000+IF(ISNUMBER($O9),$O9,IF(ISNUMBER($C9),$C9,0))+ROW()/10000)</f>
        <v/>
      </c>
      <c r="AI9" s="87">
        <f>IF(AND(ISNUMBER($AG9),$AG9&gt;=1,$AG9&lt;=6,$M9&lt;&gt;"Rejected",$M9&lt;&gt;"Withdrawn"),(10-$AG9)*100000+IF(ISNUMBER($C9),$C9,0)+ROW()/10000,"")</f>
        <v/>
      </c>
    </row>
    <row r="10">
      <c r="A10" s="80" t="n"/>
      <c r="B10" s="81" t="n"/>
      <c r="C10" s="81" t="n"/>
      <c r="D10" s="82" t="n"/>
      <c r="E10" s="82" t="n"/>
      <c r="F10" s="82" t="n"/>
      <c r="G10" s="82" t="n"/>
      <c r="H10" s="82" t="n"/>
      <c r="I10" s="83" t="n"/>
      <c r="J10" s="82" t="n"/>
      <c r="K10" s="84" t="n"/>
      <c r="L10" s="85" t="n"/>
      <c r="M10" s="82" t="n"/>
      <c r="N10" s="86" t="n"/>
      <c r="O10" s="81" t="n"/>
      <c r="P10" s="82" t="n"/>
      <c r="Q10" s="83" t="n"/>
      <c r="R10" s="82" t="n"/>
      <c r="S10" s="84" t="n"/>
      <c r="T10" s="84" t="n"/>
      <c r="U10" s="82" t="n"/>
      <c r="V10" s="86" t="n"/>
      <c r="W10" s="86" t="n"/>
      <c r="X10" s="86" t="n"/>
      <c r="Y10" s="81" t="n"/>
      <c r="Z10" s="82" t="n"/>
      <c r="AA10" s="81" t="n"/>
      <c r="AB10" s="82" t="n"/>
      <c r="AC10" s="87">
        <f>IF(OR($D10="",$M10="Rejected",$M10="Withdrawn",$M10="Accepted"),"",IF(ISNUMBER($O10),IF(INT($O10)&lt;TODAY(),"FOLLOW UP REQUIRED",IF(INT($O10)=TODAY(),"ACTION DUE TODAY",IF(INT($O10)-TODAY()&lt;=Set_DueSoonDays,"DUE SOON",""))),IF(AND($M10="Applied",$AA10=""),IF(ISNUMBER($C10),IF(TODAY()-$C10&gt;=Set_FollowUpDays,"NO RESPONSE",""),""),"")))</f>
        <v/>
      </c>
      <c r="AD10" s="87">
        <f>IF(ISNUMBER($L10),IF($L10&gt;=90,"Excellent Match",IF($L10&gt;=75,"Strong Match",IF($L10&gt;=60,"Moderate Match","Low Match"))),"")</f>
        <v/>
      </c>
      <c r="AE10" s="87">
        <f>IF($D10="","",IF(OR($M10="Rejected",$M10="Withdrawn"),IF($AB10&lt;&gt;"",$AB10,IF(OR($M10="Rejected",ISNUMBER($C10)),"Applied","Wishlist")),IF($M10="",IF(ISNUMBER($C10),"Applied","Wishlist"),$M10)))</f>
        <v/>
      </c>
      <c r="AF10" s="88">
        <f>IF(AND(ISNUMBER($C10),ISNUMBER($AA10)),$AA10-$C10,"")</f>
        <v/>
      </c>
      <c r="AG10" s="87">
        <f>IF($AE10="","",IFERROR(MATCH($AE10,{"Wishlist","Applied","Screening","Interview 1","Interview 2","Final","Offer","Accepted"},0)-1,""))</f>
        <v/>
      </c>
      <c r="AH10" s="87">
        <f>IF($AC10="","",MATCH($AC10,{"FOLLOW UP REQUIRED","ACTION DUE TODAY","NO RESPONSE","DUE SOON"},0)*100000+IF(ISNUMBER($O10),$O10,IF(ISNUMBER($C10),$C10,0))+ROW()/10000)</f>
        <v/>
      </c>
      <c r="AI10" s="87">
        <f>IF(AND(ISNUMBER($AG10),$AG10&gt;=1,$AG10&lt;=6,$M10&lt;&gt;"Rejected",$M10&lt;&gt;"Withdrawn"),(10-$AG10)*100000+IF(ISNUMBER($C10),$C10,0)+ROW()/10000,"")</f>
        <v/>
      </c>
    </row>
    <row r="11">
      <c r="A11" s="80" t="n"/>
      <c r="B11" s="81" t="n"/>
      <c r="C11" s="81" t="n"/>
      <c r="D11" s="82" t="n"/>
      <c r="E11" s="82" t="n"/>
      <c r="F11" s="82" t="n"/>
      <c r="G11" s="82" t="n"/>
      <c r="H11" s="82" t="n"/>
      <c r="I11" s="83" t="n"/>
      <c r="J11" s="82" t="n"/>
      <c r="K11" s="84" t="n"/>
      <c r="L11" s="85" t="n"/>
      <c r="M11" s="82" t="n"/>
      <c r="N11" s="86" t="n"/>
      <c r="O11" s="81" t="n"/>
      <c r="P11" s="82" t="n"/>
      <c r="Q11" s="83" t="n"/>
      <c r="R11" s="82" t="n"/>
      <c r="S11" s="84" t="n"/>
      <c r="T11" s="84" t="n"/>
      <c r="U11" s="82" t="n"/>
      <c r="V11" s="86" t="n"/>
      <c r="W11" s="86" t="n"/>
      <c r="X11" s="86" t="n"/>
      <c r="Y11" s="81" t="n"/>
      <c r="Z11" s="82" t="n"/>
      <c r="AA11" s="81" t="n"/>
      <c r="AB11" s="82" t="n"/>
      <c r="AC11" s="87">
        <f>IF(OR($D11="",$M11="Rejected",$M11="Withdrawn",$M11="Accepted"),"",IF(ISNUMBER($O11),IF(INT($O11)&lt;TODAY(),"FOLLOW UP REQUIRED",IF(INT($O11)=TODAY(),"ACTION DUE TODAY",IF(INT($O11)-TODAY()&lt;=Set_DueSoonDays,"DUE SOON",""))),IF(AND($M11="Applied",$AA11=""),IF(ISNUMBER($C11),IF(TODAY()-$C11&gt;=Set_FollowUpDays,"NO RESPONSE",""),""),"")))</f>
        <v/>
      </c>
      <c r="AD11" s="87">
        <f>IF(ISNUMBER($L11),IF($L11&gt;=90,"Excellent Match",IF($L11&gt;=75,"Strong Match",IF($L11&gt;=60,"Moderate Match","Low Match"))),"")</f>
        <v/>
      </c>
      <c r="AE11" s="87">
        <f>IF($D11="","",IF(OR($M11="Rejected",$M11="Withdrawn"),IF($AB11&lt;&gt;"",$AB11,IF(OR($M11="Rejected",ISNUMBER($C11)),"Applied","Wishlist")),IF($M11="",IF(ISNUMBER($C11),"Applied","Wishlist"),$M11)))</f>
        <v/>
      </c>
      <c r="AF11" s="88">
        <f>IF(AND(ISNUMBER($C11),ISNUMBER($AA11)),$AA11-$C11,"")</f>
        <v/>
      </c>
      <c r="AG11" s="87">
        <f>IF($AE11="","",IFERROR(MATCH($AE11,{"Wishlist","Applied","Screening","Interview 1","Interview 2","Final","Offer","Accepted"},0)-1,""))</f>
        <v/>
      </c>
      <c r="AH11" s="87">
        <f>IF($AC11="","",MATCH($AC11,{"FOLLOW UP REQUIRED","ACTION DUE TODAY","NO RESPONSE","DUE SOON"},0)*100000+IF(ISNUMBER($O11),$O11,IF(ISNUMBER($C11),$C11,0))+ROW()/10000)</f>
        <v/>
      </c>
      <c r="AI11" s="87">
        <f>IF(AND(ISNUMBER($AG11),$AG11&gt;=1,$AG11&lt;=6,$M11&lt;&gt;"Rejected",$M11&lt;&gt;"Withdrawn"),(10-$AG11)*100000+IF(ISNUMBER($C11),$C11,0)+ROW()/10000,"")</f>
        <v/>
      </c>
    </row>
    <row r="12">
      <c r="A12" s="80" t="n"/>
      <c r="B12" s="81" t="n"/>
      <c r="C12" s="81" t="n"/>
      <c r="D12" s="82" t="n"/>
      <c r="E12" s="82" t="n"/>
      <c r="F12" s="82" t="n"/>
      <c r="G12" s="82" t="n"/>
      <c r="H12" s="82" t="n"/>
      <c r="I12" s="83" t="n"/>
      <c r="J12" s="82" t="n"/>
      <c r="K12" s="84" t="n"/>
      <c r="L12" s="85" t="n"/>
      <c r="M12" s="82" t="n"/>
      <c r="N12" s="86" t="n"/>
      <c r="O12" s="81" t="n"/>
      <c r="P12" s="82" t="n"/>
      <c r="Q12" s="83" t="n"/>
      <c r="R12" s="82" t="n"/>
      <c r="S12" s="84" t="n"/>
      <c r="T12" s="84" t="n"/>
      <c r="U12" s="82" t="n"/>
      <c r="V12" s="86" t="n"/>
      <c r="W12" s="86" t="n"/>
      <c r="X12" s="86" t="n"/>
      <c r="Y12" s="81" t="n"/>
      <c r="Z12" s="82" t="n"/>
      <c r="AA12" s="81" t="n"/>
      <c r="AB12" s="82" t="n"/>
      <c r="AC12" s="87">
        <f>IF(OR($D12="",$M12="Rejected",$M12="Withdrawn",$M12="Accepted"),"",IF(ISNUMBER($O12),IF(INT($O12)&lt;TODAY(),"FOLLOW UP REQUIRED",IF(INT($O12)=TODAY(),"ACTION DUE TODAY",IF(INT($O12)-TODAY()&lt;=Set_DueSoonDays,"DUE SOON",""))),IF(AND($M12="Applied",$AA12=""),IF(ISNUMBER($C12),IF(TODAY()-$C12&gt;=Set_FollowUpDays,"NO RESPONSE",""),""),"")))</f>
        <v/>
      </c>
      <c r="AD12" s="87">
        <f>IF(ISNUMBER($L12),IF($L12&gt;=90,"Excellent Match",IF($L12&gt;=75,"Strong Match",IF($L12&gt;=60,"Moderate Match","Low Match"))),"")</f>
        <v/>
      </c>
      <c r="AE12" s="87">
        <f>IF($D12="","",IF(OR($M12="Rejected",$M12="Withdrawn"),IF($AB12&lt;&gt;"",$AB12,IF(OR($M12="Rejected",ISNUMBER($C12)),"Applied","Wishlist")),IF($M12="",IF(ISNUMBER($C12),"Applied","Wishlist"),$M12)))</f>
        <v/>
      </c>
      <c r="AF12" s="88">
        <f>IF(AND(ISNUMBER($C12),ISNUMBER($AA12)),$AA12-$C12,"")</f>
        <v/>
      </c>
      <c r="AG12" s="87">
        <f>IF($AE12="","",IFERROR(MATCH($AE12,{"Wishlist","Applied","Screening","Interview 1","Interview 2","Final","Offer","Accepted"},0)-1,""))</f>
        <v/>
      </c>
      <c r="AH12" s="87">
        <f>IF($AC12="","",MATCH($AC12,{"FOLLOW UP REQUIRED","ACTION DUE TODAY","NO RESPONSE","DUE SOON"},0)*100000+IF(ISNUMBER($O12),$O12,IF(ISNUMBER($C12),$C12,0))+ROW()/10000)</f>
        <v/>
      </c>
      <c r="AI12" s="87">
        <f>IF(AND(ISNUMBER($AG12),$AG12&gt;=1,$AG12&lt;=6,$M12&lt;&gt;"Rejected",$M12&lt;&gt;"Withdrawn"),(10-$AG12)*100000+IF(ISNUMBER($C12),$C12,0)+ROW()/10000,"")</f>
        <v/>
      </c>
    </row>
    <row r="13">
      <c r="A13" s="80" t="n"/>
      <c r="B13" s="81" t="n"/>
      <c r="C13" s="81" t="n"/>
      <c r="D13" s="82" t="n"/>
      <c r="E13" s="82" t="n"/>
      <c r="F13" s="82" t="n"/>
      <c r="G13" s="82" t="n"/>
      <c r="H13" s="82" t="n"/>
      <c r="I13" s="83" t="n"/>
      <c r="J13" s="82" t="n"/>
      <c r="K13" s="84" t="n"/>
      <c r="L13" s="85" t="n"/>
      <c r="M13" s="82" t="n"/>
      <c r="N13" s="86" t="n"/>
      <c r="O13" s="81" t="n"/>
      <c r="P13" s="82" t="n"/>
      <c r="Q13" s="83" t="n"/>
      <c r="R13" s="82" t="n"/>
      <c r="S13" s="84" t="n"/>
      <c r="T13" s="84" t="n"/>
      <c r="U13" s="82" t="n"/>
      <c r="V13" s="86" t="n"/>
      <c r="W13" s="86" t="n"/>
      <c r="X13" s="86" t="n"/>
      <c r="Y13" s="81" t="n"/>
      <c r="Z13" s="82" t="n"/>
      <c r="AA13" s="81" t="n"/>
      <c r="AB13" s="82" t="n"/>
      <c r="AC13" s="87">
        <f>IF(OR($D13="",$M13="Rejected",$M13="Withdrawn",$M13="Accepted"),"",IF(ISNUMBER($O13),IF(INT($O13)&lt;TODAY(),"FOLLOW UP REQUIRED",IF(INT($O13)=TODAY(),"ACTION DUE TODAY",IF(INT($O13)-TODAY()&lt;=Set_DueSoonDays,"DUE SOON",""))),IF(AND($M13="Applied",$AA13=""),IF(ISNUMBER($C13),IF(TODAY()-$C13&gt;=Set_FollowUpDays,"NO RESPONSE",""),""),"")))</f>
        <v/>
      </c>
      <c r="AD13" s="87">
        <f>IF(ISNUMBER($L13),IF($L13&gt;=90,"Excellent Match",IF($L13&gt;=75,"Strong Match",IF($L13&gt;=60,"Moderate Match","Low Match"))),"")</f>
        <v/>
      </c>
      <c r="AE13" s="87">
        <f>IF($D13="","",IF(OR($M13="Rejected",$M13="Withdrawn"),IF($AB13&lt;&gt;"",$AB13,IF(OR($M13="Rejected",ISNUMBER($C13)),"Applied","Wishlist")),IF($M13="",IF(ISNUMBER($C13),"Applied","Wishlist"),$M13)))</f>
        <v/>
      </c>
      <c r="AF13" s="88">
        <f>IF(AND(ISNUMBER($C13),ISNUMBER($AA13)),$AA13-$C13,"")</f>
        <v/>
      </c>
      <c r="AG13" s="87">
        <f>IF($AE13="","",IFERROR(MATCH($AE13,{"Wishlist","Applied","Screening","Interview 1","Interview 2","Final","Offer","Accepted"},0)-1,""))</f>
        <v/>
      </c>
      <c r="AH13" s="87">
        <f>IF($AC13="","",MATCH($AC13,{"FOLLOW UP REQUIRED","ACTION DUE TODAY","NO RESPONSE","DUE SOON"},0)*100000+IF(ISNUMBER($O13),$O13,IF(ISNUMBER($C13),$C13,0))+ROW()/10000)</f>
        <v/>
      </c>
      <c r="AI13" s="87">
        <f>IF(AND(ISNUMBER($AG13),$AG13&gt;=1,$AG13&lt;=6,$M13&lt;&gt;"Rejected",$M13&lt;&gt;"Withdrawn"),(10-$AG13)*100000+IF(ISNUMBER($C13),$C13,0)+ROW()/10000,"")</f>
        <v/>
      </c>
    </row>
    <row r="14">
      <c r="A14" s="80" t="n"/>
      <c r="B14" s="81" t="n"/>
      <c r="C14" s="81" t="n"/>
      <c r="D14" s="82" t="n"/>
      <c r="E14" s="82" t="n"/>
      <c r="F14" s="82" t="n"/>
      <c r="G14" s="82" t="n"/>
      <c r="H14" s="82" t="n"/>
      <c r="I14" s="83" t="n"/>
      <c r="J14" s="82" t="n"/>
      <c r="K14" s="84" t="n"/>
      <c r="L14" s="85" t="n"/>
      <c r="M14" s="82" t="n"/>
      <c r="N14" s="86" t="n"/>
      <c r="O14" s="81" t="n"/>
      <c r="P14" s="82" t="n"/>
      <c r="Q14" s="83" t="n"/>
      <c r="R14" s="82" t="n"/>
      <c r="S14" s="84" t="n"/>
      <c r="T14" s="84" t="n"/>
      <c r="U14" s="82" t="n"/>
      <c r="V14" s="86" t="n"/>
      <c r="W14" s="86" t="n"/>
      <c r="X14" s="86" t="n"/>
      <c r="Y14" s="81" t="n"/>
      <c r="Z14" s="82" t="n"/>
      <c r="AA14" s="81" t="n"/>
      <c r="AB14" s="82" t="n"/>
      <c r="AC14" s="87">
        <f>IF(OR($D14="",$M14="Rejected",$M14="Withdrawn",$M14="Accepted"),"",IF(ISNUMBER($O14),IF(INT($O14)&lt;TODAY(),"FOLLOW UP REQUIRED",IF(INT($O14)=TODAY(),"ACTION DUE TODAY",IF(INT($O14)-TODAY()&lt;=Set_DueSoonDays,"DUE SOON",""))),IF(AND($M14="Applied",$AA14=""),IF(ISNUMBER($C14),IF(TODAY()-$C14&gt;=Set_FollowUpDays,"NO RESPONSE",""),""),"")))</f>
        <v/>
      </c>
      <c r="AD14" s="87">
        <f>IF(ISNUMBER($L14),IF($L14&gt;=90,"Excellent Match",IF($L14&gt;=75,"Strong Match",IF($L14&gt;=60,"Moderate Match","Low Match"))),"")</f>
        <v/>
      </c>
      <c r="AE14" s="87">
        <f>IF($D14="","",IF(OR($M14="Rejected",$M14="Withdrawn"),IF($AB14&lt;&gt;"",$AB14,IF(OR($M14="Rejected",ISNUMBER($C14)),"Applied","Wishlist")),IF($M14="",IF(ISNUMBER($C14),"Applied","Wishlist"),$M14)))</f>
        <v/>
      </c>
      <c r="AF14" s="88">
        <f>IF(AND(ISNUMBER($C14),ISNUMBER($AA14)),$AA14-$C14,"")</f>
        <v/>
      </c>
      <c r="AG14" s="87">
        <f>IF($AE14="","",IFERROR(MATCH($AE14,{"Wishlist","Applied","Screening","Interview 1","Interview 2","Final","Offer","Accepted"},0)-1,""))</f>
        <v/>
      </c>
      <c r="AH14" s="87">
        <f>IF($AC14="","",MATCH($AC14,{"FOLLOW UP REQUIRED","ACTION DUE TODAY","NO RESPONSE","DUE SOON"},0)*100000+IF(ISNUMBER($O14),$O14,IF(ISNUMBER($C14),$C14,0))+ROW()/10000)</f>
        <v/>
      </c>
      <c r="AI14" s="87">
        <f>IF(AND(ISNUMBER($AG14),$AG14&gt;=1,$AG14&lt;=6,$M14&lt;&gt;"Rejected",$M14&lt;&gt;"Withdrawn"),(10-$AG14)*100000+IF(ISNUMBER($C14),$C14,0)+ROW()/10000,"")</f>
        <v/>
      </c>
    </row>
    <row r="15">
      <c r="A15" s="80" t="n"/>
      <c r="B15" s="81" t="n"/>
      <c r="C15" s="81" t="n"/>
      <c r="D15" s="82" t="n"/>
      <c r="E15" s="82" t="n"/>
      <c r="F15" s="82" t="n"/>
      <c r="G15" s="82" t="n"/>
      <c r="H15" s="82" t="n"/>
      <c r="I15" s="83" t="n"/>
      <c r="J15" s="82" t="n"/>
      <c r="K15" s="84" t="n"/>
      <c r="L15" s="85" t="n"/>
      <c r="M15" s="82" t="n"/>
      <c r="N15" s="86" t="n"/>
      <c r="O15" s="81" t="n"/>
      <c r="P15" s="82" t="n"/>
      <c r="Q15" s="83" t="n"/>
      <c r="R15" s="82" t="n"/>
      <c r="S15" s="84" t="n"/>
      <c r="T15" s="84" t="n"/>
      <c r="U15" s="82" t="n"/>
      <c r="V15" s="86" t="n"/>
      <c r="W15" s="86" t="n"/>
      <c r="X15" s="86" t="n"/>
      <c r="Y15" s="81" t="n"/>
      <c r="Z15" s="82" t="n"/>
      <c r="AA15" s="81" t="n"/>
      <c r="AB15" s="82" t="n"/>
      <c r="AC15" s="87">
        <f>IF(OR($D15="",$M15="Rejected",$M15="Withdrawn",$M15="Accepted"),"",IF(ISNUMBER($O15),IF(INT($O15)&lt;TODAY(),"FOLLOW UP REQUIRED",IF(INT($O15)=TODAY(),"ACTION DUE TODAY",IF(INT($O15)-TODAY()&lt;=Set_DueSoonDays,"DUE SOON",""))),IF(AND($M15="Applied",$AA15=""),IF(ISNUMBER($C15),IF(TODAY()-$C15&gt;=Set_FollowUpDays,"NO RESPONSE",""),""),"")))</f>
        <v/>
      </c>
      <c r="AD15" s="87">
        <f>IF(ISNUMBER($L15),IF($L15&gt;=90,"Excellent Match",IF($L15&gt;=75,"Strong Match",IF($L15&gt;=60,"Moderate Match","Low Match"))),"")</f>
        <v/>
      </c>
      <c r="AE15" s="87">
        <f>IF($D15="","",IF(OR($M15="Rejected",$M15="Withdrawn"),IF($AB15&lt;&gt;"",$AB15,IF(OR($M15="Rejected",ISNUMBER($C15)),"Applied","Wishlist")),IF($M15="",IF(ISNUMBER($C15),"Applied","Wishlist"),$M15)))</f>
        <v/>
      </c>
      <c r="AF15" s="88">
        <f>IF(AND(ISNUMBER($C15),ISNUMBER($AA15)),$AA15-$C15,"")</f>
        <v/>
      </c>
      <c r="AG15" s="87">
        <f>IF($AE15="","",IFERROR(MATCH($AE15,{"Wishlist","Applied","Screening","Interview 1","Interview 2","Final","Offer","Accepted"},0)-1,""))</f>
        <v/>
      </c>
      <c r="AH15" s="87">
        <f>IF($AC15="","",MATCH($AC15,{"FOLLOW UP REQUIRED","ACTION DUE TODAY","NO RESPONSE","DUE SOON"},0)*100000+IF(ISNUMBER($O15),$O15,IF(ISNUMBER($C15),$C15,0))+ROW()/10000)</f>
        <v/>
      </c>
      <c r="AI15" s="87">
        <f>IF(AND(ISNUMBER($AG15),$AG15&gt;=1,$AG15&lt;=6,$M15&lt;&gt;"Rejected",$M15&lt;&gt;"Withdrawn"),(10-$AG15)*100000+IF(ISNUMBER($C15),$C15,0)+ROW()/10000,"")</f>
        <v/>
      </c>
    </row>
    <row r="16">
      <c r="A16" s="80" t="n"/>
      <c r="B16" s="81" t="n"/>
      <c r="C16" s="81" t="n"/>
      <c r="D16" s="82" t="n"/>
      <c r="E16" s="82" t="n"/>
      <c r="F16" s="82" t="n"/>
      <c r="G16" s="82" t="n"/>
      <c r="H16" s="82" t="n"/>
      <c r="I16" s="83" t="n"/>
      <c r="J16" s="82" t="n"/>
      <c r="K16" s="84" t="n"/>
      <c r="L16" s="85" t="n"/>
      <c r="M16" s="82" t="n"/>
      <c r="N16" s="86" t="n"/>
      <c r="O16" s="81" t="n"/>
      <c r="P16" s="82" t="n"/>
      <c r="Q16" s="83" t="n"/>
      <c r="R16" s="82" t="n"/>
      <c r="S16" s="84" t="n"/>
      <c r="T16" s="84" t="n"/>
      <c r="U16" s="82" t="n"/>
      <c r="V16" s="86" t="n"/>
      <c r="W16" s="86" t="n"/>
      <c r="X16" s="86" t="n"/>
      <c r="Y16" s="81" t="n"/>
      <c r="Z16" s="82" t="n"/>
      <c r="AA16" s="81" t="n"/>
      <c r="AB16" s="82" t="n"/>
      <c r="AC16" s="87">
        <f>IF(OR($D16="",$M16="Rejected",$M16="Withdrawn",$M16="Accepted"),"",IF(ISNUMBER($O16),IF(INT($O16)&lt;TODAY(),"FOLLOW UP REQUIRED",IF(INT($O16)=TODAY(),"ACTION DUE TODAY",IF(INT($O16)-TODAY()&lt;=Set_DueSoonDays,"DUE SOON",""))),IF(AND($M16="Applied",$AA16=""),IF(ISNUMBER($C16),IF(TODAY()-$C16&gt;=Set_FollowUpDays,"NO RESPONSE",""),""),"")))</f>
        <v/>
      </c>
      <c r="AD16" s="87">
        <f>IF(ISNUMBER($L16),IF($L16&gt;=90,"Excellent Match",IF($L16&gt;=75,"Strong Match",IF($L16&gt;=60,"Moderate Match","Low Match"))),"")</f>
        <v/>
      </c>
      <c r="AE16" s="87">
        <f>IF($D16="","",IF(OR($M16="Rejected",$M16="Withdrawn"),IF($AB16&lt;&gt;"",$AB16,IF(OR($M16="Rejected",ISNUMBER($C16)),"Applied","Wishlist")),IF($M16="",IF(ISNUMBER($C16),"Applied","Wishlist"),$M16)))</f>
        <v/>
      </c>
      <c r="AF16" s="88">
        <f>IF(AND(ISNUMBER($C16),ISNUMBER($AA16)),$AA16-$C16,"")</f>
        <v/>
      </c>
      <c r="AG16" s="87">
        <f>IF($AE16="","",IFERROR(MATCH($AE16,{"Wishlist","Applied","Screening","Interview 1","Interview 2","Final","Offer","Accepted"},0)-1,""))</f>
        <v/>
      </c>
      <c r="AH16" s="87">
        <f>IF($AC16="","",MATCH($AC16,{"FOLLOW UP REQUIRED","ACTION DUE TODAY","NO RESPONSE","DUE SOON"},0)*100000+IF(ISNUMBER($O16),$O16,IF(ISNUMBER($C16),$C16,0))+ROW()/10000)</f>
        <v/>
      </c>
      <c r="AI16" s="87">
        <f>IF(AND(ISNUMBER($AG16),$AG16&gt;=1,$AG16&lt;=6,$M16&lt;&gt;"Rejected",$M16&lt;&gt;"Withdrawn"),(10-$AG16)*100000+IF(ISNUMBER($C16),$C16,0)+ROW()/10000,"")</f>
        <v/>
      </c>
    </row>
    <row r="17">
      <c r="A17" s="80" t="n"/>
      <c r="B17" s="81" t="n"/>
      <c r="C17" s="81" t="n"/>
      <c r="D17" s="82" t="n"/>
      <c r="E17" s="82" t="n"/>
      <c r="F17" s="82" t="n"/>
      <c r="G17" s="82" t="n"/>
      <c r="H17" s="82" t="n"/>
      <c r="I17" s="83" t="n"/>
      <c r="J17" s="82" t="n"/>
      <c r="K17" s="84" t="n"/>
      <c r="L17" s="85" t="n"/>
      <c r="M17" s="82" t="n"/>
      <c r="N17" s="86" t="n"/>
      <c r="O17" s="81" t="n"/>
      <c r="P17" s="82" t="n"/>
      <c r="Q17" s="83" t="n"/>
      <c r="R17" s="82" t="n"/>
      <c r="S17" s="84" t="n"/>
      <c r="T17" s="84" t="n"/>
      <c r="U17" s="82" t="n"/>
      <c r="V17" s="86" t="n"/>
      <c r="W17" s="86" t="n"/>
      <c r="X17" s="86" t="n"/>
      <c r="Y17" s="81" t="n"/>
      <c r="Z17" s="82" t="n"/>
      <c r="AA17" s="81" t="n"/>
      <c r="AB17" s="82" t="n"/>
      <c r="AC17" s="87">
        <f>IF(OR($D17="",$M17="Rejected",$M17="Withdrawn",$M17="Accepted"),"",IF(ISNUMBER($O17),IF(INT($O17)&lt;TODAY(),"FOLLOW UP REQUIRED",IF(INT($O17)=TODAY(),"ACTION DUE TODAY",IF(INT($O17)-TODAY()&lt;=Set_DueSoonDays,"DUE SOON",""))),IF(AND($M17="Applied",$AA17=""),IF(ISNUMBER($C17),IF(TODAY()-$C17&gt;=Set_FollowUpDays,"NO RESPONSE",""),""),"")))</f>
        <v/>
      </c>
      <c r="AD17" s="87">
        <f>IF(ISNUMBER($L17),IF($L17&gt;=90,"Excellent Match",IF($L17&gt;=75,"Strong Match",IF($L17&gt;=60,"Moderate Match","Low Match"))),"")</f>
        <v/>
      </c>
      <c r="AE17" s="87">
        <f>IF($D17="","",IF(OR($M17="Rejected",$M17="Withdrawn"),IF($AB17&lt;&gt;"",$AB17,IF(OR($M17="Rejected",ISNUMBER($C17)),"Applied","Wishlist")),IF($M17="",IF(ISNUMBER($C17),"Applied","Wishlist"),$M17)))</f>
        <v/>
      </c>
      <c r="AF17" s="88">
        <f>IF(AND(ISNUMBER($C17),ISNUMBER($AA17)),$AA17-$C17,"")</f>
        <v/>
      </c>
      <c r="AG17" s="87">
        <f>IF($AE17="","",IFERROR(MATCH($AE17,{"Wishlist","Applied","Screening","Interview 1","Interview 2","Final","Offer","Accepted"},0)-1,""))</f>
        <v/>
      </c>
      <c r="AH17" s="87">
        <f>IF($AC17="","",MATCH($AC17,{"FOLLOW UP REQUIRED","ACTION DUE TODAY","NO RESPONSE","DUE SOON"},0)*100000+IF(ISNUMBER($O17),$O17,IF(ISNUMBER($C17),$C17,0))+ROW()/10000)</f>
        <v/>
      </c>
      <c r="AI17" s="87">
        <f>IF(AND(ISNUMBER($AG17),$AG17&gt;=1,$AG17&lt;=6,$M17&lt;&gt;"Rejected",$M17&lt;&gt;"Withdrawn"),(10-$AG17)*100000+IF(ISNUMBER($C17),$C17,0)+ROW()/10000,"")</f>
        <v/>
      </c>
    </row>
    <row r="18">
      <c r="A18" s="80" t="n"/>
      <c r="B18" s="81" t="n"/>
      <c r="C18" s="81" t="n"/>
      <c r="D18" s="82" t="n"/>
      <c r="E18" s="82" t="n"/>
      <c r="F18" s="82" t="n"/>
      <c r="G18" s="82" t="n"/>
      <c r="H18" s="82" t="n"/>
      <c r="I18" s="83" t="n"/>
      <c r="J18" s="82" t="n"/>
      <c r="K18" s="84" t="n"/>
      <c r="L18" s="85" t="n"/>
      <c r="M18" s="82" t="n"/>
      <c r="N18" s="86" t="n"/>
      <c r="O18" s="81" t="n"/>
      <c r="P18" s="82" t="n"/>
      <c r="Q18" s="83" t="n"/>
      <c r="R18" s="82" t="n"/>
      <c r="S18" s="84" t="n"/>
      <c r="T18" s="84" t="n"/>
      <c r="U18" s="82" t="n"/>
      <c r="V18" s="86" t="n"/>
      <c r="W18" s="86" t="n"/>
      <c r="X18" s="86" t="n"/>
      <c r="Y18" s="81" t="n"/>
      <c r="Z18" s="82" t="n"/>
      <c r="AA18" s="81" t="n"/>
      <c r="AB18" s="82" t="n"/>
      <c r="AC18" s="87">
        <f>IF(OR($D18="",$M18="Rejected",$M18="Withdrawn",$M18="Accepted"),"",IF(ISNUMBER($O18),IF(INT($O18)&lt;TODAY(),"FOLLOW UP REQUIRED",IF(INT($O18)=TODAY(),"ACTION DUE TODAY",IF(INT($O18)-TODAY()&lt;=Set_DueSoonDays,"DUE SOON",""))),IF(AND($M18="Applied",$AA18=""),IF(ISNUMBER($C18),IF(TODAY()-$C18&gt;=Set_FollowUpDays,"NO RESPONSE",""),""),"")))</f>
        <v/>
      </c>
      <c r="AD18" s="87">
        <f>IF(ISNUMBER($L18),IF($L18&gt;=90,"Excellent Match",IF($L18&gt;=75,"Strong Match",IF($L18&gt;=60,"Moderate Match","Low Match"))),"")</f>
        <v/>
      </c>
      <c r="AE18" s="87">
        <f>IF($D18="","",IF(OR($M18="Rejected",$M18="Withdrawn"),IF($AB18&lt;&gt;"",$AB18,IF(OR($M18="Rejected",ISNUMBER($C18)),"Applied","Wishlist")),IF($M18="",IF(ISNUMBER($C18),"Applied","Wishlist"),$M18)))</f>
        <v/>
      </c>
      <c r="AF18" s="88">
        <f>IF(AND(ISNUMBER($C18),ISNUMBER($AA18)),$AA18-$C18,"")</f>
        <v/>
      </c>
      <c r="AG18" s="87">
        <f>IF($AE18="","",IFERROR(MATCH($AE18,{"Wishlist","Applied","Screening","Interview 1","Interview 2","Final","Offer","Accepted"},0)-1,""))</f>
        <v/>
      </c>
      <c r="AH18" s="87">
        <f>IF($AC18="","",MATCH($AC18,{"FOLLOW UP REQUIRED","ACTION DUE TODAY","NO RESPONSE","DUE SOON"},0)*100000+IF(ISNUMBER($O18),$O18,IF(ISNUMBER($C18),$C18,0))+ROW()/10000)</f>
        <v/>
      </c>
      <c r="AI18" s="87">
        <f>IF(AND(ISNUMBER($AG18),$AG18&gt;=1,$AG18&lt;=6,$M18&lt;&gt;"Rejected",$M18&lt;&gt;"Withdrawn"),(10-$AG18)*100000+IF(ISNUMBER($C18),$C18,0)+ROW()/10000,"")</f>
        <v/>
      </c>
    </row>
    <row r="19">
      <c r="A19" s="80" t="n"/>
      <c r="B19" s="81" t="n"/>
      <c r="C19" s="81" t="n"/>
      <c r="D19" s="82" t="n"/>
      <c r="E19" s="82" t="n"/>
      <c r="F19" s="82" t="n"/>
      <c r="G19" s="82" t="n"/>
      <c r="H19" s="82" t="n"/>
      <c r="I19" s="83" t="n"/>
      <c r="J19" s="82" t="n"/>
      <c r="K19" s="84" t="n"/>
      <c r="L19" s="85" t="n"/>
      <c r="M19" s="82" t="n"/>
      <c r="N19" s="86" t="n"/>
      <c r="O19" s="81" t="n"/>
      <c r="P19" s="82" t="n"/>
      <c r="Q19" s="83" t="n"/>
      <c r="R19" s="82" t="n"/>
      <c r="S19" s="84" t="n"/>
      <c r="T19" s="84" t="n"/>
      <c r="U19" s="82" t="n"/>
      <c r="V19" s="86" t="n"/>
      <c r="W19" s="86" t="n"/>
      <c r="X19" s="86" t="n"/>
      <c r="Y19" s="81" t="n"/>
      <c r="Z19" s="82" t="n"/>
      <c r="AA19" s="81" t="n"/>
      <c r="AB19" s="82" t="n"/>
      <c r="AC19" s="87">
        <f>IF(OR($D19="",$M19="Rejected",$M19="Withdrawn",$M19="Accepted"),"",IF(ISNUMBER($O19),IF(INT($O19)&lt;TODAY(),"FOLLOW UP REQUIRED",IF(INT($O19)=TODAY(),"ACTION DUE TODAY",IF(INT($O19)-TODAY()&lt;=Set_DueSoonDays,"DUE SOON",""))),IF(AND($M19="Applied",$AA19=""),IF(ISNUMBER($C19),IF(TODAY()-$C19&gt;=Set_FollowUpDays,"NO RESPONSE",""),""),"")))</f>
        <v/>
      </c>
      <c r="AD19" s="87">
        <f>IF(ISNUMBER($L19),IF($L19&gt;=90,"Excellent Match",IF($L19&gt;=75,"Strong Match",IF($L19&gt;=60,"Moderate Match","Low Match"))),"")</f>
        <v/>
      </c>
      <c r="AE19" s="87">
        <f>IF($D19="","",IF(OR($M19="Rejected",$M19="Withdrawn"),IF($AB19&lt;&gt;"",$AB19,IF(OR($M19="Rejected",ISNUMBER($C19)),"Applied","Wishlist")),IF($M19="",IF(ISNUMBER($C19),"Applied","Wishlist"),$M19)))</f>
        <v/>
      </c>
      <c r="AF19" s="88">
        <f>IF(AND(ISNUMBER($C19),ISNUMBER($AA19)),$AA19-$C19,"")</f>
        <v/>
      </c>
      <c r="AG19" s="87">
        <f>IF($AE19="","",IFERROR(MATCH($AE19,{"Wishlist","Applied","Screening","Interview 1","Interview 2","Final","Offer","Accepted"},0)-1,""))</f>
        <v/>
      </c>
      <c r="AH19" s="87">
        <f>IF($AC19="","",MATCH($AC19,{"FOLLOW UP REQUIRED","ACTION DUE TODAY","NO RESPONSE","DUE SOON"},0)*100000+IF(ISNUMBER($O19),$O19,IF(ISNUMBER($C19),$C19,0))+ROW()/10000)</f>
        <v/>
      </c>
      <c r="AI19" s="87">
        <f>IF(AND(ISNUMBER($AG19),$AG19&gt;=1,$AG19&lt;=6,$M19&lt;&gt;"Rejected",$M19&lt;&gt;"Withdrawn"),(10-$AG19)*100000+IF(ISNUMBER($C19),$C19,0)+ROW()/10000,"")</f>
        <v/>
      </c>
    </row>
    <row r="20">
      <c r="A20" s="80" t="n"/>
      <c r="B20" s="81" t="n"/>
      <c r="C20" s="81" t="n"/>
      <c r="D20" s="82" t="n"/>
      <c r="E20" s="82" t="n"/>
      <c r="F20" s="82" t="n"/>
      <c r="G20" s="82" t="n"/>
      <c r="H20" s="82" t="n"/>
      <c r="I20" s="83" t="n"/>
      <c r="J20" s="82" t="n"/>
      <c r="K20" s="84" t="n"/>
      <c r="L20" s="85" t="n"/>
      <c r="M20" s="82" t="n"/>
      <c r="N20" s="86" t="n"/>
      <c r="O20" s="81" t="n"/>
      <c r="P20" s="82" t="n"/>
      <c r="Q20" s="83" t="n"/>
      <c r="R20" s="82" t="n"/>
      <c r="S20" s="84" t="n"/>
      <c r="T20" s="84" t="n"/>
      <c r="U20" s="82" t="n"/>
      <c r="V20" s="86" t="n"/>
      <c r="W20" s="86" t="n"/>
      <c r="X20" s="86" t="n"/>
      <c r="Y20" s="81" t="n"/>
      <c r="Z20" s="82" t="n"/>
      <c r="AA20" s="81" t="n"/>
      <c r="AB20" s="82" t="n"/>
      <c r="AC20" s="87">
        <f>IF(OR($D20="",$M20="Rejected",$M20="Withdrawn",$M20="Accepted"),"",IF(ISNUMBER($O20),IF(INT($O20)&lt;TODAY(),"FOLLOW UP REQUIRED",IF(INT($O20)=TODAY(),"ACTION DUE TODAY",IF(INT($O20)-TODAY()&lt;=Set_DueSoonDays,"DUE SOON",""))),IF(AND($M20="Applied",$AA20=""),IF(ISNUMBER($C20),IF(TODAY()-$C20&gt;=Set_FollowUpDays,"NO RESPONSE",""),""),"")))</f>
        <v/>
      </c>
      <c r="AD20" s="87">
        <f>IF(ISNUMBER($L20),IF($L20&gt;=90,"Excellent Match",IF($L20&gt;=75,"Strong Match",IF($L20&gt;=60,"Moderate Match","Low Match"))),"")</f>
        <v/>
      </c>
      <c r="AE20" s="87">
        <f>IF($D20="","",IF(OR($M20="Rejected",$M20="Withdrawn"),IF($AB20&lt;&gt;"",$AB20,IF(OR($M20="Rejected",ISNUMBER($C20)),"Applied","Wishlist")),IF($M20="",IF(ISNUMBER($C20),"Applied","Wishlist"),$M20)))</f>
        <v/>
      </c>
      <c r="AF20" s="88">
        <f>IF(AND(ISNUMBER($C20),ISNUMBER($AA20)),$AA20-$C20,"")</f>
        <v/>
      </c>
      <c r="AG20" s="87">
        <f>IF($AE20="","",IFERROR(MATCH($AE20,{"Wishlist","Applied","Screening","Interview 1","Interview 2","Final","Offer","Accepted"},0)-1,""))</f>
        <v/>
      </c>
      <c r="AH20" s="87">
        <f>IF($AC20="","",MATCH($AC20,{"FOLLOW UP REQUIRED","ACTION DUE TODAY","NO RESPONSE","DUE SOON"},0)*100000+IF(ISNUMBER($O20),$O20,IF(ISNUMBER($C20),$C20,0))+ROW()/10000)</f>
        <v/>
      </c>
      <c r="AI20" s="87">
        <f>IF(AND(ISNUMBER($AG20),$AG20&gt;=1,$AG20&lt;=6,$M20&lt;&gt;"Rejected",$M20&lt;&gt;"Withdrawn"),(10-$AG20)*100000+IF(ISNUMBER($C20),$C20,0)+ROW()/10000,"")</f>
        <v/>
      </c>
    </row>
    <row r="21">
      <c r="A21" s="80" t="n"/>
      <c r="B21" s="81" t="n"/>
      <c r="C21" s="81" t="n"/>
      <c r="D21" s="82" t="n"/>
      <c r="E21" s="82" t="n"/>
      <c r="F21" s="82" t="n"/>
      <c r="G21" s="82" t="n"/>
      <c r="H21" s="82" t="n"/>
      <c r="I21" s="83" t="n"/>
      <c r="J21" s="82" t="n"/>
      <c r="K21" s="84" t="n"/>
      <c r="L21" s="85" t="n"/>
      <c r="M21" s="82" t="n"/>
      <c r="N21" s="86" t="n"/>
      <c r="O21" s="81" t="n"/>
      <c r="P21" s="82" t="n"/>
      <c r="Q21" s="83" t="n"/>
      <c r="R21" s="82" t="n"/>
      <c r="S21" s="84" t="n"/>
      <c r="T21" s="84" t="n"/>
      <c r="U21" s="82" t="n"/>
      <c r="V21" s="86" t="n"/>
      <c r="W21" s="86" t="n"/>
      <c r="X21" s="86" t="n"/>
      <c r="Y21" s="81" t="n"/>
      <c r="Z21" s="82" t="n"/>
      <c r="AA21" s="81" t="n"/>
      <c r="AB21" s="82" t="n"/>
      <c r="AC21" s="87">
        <f>IF(OR($D21="",$M21="Rejected",$M21="Withdrawn",$M21="Accepted"),"",IF(ISNUMBER($O21),IF(INT($O21)&lt;TODAY(),"FOLLOW UP REQUIRED",IF(INT($O21)=TODAY(),"ACTION DUE TODAY",IF(INT($O21)-TODAY()&lt;=Set_DueSoonDays,"DUE SOON",""))),IF(AND($M21="Applied",$AA21=""),IF(ISNUMBER($C21),IF(TODAY()-$C21&gt;=Set_FollowUpDays,"NO RESPONSE",""),""),"")))</f>
        <v/>
      </c>
      <c r="AD21" s="87">
        <f>IF(ISNUMBER($L21),IF($L21&gt;=90,"Excellent Match",IF($L21&gt;=75,"Strong Match",IF($L21&gt;=60,"Moderate Match","Low Match"))),"")</f>
        <v/>
      </c>
      <c r="AE21" s="87">
        <f>IF($D21="","",IF(OR($M21="Rejected",$M21="Withdrawn"),IF($AB21&lt;&gt;"",$AB21,IF(OR($M21="Rejected",ISNUMBER($C21)),"Applied","Wishlist")),IF($M21="",IF(ISNUMBER($C21),"Applied","Wishlist"),$M21)))</f>
        <v/>
      </c>
      <c r="AF21" s="88">
        <f>IF(AND(ISNUMBER($C21),ISNUMBER($AA21)),$AA21-$C21,"")</f>
        <v/>
      </c>
      <c r="AG21" s="87">
        <f>IF($AE21="","",IFERROR(MATCH($AE21,{"Wishlist","Applied","Screening","Interview 1","Interview 2","Final","Offer","Accepted"},0)-1,""))</f>
        <v/>
      </c>
      <c r="AH21" s="87">
        <f>IF($AC21="","",MATCH($AC21,{"FOLLOW UP REQUIRED","ACTION DUE TODAY","NO RESPONSE","DUE SOON"},0)*100000+IF(ISNUMBER($O21),$O21,IF(ISNUMBER($C21),$C21,0))+ROW()/10000)</f>
        <v/>
      </c>
      <c r="AI21" s="87">
        <f>IF(AND(ISNUMBER($AG21),$AG21&gt;=1,$AG21&lt;=6,$M21&lt;&gt;"Rejected",$M21&lt;&gt;"Withdrawn"),(10-$AG21)*100000+IF(ISNUMBER($C21),$C21,0)+ROW()/10000,"")</f>
        <v/>
      </c>
    </row>
    <row r="22">
      <c r="A22" s="80" t="n"/>
      <c r="B22" s="81" t="n"/>
      <c r="C22" s="81" t="n"/>
      <c r="D22" s="82" t="n"/>
      <c r="E22" s="82" t="n"/>
      <c r="F22" s="82" t="n"/>
      <c r="G22" s="82" t="n"/>
      <c r="H22" s="82" t="n"/>
      <c r="I22" s="83" t="n"/>
      <c r="J22" s="82" t="n"/>
      <c r="K22" s="84" t="n"/>
      <c r="L22" s="85" t="n"/>
      <c r="M22" s="82" t="n"/>
      <c r="N22" s="86" t="n"/>
      <c r="O22" s="81" t="n"/>
      <c r="P22" s="82" t="n"/>
      <c r="Q22" s="83" t="n"/>
      <c r="R22" s="82" t="n"/>
      <c r="S22" s="84" t="n"/>
      <c r="T22" s="84" t="n"/>
      <c r="U22" s="82" t="n"/>
      <c r="V22" s="86" t="n"/>
      <c r="W22" s="86" t="n"/>
      <c r="X22" s="86" t="n"/>
      <c r="Y22" s="81" t="n"/>
      <c r="Z22" s="82" t="n"/>
      <c r="AA22" s="81" t="n"/>
      <c r="AB22" s="82" t="n"/>
      <c r="AC22" s="87">
        <f>IF(OR($D22="",$M22="Rejected",$M22="Withdrawn",$M22="Accepted"),"",IF(ISNUMBER($O22),IF(INT($O22)&lt;TODAY(),"FOLLOW UP REQUIRED",IF(INT($O22)=TODAY(),"ACTION DUE TODAY",IF(INT($O22)-TODAY()&lt;=Set_DueSoonDays,"DUE SOON",""))),IF(AND($M22="Applied",$AA22=""),IF(ISNUMBER($C22),IF(TODAY()-$C22&gt;=Set_FollowUpDays,"NO RESPONSE",""),""),"")))</f>
        <v/>
      </c>
      <c r="AD22" s="87">
        <f>IF(ISNUMBER($L22),IF($L22&gt;=90,"Excellent Match",IF($L22&gt;=75,"Strong Match",IF($L22&gt;=60,"Moderate Match","Low Match"))),"")</f>
        <v/>
      </c>
      <c r="AE22" s="87">
        <f>IF($D22="","",IF(OR($M22="Rejected",$M22="Withdrawn"),IF($AB22&lt;&gt;"",$AB22,IF(OR($M22="Rejected",ISNUMBER($C22)),"Applied","Wishlist")),IF($M22="",IF(ISNUMBER($C22),"Applied","Wishlist"),$M22)))</f>
        <v/>
      </c>
      <c r="AF22" s="88">
        <f>IF(AND(ISNUMBER($C22),ISNUMBER($AA22)),$AA22-$C22,"")</f>
        <v/>
      </c>
      <c r="AG22" s="87">
        <f>IF($AE22="","",IFERROR(MATCH($AE22,{"Wishlist","Applied","Screening","Interview 1","Interview 2","Final","Offer","Accepted"},0)-1,""))</f>
        <v/>
      </c>
      <c r="AH22" s="87">
        <f>IF($AC22="","",MATCH($AC22,{"FOLLOW UP REQUIRED","ACTION DUE TODAY","NO RESPONSE","DUE SOON"},0)*100000+IF(ISNUMBER($O22),$O22,IF(ISNUMBER($C22),$C22,0))+ROW()/10000)</f>
        <v/>
      </c>
      <c r="AI22" s="87">
        <f>IF(AND(ISNUMBER($AG22),$AG22&gt;=1,$AG22&lt;=6,$M22&lt;&gt;"Rejected",$M22&lt;&gt;"Withdrawn"),(10-$AG22)*100000+IF(ISNUMBER($C22),$C22,0)+ROW()/10000,"")</f>
        <v/>
      </c>
    </row>
    <row r="23">
      <c r="A23" s="80" t="n"/>
      <c r="B23" s="81" t="n"/>
      <c r="C23" s="81" t="n"/>
      <c r="D23" s="82" t="n"/>
      <c r="E23" s="82" t="n"/>
      <c r="F23" s="82" t="n"/>
      <c r="G23" s="82" t="n"/>
      <c r="H23" s="82" t="n"/>
      <c r="I23" s="83" t="n"/>
      <c r="J23" s="82" t="n"/>
      <c r="K23" s="84" t="n"/>
      <c r="L23" s="85" t="n"/>
      <c r="M23" s="82" t="n"/>
      <c r="N23" s="86" t="n"/>
      <c r="O23" s="81" t="n"/>
      <c r="P23" s="82" t="n"/>
      <c r="Q23" s="83" t="n"/>
      <c r="R23" s="82" t="n"/>
      <c r="S23" s="84" t="n"/>
      <c r="T23" s="84" t="n"/>
      <c r="U23" s="82" t="n"/>
      <c r="V23" s="86" t="n"/>
      <c r="W23" s="86" t="n"/>
      <c r="X23" s="86" t="n"/>
      <c r="Y23" s="81" t="n"/>
      <c r="Z23" s="82" t="n"/>
      <c r="AA23" s="81" t="n"/>
      <c r="AB23" s="82" t="n"/>
      <c r="AC23" s="87">
        <f>IF(OR($D23="",$M23="Rejected",$M23="Withdrawn",$M23="Accepted"),"",IF(ISNUMBER($O23),IF(INT($O23)&lt;TODAY(),"FOLLOW UP REQUIRED",IF(INT($O23)=TODAY(),"ACTION DUE TODAY",IF(INT($O23)-TODAY()&lt;=Set_DueSoonDays,"DUE SOON",""))),IF(AND($M23="Applied",$AA23=""),IF(ISNUMBER($C23),IF(TODAY()-$C23&gt;=Set_FollowUpDays,"NO RESPONSE",""),""),"")))</f>
        <v/>
      </c>
      <c r="AD23" s="87">
        <f>IF(ISNUMBER($L23),IF($L23&gt;=90,"Excellent Match",IF($L23&gt;=75,"Strong Match",IF($L23&gt;=60,"Moderate Match","Low Match"))),"")</f>
        <v/>
      </c>
      <c r="AE23" s="87">
        <f>IF($D23="","",IF(OR($M23="Rejected",$M23="Withdrawn"),IF($AB23&lt;&gt;"",$AB23,IF(OR($M23="Rejected",ISNUMBER($C23)),"Applied","Wishlist")),IF($M23="",IF(ISNUMBER($C23),"Applied","Wishlist"),$M23)))</f>
        <v/>
      </c>
      <c r="AF23" s="88">
        <f>IF(AND(ISNUMBER($C23),ISNUMBER($AA23)),$AA23-$C23,"")</f>
        <v/>
      </c>
      <c r="AG23" s="87">
        <f>IF($AE23="","",IFERROR(MATCH($AE23,{"Wishlist","Applied","Screening","Interview 1","Interview 2","Final","Offer","Accepted"},0)-1,""))</f>
        <v/>
      </c>
      <c r="AH23" s="87">
        <f>IF($AC23="","",MATCH($AC23,{"FOLLOW UP REQUIRED","ACTION DUE TODAY","NO RESPONSE","DUE SOON"},0)*100000+IF(ISNUMBER($O23),$O23,IF(ISNUMBER($C23),$C23,0))+ROW()/10000)</f>
        <v/>
      </c>
      <c r="AI23" s="87">
        <f>IF(AND(ISNUMBER($AG23),$AG23&gt;=1,$AG23&lt;=6,$M23&lt;&gt;"Rejected",$M23&lt;&gt;"Withdrawn"),(10-$AG23)*100000+IF(ISNUMBER($C23),$C23,0)+ROW()/10000,"")</f>
        <v/>
      </c>
    </row>
    <row r="24">
      <c r="A24" s="80" t="n"/>
      <c r="B24" s="81" t="n"/>
      <c r="C24" s="81" t="n"/>
      <c r="D24" s="82" t="n"/>
      <c r="E24" s="82" t="n"/>
      <c r="F24" s="82" t="n"/>
      <c r="G24" s="82" t="n"/>
      <c r="H24" s="82" t="n"/>
      <c r="I24" s="83" t="n"/>
      <c r="J24" s="82" t="n"/>
      <c r="K24" s="84" t="n"/>
      <c r="L24" s="85" t="n"/>
      <c r="M24" s="82" t="n"/>
      <c r="N24" s="86" t="n"/>
      <c r="O24" s="81" t="n"/>
      <c r="P24" s="82" t="n"/>
      <c r="Q24" s="83" t="n"/>
      <c r="R24" s="82" t="n"/>
      <c r="S24" s="84" t="n"/>
      <c r="T24" s="84" t="n"/>
      <c r="U24" s="82" t="n"/>
      <c r="V24" s="86" t="n"/>
      <c r="W24" s="86" t="n"/>
      <c r="X24" s="86" t="n"/>
      <c r="Y24" s="81" t="n"/>
      <c r="Z24" s="82" t="n"/>
      <c r="AA24" s="81" t="n"/>
      <c r="AB24" s="82" t="n"/>
      <c r="AC24" s="87">
        <f>IF(OR($D24="",$M24="Rejected",$M24="Withdrawn",$M24="Accepted"),"",IF(ISNUMBER($O24),IF(INT($O24)&lt;TODAY(),"FOLLOW UP REQUIRED",IF(INT($O24)=TODAY(),"ACTION DUE TODAY",IF(INT($O24)-TODAY()&lt;=Set_DueSoonDays,"DUE SOON",""))),IF(AND($M24="Applied",$AA24=""),IF(ISNUMBER($C24),IF(TODAY()-$C24&gt;=Set_FollowUpDays,"NO RESPONSE",""),""),"")))</f>
        <v/>
      </c>
      <c r="AD24" s="87">
        <f>IF(ISNUMBER($L24),IF($L24&gt;=90,"Excellent Match",IF($L24&gt;=75,"Strong Match",IF($L24&gt;=60,"Moderate Match","Low Match"))),"")</f>
        <v/>
      </c>
      <c r="AE24" s="87">
        <f>IF($D24="","",IF(OR($M24="Rejected",$M24="Withdrawn"),IF($AB24&lt;&gt;"",$AB24,IF(OR($M24="Rejected",ISNUMBER($C24)),"Applied","Wishlist")),IF($M24="",IF(ISNUMBER($C24),"Applied","Wishlist"),$M24)))</f>
        <v/>
      </c>
      <c r="AF24" s="88">
        <f>IF(AND(ISNUMBER($C24),ISNUMBER($AA24)),$AA24-$C24,"")</f>
        <v/>
      </c>
      <c r="AG24" s="87">
        <f>IF($AE24="","",IFERROR(MATCH($AE24,{"Wishlist","Applied","Screening","Interview 1","Interview 2","Final","Offer","Accepted"},0)-1,""))</f>
        <v/>
      </c>
      <c r="AH24" s="87">
        <f>IF($AC24="","",MATCH($AC24,{"FOLLOW UP REQUIRED","ACTION DUE TODAY","NO RESPONSE","DUE SOON"},0)*100000+IF(ISNUMBER($O24),$O24,IF(ISNUMBER($C24),$C24,0))+ROW()/10000)</f>
        <v/>
      </c>
      <c r="AI24" s="87">
        <f>IF(AND(ISNUMBER($AG24),$AG24&gt;=1,$AG24&lt;=6,$M24&lt;&gt;"Rejected",$M24&lt;&gt;"Withdrawn"),(10-$AG24)*100000+IF(ISNUMBER($C24),$C24,0)+ROW()/10000,"")</f>
        <v/>
      </c>
    </row>
    <row r="25">
      <c r="A25" s="80" t="n"/>
      <c r="B25" s="81" t="n"/>
      <c r="C25" s="81" t="n"/>
      <c r="D25" s="82" t="n"/>
      <c r="E25" s="82" t="n"/>
      <c r="F25" s="82" t="n"/>
      <c r="G25" s="82" t="n"/>
      <c r="H25" s="82" t="n"/>
      <c r="I25" s="83" t="n"/>
      <c r="J25" s="82" t="n"/>
      <c r="K25" s="84" t="n"/>
      <c r="L25" s="85" t="n"/>
      <c r="M25" s="82" t="n"/>
      <c r="N25" s="86" t="n"/>
      <c r="O25" s="81" t="n"/>
      <c r="P25" s="82" t="n"/>
      <c r="Q25" s="83" t="n"/>
      <c r="R25" s="82" t="n"/>
      <c r="S25" s="84" t="n"/>
      <c r="T25" s="84" t="n"/>
      <c r="U25" s="82" t="n"/>
      <c r="V25" s="86" t="n"/>
      <c r="W25" s="86" t="n"/>
      <c r="X25" s="86" t="n"/>
      <c r="Y25" s="81" t="n"/>
      <c r="Z25" s="82" t="n"/>
      <c r="AA25" s="81" t="n"/>
      <c r="AB25" s="82" t="n"/>
      <c r="AC25" s="87">
        <f>IF(OR($D25="",$M25="Rejected",$M25="Withdrawn",$M25="Accepted"),"",IF(ISNUMBER($O25),IF(INT($O25)&lt;TODAY(),"FOLLOW UP REQUIRED",IF(INT($O25)=TODAY(),"ACTION DUE TODAY",IF(INT($O25)-TODAY()&lt;=Set_DueSoonDays,"DUE SOON",""))),IF(AND($M25="Applied",$AA25=""),IF(ISNUMBER($C25),IF(TODAY()-$C25&gt;=Set_FollowUpDays,"NO RESPONSE",""),""),"")))</f>
        <v/>
      </c>
      <c r="AD25" s="87">
        <f>IF(ISNUMBER($L25),IF($L25&gt;=90,"Excellent Match",IF($L25&gt;=75,"Strong Match",IF($L25&gt;=60,"Moderate Match","Low Match"))),"")</f>
        <v/>
      </c>
      <c r="AE25" s="87">
        <f>IF($D25="","",IF(OR($M25="Rejected",$M25="Withdrawn"),IF($AB25&lt;&gt;"",$AB25,IF(OR($M25="Rejected",ISNUMBER($C25)),"Applied","Wishlist")),IF($M25="",IF(ISNUMBER($C25),"Applied","Wishlist"),$M25)))</f>
        <v/>
      </c>
      <c r="AF25" s="88">
        <f>IF(AND(ISNUMBER($C25),ISNUMBER($AA25)),$AA25-$C25,"")</f>
        <v/>
      </c>
      <c r="AG25" s="87">
        <f>IF($AE25="","",IFERROR(MATCH($AE25,{"Wishlist","Applied","Screening","Interview 1","Interview 2","Final","Offer","Accepted"},0)-1,""))</f>
        <v/>
      </c>
      <c r="AH25" s="87">
        <f>IF($AC25="","",MATCH($AC25,{"FOLLOW UP REQUIRED","ACTION DUE TODAY","NO RESPONSE","DUE SOON"},0)*100000+IF(ISNUMBER($O25),$O25,IF(ISNUMBER($C25),$C25,0))+ROW()/10000)</f>
        <v/>
      </c>
      <c r="AI25" s="87">
        <f>IF(AND(ISNUMBER($AG25),$AG25&gt;=1,$AG25&lt;=6,$M25&lt;&gt;"Rejected",$M25&lt;&gt;"Withdrawn"),(10-$AG25)*100000+IF(ISNUMBER($C25),$C25,0)+ROW()/10000,"")</f>
        <v/>
      </c>
    </row>
    <row r="26">
      <c r="A26" s="80" t="n"/>
      <c r="B26" s="81" t="n"/>
      <c r="C26" s="81" t="n"/>
      <c r="D26" s="82" t="n"/>
      <c r="E26" s="82" t="n"/>
      <c r="F26" s="82" t="n"/>
      <c r="G26" s="82" t="n"/>
      <c r="H26" s="82" t="n"/>
      <c r="I26" s="83" t="n"/>
      <c r="J26" s="82" t="n"/>
      <c r="K26" s="84" t="n"/>
      <c r="L26" s="85" t="n"/>
      <c r="M26" s="82" t="n"/>
      <c r="N26" s="86" t="n"/>
      <c r="O26" s="81" t="n"/>
      <c r="P26" s="82" t="n"/>
      <c r="Q26" s="83" t="n"/>
      <c r="R26" s="82" t="n"/>
      <c r="S26" s="84" t="n"/>
      <c r="T26" s="84" t="n"/>
      <c r="U26" s="82" t="n"/>
      <c r="V26" s="86" t="n"/>
      <c r="W26" s="86" t="n"/>
      <c r="X26" s="86" t="n"/>
      <c r="Y26" s="81" t="n"/>
      <c r="Z26" s="82" t="n"/>
      <c r="AA26" s="81" t="n"/>
      <c r="AB26" s="82" t="n"/>
      <c r="AC26" s="87">
        <f>IF(OR($D26="",$M26="Rejected",$M26="Withdrawn",$M26="Accepted"),"",IF(ISNUMBER($O26),IF(INT($O26)&lt;TODAY(),"FOLLOW UP REQUIRED",IF(INT($O26)=TODAY(),"ACTION DUE TODAY",IF(INT($O26)-TODAY()&lt;=Set_DueSoonDays,"DUE SOON",""))),IF(AND($M26="Applied",$AA26=""),IF(ISNUMBER($C26),IF(TODAY()-$C26&gt;=Set_FollowUpDays,"NO RESPONSE",""),""),"")))</f>
        <v/>
      </c>
      <c r="AD26" s="87">
        <f>IF(ISNUMBER($L26),IF($L26&gt;=90,"Excellent Match",IF($L26&gt;=75,"Strong Match",IF($L26&gt;=60,"Moderate Match","Low Match"))),"")</f>
        <v/>
      </c>
      <c r="AE26" s="87">
        <f>IF($D26="","",IF(OR($M26="Rejected",$M26="Withdrawn"),IF($AB26&lt;&gt;"",$AB26,IF(OR($M26="Rejected",ISNUMBER($C26)),"Applied","Wishlist")),IF($M26="",IF(ISNUMBER($C26),"Applied","Wishlist"),$M26)))</f>
        <v/>
      </c>
      <c r="AF26" s="88">
        <f>IF(AND(ISNUMBER($C26),ISNUMBER($AA26)),$AA26-$C26,"")</f>
        <v/>
      </c>
      <c r="AG26" s="87">
        <f>IF($AE26="","",IFERROR(MATCH($AE26,{"Wishlist","Applied","Screening","Interview 1","Interview 2","Final","Offer","Accepted"},0)-1,""))</f>
        <v/>
      </c>
      <c r="AH26" s="87">
        <f>IF($AC26="","",MATCH($AC26,{"FOLLOW UP REQUIRED","ACTION DUE TODAY","NO RESPONSE","DUE SOON"},0)*100000+IF(ISNUMBER($O26),$O26,IF(ISNUMBER($C26),$C26,0))+ROW()/10000)</f>
        <v/>
      </c>
      <c r="AI26" s="87">
        <f>IF(AND(ISNUMBER($AG26),$AG26&gt;=1,$AG26&lt;=6,$M26&lt;&gt;"Rejected",$M26&lt;&gt;"Withdrawn"),(10-$AG26)*100000+IF(ISNUMBER($C26),$C26,0)+ROW()/10000,"")</f>
        <v/>
      </c>
    </row>
    <row r="27">
      <c r="A27" s="80" t="n"/>
      <c r="B27" s="81" t="n"/>
      <c r="C27" s="81" t="n"/>
      <c r="D27" s="82" t="n"/>
      <c r="E27" s="82" t="n"/>
      <c r="F27" s="82" t="n"/>
      <c r="G27" s="82" t="n"/>
      <c r="H27" s="82" t="n"/>
      <c r="I27" s="83" t="n"/>
      <c r="J27" s="82" t="n"/>
      <c r="K27" s="84" t="n"/>
      <c r="L27" s="85" t="n"/>
      <c r="M27" s="82" t="n"/>
      <c r="N27" s="86" t="n"/>
      <c r="O27" s="81" t="n"/>
      <c r="P27" s="82" t="n"/>
      <c r="Q27" s="83" t="n"/>
      <c r="R27" s="82" t="n"/>
      <c r="S27" s="84" t="n"/>
      <c r="T27" s="84" t="n"/>
      <c r="U27" s="82" t="n"/>
      <c r="V27" s="86" t="n"/>
      <c r="W27" s="86" t="n"/>
      <c r="X27" s="86" t="n"/>
      <c r="Y27" s="81" t="n"/>
      <c r="Z27" s="82" t="n"/>
      <c r="AA27" s="81" t="n"/>
      <c r="AB27" s="82" t="n"/>
      <c r="AC27" s="87">
        <f>IF(OR($D27="",$M27="Rejected",$M27="Withdrawn",$M27="Accepted"),"",IF(ISNUMBER($O27),IF(INT($O27)&lt;TODAY(),"FOLLOW UP REQUIRED",IF(INT($O27)=TODAY(),"ACTION DUE TODAY",IF(INT($O27)-TODAY()&lt;=Set_DueSoonDays,"DUE SOON",""))),IF(AND($M27="Applied",$AA27=""),IF(ISNUMBER($C27),IF(TODAY()-$C27&gt;=Set_FollowUpDays,"NO RESPONSE",""),""),"")))</f>
        <v/>
      </c>
      <c r="AD27" s="87">
        <f>IF(ISNUMBER($L27),IF($L27&gt;=90,"Excellent Match",IF($L27&gt;=75,"Strong Match",IF($L27&gt;=60,"Moderate Match","Low Match"))),"")</f>
        <v/>
      </c>
      <c r="AE27" s="87">
        <f>IF($D27="","",IF(OR($M27="Rejected",$M27="Withdrawn"),IF($AB27&lt;&gt;"",$AB27,IF(OR($M27="Rejected",ISNUMBER($C27)),"Applied","Wishlist")),IF($M27="",IF(ISNUMBER($C27),"Applied","Wishlist"),$M27)))</f>
        <v/>
      </c>
      <c r="AF27" s="88">
        <f>IF(AND(ISNUMBER($C27),ISNUMBER($AA27)),$AA27-$C27,"")</f>
        <v/>
      </c>
      <c r="AG27" s="87">
        <f>IF($AE27="","",IFERROR(MATCH($AE27,{"Wishlist","Applied","Screening","Interview 1","Interview 2","Final","Offer","Accepted"},0)-1,""))</f>
        <v/>
      </c>
      <c r="AH27" s="87">
        <f>IF($AC27="","",MATCH($AC27,{"FOLLOW UP REQUIRED","ACTION DUE TODAY","NO RESPONSE","DUE SOON"},0)*100000+IF(ISNUMBER($O27),$O27,IF(ISNUMBER($C27),$C27,0))+ROW()/10000)</f>
        <v/>
      </c>
      <c r="AI27" s="87">
        <f>IF(AND(ISNUMBER($AG27),$AG27&gt;=1,$AG27&lt;=6,$M27&lt;&gt;"Rejected",$M27&lt;&gt;"Withdrawn"),(10-$AG27)*100000+IF(ISNUMBER($C27),$C27,0)+ROW()/10000,"")</f>
        <v/>
      </c>
    </row>
    <row r="28">
      <c r="A28" s="80" t="n"/>
      <c r="B28" s="81" t="n"/>
      <c r="C28" s="81" t="n"/>
      <c r="D28" s="82" t="n"/>
      <c r="E28" s="82" t="n"/>
      <c r="F28" s="82" t="n"/>
      <c r="G28" s="82" t="n"/>
      <c r="H28" s="82" t="n"/>
      <c r="I28" s="83" t="n"/>
      <c r="J28" s="82" t="n"/>
      <c r="K28" s="84" t="n"/>
      <c r="L28" s="85" t="n"/>
      <c r="M28" s="82" t="n"/>
      <c r="N28" s="86" t="n"/>
      <c r="O28" s="81" t="n"/>
      <c r="P28" s="82" t="n"/>
      <c r="Q28" s="83" t="n"/>
      <c r="R28" s="82" t="n"/>
      <c r="S28" s="84" t="n"/>
      <c r="T28" s="84" t="n"/>
      <c r="U28" s="82" t="n"/>
      <c r="V28" s="86" t="n"/>
      <c r="W28" s="86" t="n"/>
      <c r="X28" s="86" t="n"/>
      <c r="Y28" s="81" t="n"/>
      <c r="Z28" s="82" t="n"/>
      <c r="AA28" s="81" t="n"/>
      <c r="AB28" s="82" t="n"/>
      <c r="AC28" s="87">
        <f>IF(OR($D28="",$M28="Rejected",$M28="Withdrawn",$M28="Accepted"),"",IF(ISNUMBER($O28),IF(INT($O28)&lt;TODAY(),"FOLLOW UP REQUIRED",IF(INT($O28)=TODAY(),"ACTION DUE TODAY",IF(INT($O28)-TODAY()&lt;=Set_DueSoonDays,"DUE SOON",""))),IF(AND($M28="Applied",$AA28=""),IF(ISNUMBER($C28),IF(TODAY()-$C28&gt;=Set_FollowUpDays,"NO RESPONSE",""),""),"")))</f>
        <v/>
      </c>
      <c r="AD28" s="87">
        <f>IF(ISNUMBER($L28),IF($L28&gt;=90,"Excellent Match",IF($L28&gt;=75,"Strong Match",IF($L28&gt;=60,"Moderate Match","Low Match"))),"")</f>
        <v/>
      </c>
      <c r="AE28" s="87">
        <f>IF($D28="","",IF(OR($M28="Rejected",$M28="Withdrawn"),IF($AB28&lt;&gt;"",$AB28,IF(OR($M28="Rejected",ISNUMBER($C28)),"Applied","Wishlist")),IF($M28="",IF(ISNUMBER($C28),"Applied","Wishlist"),$M28)))</f>
        <v/>
      </c>
      <c r="AF28" s="88">
        <f>IF(AND(ISNUMBER($C28),ISNUMBER($AA28)),$AA28-$C28,"")</f>
        <v/>
      </c>
      <c r="AG28" s="87">
        <f>IF($AE28="","",IFERROR(MATCH($AE28,{"Wishlist","Applied","Screening","Interview 1","Interview 2","Final","Offer","Accepted"},0)-1,""))</f>
        <v/>
      </c>
      <c r="AH28" s="87">
        <f>IF($AC28="","",MATCH($AC28,{"FOLLOW UP REQUIRED","ACTION DUE TODAY","NO RESPONSE","DUE SOON"},0)*100000+IF(ISNUMBER($O28),$O28,IF(ISNUMBER($C28),$C28,0))+ROW()/10000)</f>
        <v/>
      </c>
      <c r="AI28" s="87">
        <f>IF(AND(ISNUMBER($AG28),$AG28&gt;=1,$AG28&lt;=6,$M28&lt;&gt;"Rejected",$M28&lt;&gt;"Withdrawn"),(10-$AG28)*100000+IF(ISNUMBER($C28),$C28,0)+ROW()/10000,"")</f>
        <v/>
      </c>
    </row>
    <row r="29">
      <c r="A29" s="80" t="n"/>
      <c r="B29" s="81" t="n"/>
      <c r="C29" s="81" t="n"/>
      <c r="D29" s="82" t="n"/>
      <c r="E29" s="82" t="n"/>
      <c r="F29" s="82" t="n"/>
      <c r="G29" s="82" t="n"/>
      <c r="H29" s="82" t="n"/>
      <c r="I29" s="83" t="n"/>
      <c r="J29" s="82" t="n"/>
      <c r="K29" s="84" t="n"/>
      <c r="L29" s="85" t="n"/>
      <c r="M29" s="82" t="n"/>
      <c r="N29" s="86" t="n"/>
      <c r="O29" s="81" t="n"/>
      <c r="P29" s="82" t="n"/>
      <c r="Q29" s="83" t="n"/>
      <c r="R29" s="82" t="n"/>
      <c r="S29" s="84" t="n"/>
      <c r="T29" s="84" t="n"/>
      <c r="U29" s="82" t="n"/>
      <c r="V29" s="86" t="n"/>
      <c r="W29" s="86" t="n"/>
      <c r="X29" s="86" t="n"/>
      <c r="Y29" s="81" t="n"/>
      <c r="Z29" s="82" t="n"/>
      <c r="AA29" s="81" t="n"/>
      <c r="AB29" s="82" t="n"/>
      <c r="AC29" s="87">
        <f>IF(OR($D29="",$M29="Rejected",$M29="Withdrawn",$M29="Accepted"),"",IF(ISNUMBER($O29),IF(INT($O29)&lt;TODAY(),"FOLLOW UP REQUIRED",IF(INT($O29)=TODAY(),"ACTION DUE TODAY",IF(INT($O29)-TODAY()&lt;=Set_DueSoonDays,"DUE SOON",""))),IF(AND($M29="Applied",$AA29=""),IF(ISNUMBER($C29),IF(TODAY()-$C29&gt;=Set_FollowUpDays,"NO RESPONSE",""),""),"")))</f>
        <v/>
      </c>
      <c r="AD29" s="87">
        <f>IF(ISNUMBER($L29),IF($L29&gt;=90,"Excellent Match",IF($L29&gt;=75,"Strong Match",IF($L29&gt;=60,"Moderate Match","Low Match"))),"")</f>
        <v/>
      </c>
      <c r="AE29" s="87">
        <f>IF($D29="","",IF(OR($M29="Rejected",$M29="Withdrawn"),IF($AB29&lt;&gt;"",$AB29,IF(OR($M29="Rejected",ISNUMBER($C29)),"Applied","Wishlist")),IF($M29="",IF(ISNUMBER($C29),"Applied","Wishlist"),$M29)))</f>
        <v/>
      </c>
      <c r="AF29" s="88">
        <f>IF(AND(ISNUMBER($C29),ISNUMBER($AA29)),$AA29-$C29,"")</f>
        <v/>
      </c>
      <c r="AG29" s="87">
        <f>IF($AE29="","",IFERROR(MATCH($AE29,{"Wishlist","Applied","Screening","Interview 1","Interview 2","Final","Offer","Accepted"},0)-1,""))</f>
        <v/>
      </c>
      <c r="AH29" s="87">
        <f>IF($AC29="","",MATCH($AC29,{"FOLLOW UP REQUIRED","ACTION DUE TODAY","NO RESPONSE","DUE SOON"},0)*100000+IF(ISNUMBER($O29),$O29,IF(ISNUMBER($C29),$C29,0))+ROW()/10000)</f>
        <v/>
      </c>
      <c r="AI29" s="87">
        <f>IF(AND(ISNUMBER($AG29),$AG29&gt;=1,$AG29&lt;=6,$M29&lt;&gt;"Rejected",$M29&lt;&gt;"Withdrawn"),(10-$AG29)*100000+IF(ISNUMBER($C29),$C29,0)+ROW()/10000,"")</f>
        <v/>
      </c>
    </row>
    <row r="30">
      <c r="A30" s="80" t="n"/>
      <c r="B30" s="81" t="n"/>
      <c r="C30" s="81" t="n"/>
      <c r="D30" s="82" t="n"/>
      <c r="E30" s="82" t="n"/>
      <c r="F30" s="82" t="n"/>
      <c r="G30" s="82" t="n"/>
      <c r="H30" s="82" t="n"/>
      <c r="I30" s="83" t="n"/>
      <c r="J30" s="82" t="n"/>
      <c r="K30" s="84" t="n"/>
      <c r="L30" s="85" t="n"/>
      <c r="M30" s="82" t="n"/>
      <c r="N30" s="86" t="n"/>
      <c r="O30" s="81" t="n"/>
      <c r="P30" s="82" t="n"/>
      <c r="Q30" s="83" t="n"/>
      <c r="R30" s="82" t="n"/>
      <c r="S30" s="84" t="n"/>
      <c r="T30" s="84" t="n"/>
      <c r="U30" s="82" t="n"/>
      <c r="V30" s="86" t="n"/>
      <c r="W30" s="86" t="n"/>
      <c r="X30" s="86" t="n"/>
      <c r="Y30" s="81" t="n"/>
      <c r="Z30" s="82" t="n"/>
      <c r="AA30" s="81" t="n"/>
      <c r="AB30" s="82" t="n"/>
      <c r="AC30" s="87">
        <f>IF(OR($D30="",$M30="Rejected",$M30="Withdrawn",$M30="Accepted"),"",IF(ISNUMBER($O30),IF(INT($O30)&lt;TODAY(),"FOLLOW UP REQUIRED",IF(INT($O30)=TODAY(),"ACTION DUE TODAY",IF(INT($O30)-TODAY()&lt;=Set_DueSoonDays,"DUE SOON",""))),IF(AND($M30="Applied",$AA30=""),IF(ISNUMBER($C30),IF(TODAY()-$C30&gt;=Set_FollowUpDays,"NO RESPONSE",""),""),"")))</f>
        <v/>
      </c>
      <c r="AD30" s="87">
        <f>IF(ISNUMBER($L30),IF($L30&gt;=90,"Excellent Match",IF($L30&gt;=75,"Strong Match",IF($L30&gt;=60,"Moderate Match","Low Match"))),"")</f>
        <v/>
      </c>
      <c r="AE30" s="87">
        <f>IF($D30="","",IF(OR($M30="Rejected",$M30="Withdrawn"),IF($AB30&lt;&gt;"",$AB30,IF(OR($M30="Rejected",ISNUMBER($C30)),"Applied","Wishlist")),IF($M30="",IF(ISNUMBER($C30),"Applied","Wishlist"),$M30)))</f>
        <v/>
      </c>
      <c r="AF30" s="88">
        <f>IF(AND(ISNUMBER($C30),ISNUMBER($AA30)),$AA30-$C30,"")</f>
        <v/>
      </c>
      <c r="AG30" s="87">
        <f>IF($AE30="","",IFERROR(MATCH($AE30,{"Wishlist","Applied","Screening","Interview 1","Interview 2","Final","Offer","Accepted"},0)-1,""))</f>
        <v/>
      </c>
      <c r="AH30" s="87">
        <f>IF($AC30="","",MATCH($AC30,{"FOLLOW UP REQUIRED","ACTION DUE TODAY","NO RESPONSE","DUE SOON"},0)*100000+IF(ISNUMBER($O30),$O30,IF(ISNUMBER($C30),$C30,0))+ROW()/10000)</f>
        <v/>
      </c>
      <c r="AI30" s="87">
        <f>IF(AND(ISNUMBER($AG30),$AG30&gt;=1,$AG30&lt;=6,$M30&lt;&gt;"Rejected",$M30&lt;&gt;"Withdrawn"),(10-$AG30)*100000+IF(ISNUMBER($C30),$C30,0)+ROW()/10000,"")</f>
        <v/>
      </c>
    </row>
    <row r="31">
      <c r="A31" s="80" t="n"/>
      <c r="B31" s="81" t="n"/>
      <c r="C31" s="81" t="n"/>
      <c r="D31" s="82" t="n"/>
      <c r="E31" s="82" t="n"/>
      <c r="F31" s="82" t="n"/>
      <c r="G31" s="82" t="n"/>
      <c r="H31" s="82" t="n"/>
      <c r="I31" s="83" t="n"/>
      <c r="J31" s="82" t="n"/>
      <c r="K31" s="84" t="n"/>
      <c r="L31" s="85" t="n"/>
      <c r="M31" s="82" t="n"/>
      <c r="N31" s="86" t="n"/>
      <c r="O31" s="81" t="n"/>
      <c r="P31" s="82" t="n"/>
      <c r="Q31" s="83" t="n"/>
      <c r="R31" s="82" t="n"/>
      <c r="S31" s="84" t="n"/>
      <c r="T31" s="84" t="n"/>
      <c r="U31" s="82" t="n"/>
      <c r="V31" s="86" t="n"/>
      <c r="W31" s="86" t="n"/>
      <c r="X31" s="86" t="n"/>
      <c r="Y31" s="81" t="n"/>
      <c r="Z31" s="82" t="n"/>
      <c r="AA31" s="81" t="n"/>
      <c r="AB31" s="82" t="n"/>
      <c r="AC31" s="87">
        <f>IF(OR($D31="",$M31="Rejected",$M31="Withdrawn",$M31="Accepted"),"",IF(ISNUMBER($O31),IF(INT($O31)&lt;TODAY(),"FOLLOW UP REQUIRED",IF(INT($O31)=TODAY(),"ACTION DUE TODAY",IF(INT($O31)-TODAY()&lt;=Set_DueSoonDays,"DUE SOON",""))),IF(AND($M31="Applied",$AA31=""),IF(ISNUMBER($C31),IF(TODAY()-$C31&gt;=Set_FollowUpDays,"NO RESPONSE",""),""),"")))</f>
        <v/>
      </c>
      <c r="AD31" s="87">
        <f>IF(ISNUMBER($L31),IF($L31&gt;=90,"Excellent Match",IF($L31&gt;=75,"Strong Match",IF($L31&gt;=60,"Moderate Match","Low Match"))),"")</f>
        <v/>
      </c>
      <c r="AE31" s="87">
        <f>IF($D31="","",IF(OR($M31="Rejected",$M31="Withdrawn"),IF($AB31&lt;&gt;"",$AB31,IF(OR($M31="Rejected",ISNUMBER($C31)),"Applied","Wishlist")),IF($M31="",IF(ISNUMBER($C31),"Applied","Wishlist"),$M31)))</f>
        <v/>
      </c>
      <c r="AF31" s="88">
        <f>IF(AND(ISNUMBER($C31),ISNUMBER($AA31)),$AA31-$C31,"")</f>
        <v/>
      </c>
      <c r="AG31" s="87">
        <f>IF($AE31="","",IFERROR(MATCH($AE31,{"Wishlist","Applied","Screening","Interview 1","Interview 2","Final","Offer","Accepted"},0)-1,""))</f>
        <v/>
      </c>
      <c r="AH31" s="87">
        <f>IF($AC31="","",MATCH($AC31,{"FOLLOW UP REQUIRED","ACTION DUE TODAY","NO RESPONSE","DUE SOON"},0)*100000+IF(ISNUMBER($O31),$O31,IF(ISNUMBER($C31),$C31,0))+ROW()/10000)</f>
        <v/>
      </c>
      <c r="AI31" s="87">
        <f>IF(AND(ISNUMBER($AG31),$AG31&gt;=1,$AG31&lt;=6,$M31&lt;&gt;"Rejected",$M31&lt;&gt;"Withdrawn"),(10-$AG31)*100000+IF(ISNUMBER($C31),$C31,0)+ROW()/10000,"")</f>
        <v/>
      </c>
    </row>
    <row r="32">
      <c r="A32" s="80" t="n"/>
      <c r="B32" s="81" t="n"/>
      <c r="C32" s="81" t="n"/>
      <c r="D32" s="82" t="n"/>
      <c r="E32" s="82" t="n"/>
      <c r="F32" s="82" t="n"/>
      <c r="G32" s="82" t="n"/>
      <c r="H32" s="82" t="n"/>
      <c r="I32" s="83" t="n"/>
      <c r="J32" s="82" t="n"/>
      <c r="K32" s="84" t="n"/>
      <c r="L32" s="85" t="n"/>
      <c r="M32" s="82" t="n"/>
      <c r="N32" s="86" t="n"/>
      <c r="O32" s="81" t="n"/>
      <c r="P32" s="82" t="n"/>
      <c r="Q32" s="83" t="n"/>
      <c r="R32" s="82" t="n"/>
      <c r="S32" s="84" t="n"/>
      <c r="T32" s="84" t="n"/>
      <c r="U32" s="82" t="n"/>
      <c r="V32" s="86" t="n"/>
      <c r="W32" s="86" t="n"/>
      <c r="X32" s="86" t="n"/>
      <c r="Y32" s="81" t="n"/>
      <c r="Z32" s="82" t="n"/>
      <c r="AA32" s="81" t="n"/>
      <c r="AB32" s="82" t="n"/>
      <c r="AC32" s="87">
        <f>IF(OR($D32="",$M32="Rejected",$M32="Withdrawn",$M32="Accepted"),"",IF(ISNUMBER($O32),IF(INT($O32)&lt;TODAY(),"FOLLOW UP REQUIRED",IF(INT($O32)=TODAY(),"ACTION DUE TODAY",IF(INT($O32)-TODAY()&lt;=Set_DueSoonDays,"DUE SOON",""))),IF(AND($M32="Applied",$AA32=""),IF(ISNUMBER($C32),IF(TODAY()-$C32&gt;=Set_FollowUpDays,"NO RESPONSE",""),""),"")))</f>
        <v/>
      </c>
      <c r="AD32" s="87">
        <f>IF(ISNUMBER($L32),IF($L32&gt;=90,"Excellent Match",IF($L32&gt;=75,"Strong Match",IF($L32&gt;=60,"Moderate Match","Low Match"))),"")</f>
        <v/>
      </c>
      <c r="AE32" s="87">
        <f>IF($D32="","",IF(OR($M32="Rejected",$M32="Withdrawn"),IF($AB32&lt;&gt;"",$AB32,IF(OR($M32="Rejected",ISNUMBER($C32)),"Applied","Wishlist")),IF($M32="",IF(ISNUMBER($C32),"Applied","Wishlist"),$M32)))</f>
        <v/>
      </c>
      <c r="AF32" s="88">
        <f>IF(AND(ISNUMBER($C32),ISNUMBER($AA32)),$AA32-$C32,"")</f>
        <v/>
      </c>
      <c r="AG32" s="87">
        <f>IF($AE32="","",IFERROR(MATCH($AE32,{"Wishlist","Applied","Screening","Interview 1","Interview 2","Final","Offer","Accepted"},0)-1,""))</f>
        <v/>
      </c>
      <c r="AH32" s="87">
        <f>IF($AC32="","",MATCH($AC32,{"FOLLOW UP REQUIRED","ACTION DUE TODAY","NO RESPONSE","DUE SOON"},0)*100000+IF(ISNUMBER($O32),$O32,IF(ISNUMBER($C32),$C32,0))+ROW()/10000)</f>
        <v/>
      </c>
      <c r="AI32" s="87">
        <f>IF(AND(ISNUMBER($AG32),$AG32&gt;=1,$AG32&lt;=6,$M32&lt;&gt;"Rejected",$M32&lt;&gt;"Withdrawn"),(10-$AG32)*100000+IF(ISNUMBER($C32),$C32,0)+ROW()/10000,"")</f>
        <v/>
      </c>
    </row>
    <row r="33">
      <c r="A33" s="80" t="n"/>
      <c r="B33" s="81" t="n"/>
      <c r="C33" s="81" t="n"/>
      <c r="D33" s="82" t="n"/>
      <c r="E33" s="82" t="n"/>
      <c r="F33" s="82" t="n"/>
      <c r="G33" s="82" t="n"/>
      <c r="H33" s="82" t="n"/>
      <c r="I33" s="83" t="n"/>
      <c r="J33" s="82" t="n"/>
      <c r="K33" s="84" t="n"/>
      <c r="L33" s="85" t="n"/>
      <c r="M33" s="82" t="n"/>
      <c r="N33" s="86" t="n"/>
      <c r="O33" s="81" t="n"/>
      <c r="P33" s="82" t="n"/>
      <c r="Q33" s="83" t="n"/>
      <c r="R33" s="82" t="n"/>
      <c r="S33" s="84" t="n"/>
      <c r="T33" s="84" t="n"/>
      <c r="U33" s="82" t="n"/>
      <c r="V33" s="86" t="n"/>
      <c r="W33" s="86" t="n"/>
      <c r="X33" s="86" t="n"/>
      <c r="Y33" s="81" t="n"/>
      <c r="Z33" s="82" t="n"/>
      <c r="AA33" s="81" t="n"/>
      <c r="AB33" s="82" t="n"/>
      <c r="AC33" s="87">
        <f>IF(OR($D33="",$M33="Rejected",$M33="Withdrawn",$M33="Accepted"),"",IF(ISNUMBER($O33),IF(INT($O33)&lt;TODAY(),"FOLLOW UP REQUIRED",IF(INT($O33)=TODAY(),"ACTION DUE TODAY",IF(INT($O33)-TODAY()&lt;=Set_DueSoonDays,"DUE SOON",""))),IF(AND($M33="Applied",$AA33=""),IF(ISNUMBER($C33),IF(TODAY()-$C33&gt;=Set_FollowUpDays,"NO RESPONSE",""),""),"")))</f>
        <v/>
      </c>
      <c r="AD33" s="87">
        <f>IF(ISNUMBER($L33),IF($L33&gt;=90,"Excellent Match",IF($L33&gt;=75,"Strong Match",IF($L33&gt;=60,"Moderate Match","Low Match"))),"")</f>
        <v/>
      </c>
      <c r="AE33" s="87">
        <f>IF($D33="","",IF(OR($M33="Rejected",$M33="Withdrawn"),IF($AB33&lt;&gt;"",$AB33,IF(OR($M33="Rejected",ISNUMBER($C33)),"Applied","Wishlist")),IF($M33="",IF(ISNUMBER($C33),"Applied","Wishlist"),$M33)))</f>
        <v/>
      </c>
      <c r="AF33" s="88">
        <f>IF(AND(ISNUMBER($C33),ISNUMBER($AA33)),$AA33-$C33,"")</f>
        <v/>
      </c>
      <c r="AG33" s="87">
        <f>IF($AE33="","",IFERROR(MATCH($AE33,{"Wishlist","Applied","Screening","Interview 1","Interview 2","Final","Offer","Accepted"},0)-1,""))</f>
        <v/>
      </c>
      <c r="AH33" s="87">
        <f>IF($AC33="","",MATCH($AC33,{"FOLLOW UP REQUIRED","ACTION DUE TODAY","NO RESPONSE","DUE SOON"},0)*100000+IF(ISNUMBER($O33),$O33,IF(ISNUMBER($C33),$C33,0))+ROW()/10000)</f>
        <v/>
      </c>
      <c r="AI33" s="87">
        <f>IF(AND(ISNUMBER($AG33),$AG33&gt;=1,$AG33&lt;=6,$M33&lt;&gt;"Rejected",$M33&lt;&gt;"Withdrawn"),(10-$AG33)*100000+IF(ISNUMBER($C33),$C33,0)+ROW()/10000,"")</f>
        <v/>
      </c>
    </row>
    <row r="34">
      <c r="A34" s="80" t="n"/>
      <c r="B34" s="81" t="n"/>
      <c r="C34" s="81" t="n"/>
      <c r="D34" s="82" t="n"/>
      <c r="E34" s="82" t="n"/>
      <c r="F34" s="82" t="n"/>
      <c r="G34" s="82" t="n"/>
      <c r="H34" s="82" t="n"/>
      <c r="I34" s="83" t="n"/>
      <c r="J34" s="82" t="n"/>
      <c r="K34" s="84" t="n"/>
      <c r="L34" s="85" t="n"/>
      <c r="M34" s="82" t="n"/>
      <c r="N34" s="86" t="n"/>
      <c r="O34" s="81" t="n"/>
      <c r="P34" s="82" t="n"/>
      <c r="Q34" s="83" t="n"/>
      <c r="R34" s="82" t="n"/>
      <c r="S34" s="84" t="n"/>
      <c r="T34" s="84" t="n"/>
      <c r="U34" s="82" t="n"/>
      <c r="V34" s="86" t="n"/>
      <c r="W34" s="86" t="n"/>
      <c r="X34" s="86" t="n"/>
      <c r="Y34" s="81" t="n"/>
      <c r="Z34" s="82" t="n"/>
      <c r="AA34" s="81" t="n"/>
      <c r="AB34" s="82" t="n"/>
      <c r="AC34" s="87">
        <f>IF(OR($D34="",$M34="Rejected",$M34="Withdrawn",$M34="Accepted"),"",IF(ISNUMBER($O34),IF(INT($O34)&lt;TODAY(),"FOLLOW UP REQUIRED",IF(INT($O34)=TODAY(),"ACTION DUE TODAY",IF(INT($O34)-TODAY()&lt;=Set_DueSoonDays,"DUE SOON",""))),IF(AND($M34="Applied",$AA34=""),IF(ISNUMBER($C34),IF(TODAY()-$C34&gt;=Set_FollowUpDays,"NO RESPONSE",""),""),"")))</f>
        <v/>
      </c>
      <c r="AD34" s="87">
        <f>IF(ISNUMBER($L34),IF($L34&gt;=90,"Excellent Match",IF($L34&gt;=75,"Strong Match",IF($L34&gt;=60,"Moderate Match","Low Match"))),"")</f>
        <v/>
      </c>
      <c r="AE34" s="87">
        <f>IF($D34="","",IF(OR($M34="Rejected",$M34="Withdrawn"),IF($AB34&lt;&gt;"",$AB34,IF(OR($M34="Rejected",ISNUMBER($C34)),"Applied","Wishlist")),IF($M34="",IF(ISNUMBER($C34),"Applied","Wishlist"),$M34)))</f>
        <v/>
      </c>
      <c r="AF34" s="88">
        <f>IF(AND(ISNUMBER($C34),ISNUMBER($AA34)),$AA34-$C34,"")</f>
        <v/>
      </c>
      <c r="AG34" s="87">
        <f>IF($AE34="","",IFERROR(MATCH($AE34,{"Wishlist","Applied","Screening","Interview 1","Interview 2","Final","Offer","Accepted"},0)-1,""))</f>
        <v/>
      </c>
      <c r="AH34" s="87">
        <f>IF($AC34="","",MATCH($AC34,{"FOLLOW UP REQUIRED","ACTION DUE TODAY","NO RESPONSE","DUE SOON"},0)*100000+IF(ISNUMBER($O34),$O34,IF(ISNUMBER($C34),$C34,0))+ROW()/10000)</f>
        <v/>
      </c>
      <c r="AI34" s="87">
        <f>IF(AND(ISNUMBER($AG34),$AG34&gt;=1,$AG34&lt;=6,$M34&lt;&gt;"Rejected",$M34&lt;&gt;"Withdrawn"),(10-$AG34)*100000+IF(ISNUMBER($C34),$C34,0)+ROW()/10000,"")</f>
        <v/>
      </c>
    </row>
    <row r="35">
      <c r="A35" s="80" t="n"/>
      <c r="B35" s="81" t="n"/>
      <c r="C35" s="81" t="n"/>
      <c r="D35" s="82" t="n"/>
      <c r="E35" s="82" t="n"/>
      <c r="F35" s="82" t="n"/>
      <c r="G35" s="82" t="n"/>
      <c r="H35" s="82" t="n"/>
      <c r="I35" s="83" t="n"/>
      <c r="J35" s="82" t="n"/>
      <c r="K35" s="84" t="n"/>
      <c r="L35" s="85" t="n"/>
      <c r="M35" s="82" t="n"/>
      <c r="N35" s="86" t="n"/>
      <c r="O35" s="81" t="n"/>
      <c r="P35" s="82" t="n"/>
      <c r="Q35" s="83" t="n"/>
      <c r="R35" s="82" t="n"/>
      <c r="S35" s="84" t="n"/>
      <c r="T35" s="84" t="n"/>
      <c r="U35" s="82" t="n"/>
      <c r="V35" s="86" t="n"/>
      <c r="W35" s="86" t="n"/>
      <c r="X35" s="86" t="n"/>
      <c r="Y35" s="81" t="n"/>
      <c r="Z35" s="82" t="n"/>
      <c r="AA35" s="81" t="n"/>
      <c r="AB35" s="82" t="n"/>
      <c r="AC35" s="87">
        <f>IF(OR($D35="",$M35="Rejected",$M35="Withdrawn",$M35="Accepted"),"",IF(ISNUMBER($O35),IF(INT($O35)&lt;TODAY(),"FOLLOW UP REQUIRED",IF(INT($O35)=TODAY(),"ACTION DUE TODAY",IF(INT($O35)-TODAY()&lt;=Set_DueSoonDays,"DUE SOON",""))),IF(AND($M35="Applied",$AA35=""),IF(ISNUMBER($C35),IF(TODAY()-$C35&gt;=Set_FollowUpDays,"NO RESPONSE",""),""),"")))</f>
        <v/>
      </c>
      <c r="AD35" s="87">
        <f>IF(ISNUMBER($L35),IF($L35&gt;=90,"Excellent Match",IF($L35&gt;=75,"Strong Match",IF($L35&gt;=60,"Moderate Match","Low Match"))),"")</f>
        <v/>
      </c>
      <c r="AE35" s="87">
        <f>IF($D35="","",IF(OR($M35="Rejected",$M35="Withdrawn"),IF($AB35&lt;&gt;"",$AB35,IF(OR($M35="Rejected",ISNUMBER($C35)),"Applied","Wishlist")),IF($M35="",IF(ISNUMBER($C35),"Applied","Wishlist"),$M35)))</f>
        <v/>
      </c>
      <c r="AF35" s="88">
        <f>IF(AND(ISNUMBER($C35),ISNUMBER($AA35)),$AA35-$C35,"")</f>
        <v/>
      </c>
      <c r="AG35" s="87">
        <f>IF($AE35="","",IFERROR(MATCH($AE35,{"Wishlist","Applied","Screening","Interview 1","Interview 2","Final","Offer","Accepted"},0)-1,""))</f>
        <v/>
      </c>
      <c r="AH35" s="87">
        <f>IF($AC35="","",MATCH($AC35,{"FOLLOW UP REQUIRED","ACTION DUE TODAY","NO RESPONSE","DUE SOON"},0)*100000+IF(ISNUMBER($O35),$O35,IF(ISNUMBER($C35),$C35,0))+ROW()/10000)</f>
        <v/>
      </c>
      <c r="AI35" s="87">
        <f>IF(AND(ISNUMBER($AG35),$AG35&gt;=1,$AG35&lt;=6,$M35&lt;&gt;"Rejected",$M35&lt;&gt;"Withdrawn"),(10-$AG35)*100000+IF(ISNUMBER($C35),$C35,0)+ROW()/10000,"")</f>
        <v/>
      </c>
    </row>
    <row r="36">
      <c r="A36" s="80" t="n"/>
      <c r="B36" s="81" t="n"/>
      <c r="C36" s="81" t="n"/>
      <c r="D36" s="82" t="n"/>
      <c r="E36" s="82" t="n"/>
      <c r="F36" s="82" t="n"/>
      <c r="G36" s="82" t="n"/>
      <c r="H36" s="82" t="n"/>
      <c r="I36" s="83" t="n"/>
      <c r="J36" s="82" t="n"/>
      <c r="K36" s="84" t="n"/>
      <c r="L36" s="85" t="n"/>
      <c r="M36" s="82" t="n"/>
      <c r="N36" s="86" t="n"/>
      <c r="O36" s="81" t="n"/>
      <c r="P36" s="82" t="n"/>
      <c r="Q36" s="83" t="n"/>
      <c r="R36" s="82" t="n"/>
      <c r="S36" s="84" t="n"/>
      <c r="T36" s="84" t="n"/>
      <c r="U36" s="82" t="n"/>
      <c r="V36" s="86" t="n"/>
      <c r="W36" s="86" t="n"/>
      <c r="X36" s="86" t="n"/>
      <c r="Y36" s="81" t="n"/>
      <c r="Z36" s="82" t="n"/>
      <c r="AA36" s="81" t="n"/>
      <c r="AB36" s="82" t="n"/>
      <c r="AC36" s="87">
        <f>IF(OR($D36="",$M36="Rejected",$M36="Withdrawn",$M36="Accepted"),"",IF(ISNUMBER($O36),IF(INT($O36)&lt;TODAY(),"FOLLOW UP REQUIRED",IF(INT($O36)=TODAY(),"ACTION DUE TODAY",IF(INT($O36)-TODAY()&lt;=Set_DueSoonDays,"DUE SOON",""))),IF(AND($M36="Applied",$AA36=""),IF(ISNUMBER($C36),IF(TODAY()-$C36&gt;=Set_FollowUpDays,"NO RESPONSE",""),""),"")))</f>
        <v/>
      </c>
      <c r="AD36" s="87">
        <f>IF(ISNUMBER($L36),IF($L36&gt;=90,"Excellent Match",IF($L36&gt;=75,"Strong Match",IF($L36&gt;=60,"Moderate Match","Low Match"))),"")</f>
        <v/>
      </c>
      <c r="AE36" s="87">
        <f>IF($D36="","",IF(OR($M36="Rejected",$M36="Withdrawn"),IF($AB36&lt;&gt;"",$AB36,IF(OR($M36="Rejected",ISNUMBER($C36)),"Applied","Wishlist")),IF($M36="",IF(ISNUMBER($C36),"Applied","Wishlist"),$M36)))</f>
        <v/>
      </c>
      <c r="AF36" s="88">
        <f>IF(AND(ISNUMBER($C36),ISNUMBER($AA36)),$AA36-$C36,"")</f>
        <v/>
      </c>
      <c r="AG36" s="87">
        <f>IF($AE36="","",IFERROR(MATCH($AE36,{"Wishlist","Applied","Screening","Interview 1","Interview 2","Final","Offer","Accepted"},0)-1,""))</f>
        <v/>
      </c>
      <c r="AH36" s="87">
        <f>IF($AC36="","",MATCH($AC36,{"FOLLOW UP REQUIRED","ACTION DUE TODAY","NO RESPONSE","DUE SOON"},0)*100000+IF(ISNUMBER($O36),$O36,IF(ISNUMBER($C36),$C36,0))+ROW()/10000)</f>
        <v/>
      </c>
      <c r="AI36" s="87">
        <f>IF(AND(ISNUMBER($AG36),$AG36&gt;=1,$AG36&lt;=6,$M36&lt;&gt;"Rejected",$M36&lt;&gt;"Withdrawn"),(10-$AG36)*100000+IF(ISNUMBER($C36),$C36,0)+ROW()/10000,"")</f>
        <v/>
      </c>
    </row>
    <row r="37">
      <c r="A37" s="80" t="n"/>
      <c r="B37" s="81" t="n"/>
      <c r="C37" s="81" t="n"/>
      <c r="D37" s="82" t="n"/>
      <c r="E37" s="82" t="n"/>
      <c r="F37" s="82" t="n"/>
      <c r="G37" s="82" t="n"/>
      <c r="H37" s="82" t="n"/>
      <c r="I37" s="83" t="n"/>
      <c r="J37" s="82" t="n"/>
      <c r="K37" s="84" t="n"/>
      <c r="L37" s="85" t="n"/>
      <c r="M37" s="82" t="n"/>
      <c r="N37" s="86" t="n"/>
      <c r="O37" s="81" t="n"/>
      <c r="P37" s="82" t="n"/>
      <c r="Q37" s="83" t="n"/>
      <c r="R37" s="82" t="n"/>
      <c r="S37" s="84" t="n"/>
      <c r="T37" s="84" t="n"/>
      <c r="U37" s="82" t="n"/>
      <c r="V37" s="86" t="n"/>
      <c r="W37" s="86" t="n"/>
      <c r="X37" s="86" t="n"/>
      <c r="Y37" s="81" t="n"/>
      <c r="Z37" s="82" t="n"/>
      <c r="AA37" s="81" t="n"/>
      <c r="AB37" s="82" t="n"/>
      <c r="AC37" s="87">
        <f>IF(OR($D37="",$M37="Rejected",$M37="Withdrawn",$M37="Accepted"),"",IF(ISNUMBER($O37),IF(INT($O37)&lt;TODAY(),"FOLLOW UP REQUIRED",IF(INT($O37)=TODAY(),"ACTION DUE TODAY",IF(INT($O37)-TODAY()&lt;=Set_DueSoonDays,"DUE SOON",""))),IF(AND($M37="Applied",$AA37=""),IF(ISNUMBER($C37),IF(TODAY()-$C37&gt;=Set_FollowUpDays,"NO RESPONSE",""),""),"")))</f>
        <v/>
      </c>
      <c r="AD37" s="87">
        <f>IF(ISNUMBER($L37),IF($L37&gt;=90,"Excellent Match",IF($L37&gt;=75,"Strong Match",IF($L37&gt;=60,"Moderate Match","Low Match"))),"")</f>
        <v/>
      </c>
      <c r="AE37" s="87">
        <f>IF($D37="","",IF(OR($M37="Rejected",$M37="Withdrawn"),IF($AB37&lt;&gt;"",$AB37,IF(OR($M37="Rejected",ISNUMBER($C37)),"Applied","Wishlist")),IF($M37="",IF(ISNUMBER($C37),"Applied","Wishlist"),$M37)))</f>
        <v/>
      </c>
      <c r="AF37" s="88">
        <f>IF(AND(ISNUMBER($C37),ISNUMBER($AA37)),$AA37-$C37,"")</f>
        <v/>
      </c>
      <c r="AG37" s="87">
        <f>IF($AE37="","",IFERROR(MATCH($AE37,{"Wishlist","Applied","Screening","Interview 1","Interview 2","Final","Offer","Accepted"},0)-1,""))</f>
        <v/>
      </c>
      <c r="AH37" s="87">
        <f>IF($AC37="","",MATCH($AC37,{"FOLLOW UP REQUIRED","ACTION DUE TODAY","NO RESPONSE","DUE SOON"},0)*100000+IF(ISNUMBER($O37),$O37,IF(ISNUMBER($C37),$C37,0))+ROW()/10000)</f>
        <v/>
      </c>
      <c r="AI37" s="87">
        <f>IF(AND(ISNUMBER($AG37),$AG37&gt;=1,$AG37&lt;=6,$M37&lt;&gt;"Rejected",$M37&lt;&gt;"Withdrawn"),(10-$AG37)*100000+IF(ISNUMBER($C37),$C37,0)+ROW()/10000,"")</f>
        <v/>
      </c>
    </row>
    <row r="38">
      <c r="A38" s="80" t="n"/>
      <c r="B38" s="81" t="n"/>
      <c r="C38" s="81" t="n"/>
      <c r="D38" s="82" t="n"/>
      <c r="E38" s="82" t="n"/>
      <c r="F38" s="82" t="n"/>
      <c r="G38" s="82" t="n"/>
      <c r="H38" s="82" t="n"/>
      <c r="I38" s="83" t="n"/>
      <c r="J38" s="82" t="n"/>
      <c r="K38" s="84" t="n"/>
      <c r="L38" s="85" t="n"/>
      <c r="M38" s="82" t="n"/>
      <c r="N38" s="86" t="n"/>
      <c r="O38" s="81" t="n"/>
      <c r="P38" s="82" t="n"/>
      <c r="Q38" s="83" t="n"/>
      <c r="R38" s="82" t="n"/>
      <c r="S38" s="84" t="n"/>
      <c r="T38" s="84" t="n"/>
      <c r="U38" s="82" t="n"/>
      <c r="V38" s="86" t="n"/>
      <c r="W38" s="86" t="n"/>
      <c r="X38" s="86" t="n"/>
      <c r="Y38" s="81" t="n"/>
      <c r="Z38" s="82" t="n"/>
      <c r="AA38" s="81" t="n"/>
      <c r="AB38" s="82" t="n"/>
      <c r="AC38" s="87">
        <f>IF(OR($D38="",$M38="Rejected",$M38="Withdrawn",$M38="Accepted"),"",IF(ISNUMBER($O38),IF(INT($O38)&lt;TODAY(),"FOLLOW UP REQUIRED",IF(INT($O38)=TODAY(),"ACTION DUE TODAY",IF(INT($O38)-TODAY()&lt;=Set_DueSoonDays,"DUE SOON",""))),IF(AND($M38="Applied",$AA38=""),IF(ISNUMBER($C38),IF(TODAY()-$C38&gt;=Set_FollowUpDays,"NO RESPONSE",""),""),"")))</f>
        <v/>
      </c>
      <c r="AD38" s="87">
        <f>IF(ISNUMBER($L38),IF($L38&gt;=90,"Excellent Match",IF($L38&gt;=75,"Strong Match",IF($L38&gt;=60,"Moderate Match","Low Match"))),"")</f>
        <v/>
      </c>
      <c r="AE38" s="87">
        <f>IF($D38="","",IF(OR($M38="Rejected",$M38="Withdrawn"),IF($AB38&lt;&gt;"",$AB38,IF(OR($M38="Rejected",ISNUMBER($C38)),"Applied","Wishlist")),IF($M38="",IF(ISNUMBER($C38),"Applied","Wishlist"),$M38)))</f>
        <v/>
      </c>
      <c r="AF38" s="88">
        <f>IF(AND(ISNUMBER($C38),ISNUMBER($AA38)),$AA38-$C38,"")</f>
        <v/>
      </c>
      <c r="AG38" s="87">
        <f>IF($AE38="","",IFERROR(MATCH($AE38,{"Wishlist","Applied","Screening","Interview 1","Interview 2","Final","Offer","Accepted"},0)-1,""))</f>
        <v/>
      </c>
      <c r="AH38" s="87">
        <f>IF($AC38="","",MATCH($AC38,{"FOLLOW UP REQUIRED","ACTION DUE TODAY","NO RESPONSE","DUE SOON"},0)*100000+IF(ISNUMBER($O38),$O38,IF(ISNUMBER($C38),$C38,0))+ROW()/10000)</f>
        <v/>
      </c>
      <c r="AI38" s="87">
        <f>IF(AND(ISNUMBER($AG38),$AG38&gt;=1,$AG38&lt;=6,$M38&lt;&gt;"Rejected",$M38&lt;&gt;"Withdrawn"),(10-$AG38)*100000+IF(ISNUMBER($C38),$C38,0)+ROW()/10000,"")</f>
        <v/>
      </c>
    </row>
    <row r="39">
      <c r="A39" s="80" t="n"/>
      <c r="B39" s="81" t="n"/>
      <c r="C39" s="81" t="n"/>
      <c r="D39" s="82" t="n"/>
      <c r="E39" s="82" t="n"/>
      <c r="F39" s="82" t="n"/>
      <c r="G39" s="82" t="n"/>
      <c r="H39" s="82" t="n"/>
      <c r="I39" s="83" t="n"/>
      <c r="J39" s="82" t="n"/>
      <c r="K39" s="84" t="n"/>
      <c r="L39" s="85" t="n"/>
      <c r="M39" s="82" t="n"/>
      <c r="N39" s="86" t="n"/>
      <c r="O39" s="81" t="n"/>
      <c r="P39" s="82" t="n"/>
      <c r="Q39" s="83" t="n"/>
      <c r="R39" s="82" t="n"/>
      <c r="S39" s="84" t="n"/>
      <c r="T39" s="84" t="n"/>
      <c r="U39" s="82" t="n"/>
      <c r="V39" s="86" t="n"/>
      <c r="W39" s="86" t="n"/>
      <c r="X39" s="86" t="n"/>
      <c r="Y39" s="81" t="n"/>
      <c r="Z39" s="82" t="n"/>
      <c r="AA39" s="81" t="n"/>
      <c r="AB39" s="82" t="n"/>
      <c r="AC39" s="87">
        <f>IF(OR($D39="",$M39="Rejected",$M39="Withdrawn",$M39="Accepted"),"",IF(ISNUMBER($O39),IF(INT($O39)&lt;TODAY(),"FOLLOW UP REQUIRED",IF(INT($O39)=TODAY(),"ACTION DUE TODAY",IF(INT($O39)-TODAY()&lt;=Set_DueSoonDays,"DUE SOON",""))),IF(AND($M39="Applied",$AA39=""),IF(ISNUMBER($C39),IF(TODAY()-$C39&gt;=Set_FollowUpDays,"NO RESPONSE",""),""),"")))</f>
        <v/>
      </c>
      <c r="AD39" s="87">
        <f>IF(ISNUMBER($L39),IF($L39&gt;=90,"Excellent Match",IF($L39&gt;=75,"Strong Match",IF($L39&gt;=60,"Moderate Match","Low Match"))),"")</f>
        <v/>
      </c>
      <c r="AE39" s="87">
        <f>IF($D39="","",IF(OR($M39="Rejected",$M39="Withdrawn"),IF($AB39&lt;&gt;"",$AB39,IF(OR($M39="Rejected",ISNUMBER($C39)),"Applied","Wishlist")),IF($M39="",IF(ISNUMBER($C39),"Applied","Wishlist"),$M39)))</f>
        <v/>
      </c>
      <c r="AF39" s="88">
        <f>IF(AND(ISNUMBER($C39),ISNUMBER($AA39)),$AA39-$C39,"")</f>
        <v/>
      </c>
      <c r="AG39" s="87">
        <f>IF($AE39="","",IFERROR(MATCH($AE39,{"Wishlist","Applied","Screening","Interview 1","Interview 2","Final","Offer","Accepted"},0)-1,""))</f>
        <v/>
      </c>
      <c r="AH39" s="87">
        <f>IF($AC39="","",MATCH($AC39,{"FOLLOW UP REQUIRED","ACTION DUE TODAY","NO RESPONSE","DUE SOON"},0)*100000+IF(ISNUMBER($O39),$O39,IF(ISNUMBER($C39),$C39,0))+ROW()/10000)</f>
        <v/>
      </c>
      <c r="AI39" s="87">
        <f>IF(AND(ISNUMBER($AG39),$AG39&gt;=1,$AG39&lt;=6,$M39&lt;&gt;"Rejected",$M39&lt;&gt;"Withdrawn"),(10-$AG39)*100000+IF(ISNUMBER($C39),$C39,0)+ROW()/10000,"")</f>
        <v/>
      </c>
    </row>
    <row r="40">
      <c r="A40" s="80" t="n"/>
      <c r="B40" s="81" t="n"/>
      <c r="C40" s="81" t="n"/>
      <c r="D40" s="82" t="n"/>
      <c r="E40" s="82" t="n"/>
      <c r="F40" s="82" t="n"/>
      <c r="G40" s="82" t="n"/>
      <c r="H40" s="82" t="n"/>
      <c r="I40" s="83" t="n"/>
      <c r="J40" s="82" t="n"/>
      <c r="K40" s="84" t="n"/>
      <c r="L40" s="85" t="n"/>
      <c r="M40" s="82" t="n"/>
      <c r="N40" s="86" t="n"/>
      <c r="O40" s="81" t="n"/>
      <c r="P40" s="82" t="n"/>
      <c r="Q40" s="83" t="n"/>
      <c r="R40" s="82" t="n"/>
      <c r="S40" s="84" t="n"/>
      <c r="T40" s="84" t="n"/>
      <c r="U40" s="82" t="n"/>
      <c r="V40" s="86" t="n"/>
      <c r="W40" s="86" t="n"/>
      <c r="X40" s="86" t="n"/>
      <c r="Y40" s="81" t="n"/>
      <c r="Z40" s="82" t="n"/>
      <c r="AA40" s="81" t="n"/>
      <c r="AB40" s="82" t="n"/>
      <c r="AC40" s="87">
        <f>IF(OR($D40="",$M40="Rejected",$M40="Withdrawn",$M40="Accepted"),"",IF(ISNUMBER($O40),IF(INT($O40)&lt;TODAY(),"FOLLOW UP REQUIRED",IF(INT($O40)=TODAY(),"ACTION DUE TODAY",IF(INT($O40)-TODAY()&lt;=Set_DueSoonDays,"DUE SOON",""))),IF(AND($M40="Applied",$AA40=""),IF(ISNUMBER($C40),IF(TODAY()-$C40&gt;=Set_FollowUpDays,"NO RESPONSE",""),""),"")))</f>
        <v/>
      </c>
      <c r="AD40" s="87">
        <f>IF(ISNUMBER($L40),IF($L40&gt;=90,"Excellent Match",IF($L40&gt;=75,"Strong Match",IF($L40&gt;=60,"Moderate Match","Low Match"))),"")</f>
        <v/>
      </c>
      <c r="AE40" s="87">
        <f>IF($D40="","",IF(OR($M40="Rejected",$M40="Withdrawn"),IF($AB40&lt;&gt;"",$AB40,IF(OR($M40="Rejected",ISNUMBER($C40)),"Applied","Wishlist")),IF($M40="",IF(ISNUMBER($C40),"Applied","Wishlist"),$M40)))</f>
        <v/>
      </c>
      <c r="AF40" s="88">
        <f>IF(AND(ISNUMBER($C40),ISNUMBER($AA40)),$AA40-$C40,"")</f>
        <v/>
      </c>
      <c r="AG40" s="87">
        <f>IF($AE40="","",IFERROR(MATCH($AE40,{"Wishlist","Applied","Screening","Interview 1","Interview 2","Final","Offer","Accepted"},0)-1,""))</f>
        <v/>
      </c>
      <c r="AH40" s="87">
        <f>IF($AC40="","",MATCH($AC40,{"FOLLOW UP REQUIRED","ACTION DUE TODAY","NO RESPONSE","DUE SOON"},0)*100000+IF(ISNUMBER($O40),$O40,IF(ISNUMBER($C40),$C40,0))+ROW()/10000)</f>
        <v/>
      </c>
      <c r="AI40" s="87">
        <f>IF(AND(ISNUMBER($AG40),$AG40&gt;=1,$AG40&lt;=6,$M40&lt;&gt;"Rejected",$M40&lt;&gt;"Withdrawn"),(10-$AG40)*100000+IF(ISNUMBER($C40),$C40,0)+ROW()/10000,"")</f>
        <v/>
      </c>
    </row>
    <row r="41">
      <c r="A41" s="80" t="n"/>
      <c r="B41" s="81" t="n"/>
      <c r="C41" s="81" t="n"/>
      <c r="D41" s="82" t="n"/>
      <c r="E41" s="82" t="n"/>
      <c r="F41" s="82" t="n"/>
      <c r="G41" s="82" t="n"/>
      <c r="H41" s="82" t="n"/>
      <c r="I41" s="83" t="n"/>
      <c r="J41" s="82" t="n"/>
      <c r="K41" s="84" t="n"/>
      <c r="L41" s="85" t="n"/>
      <c r="M41" s="82" t="n"/>
      <c r="N41" s="86" t="n"/>
      <c r="O41" s="81" t="n"/>
      <c r="P41" s="82" t="n"/>
      <c r="Q41" s="83" t="n"/>
      <c r="R41" s="82" t="n"/>
      <c r="S41" s="84" t="n"/>
      <c r="T41" s="84" t="n"/>
      <c r="U41" s="82" t="n"/>
      <c r="V41" s="86" t="n"/>
      <c r="W41" s="86" t="n"/>
      <c r="X41" s="86" t="n"/>
      <c r="Y41" s="81" t="n"/>
      <c r="Z41" s="82" t="n"/>
      <c r="AA41" s="81" t="n"/>
      <c r="AB41" s="82" t="n"/>
      <c r="AC41" s="87">
        <f>IF(OR($D41="",$M41="Rejected",$M41="Withdrawn",$M41="Accepted"),"",IF(ISNUMBER($O41),IF(INT($O41)&lt;TODAY(),"FOLLOW UP REQUIRED",IF(INT($O41)=TODAY(),"ACTION DUE TODAY",IF(INT($O41)-TODAY()&lt;=Set_DueSoonDays,"DUE SOON",""))),IF(AND($M41="Applied",$AA41=""),IF(ISNUMBER($C41),IF(TODAY()-$C41&gt;=Set_FollowUpDays,"NO RESPONSE",""),""),"")))</f>
        <v/>
      </c>
      <c r="AD41" s="87">
        <f>IF(ISNUMBER($L41),IF($L41&gt;=90,"Excellent Match",IF($L41&gt;=75,"Strong Match",IF($L41&gt;=60,"Moderate Match","Low Match"))),"")</f>
        <v/>
      </c>
      <c r="AE41" s="87">
        <f>IF($D41="","",IF(OR($M41="Rejected",$M41="Withdrawn"),IF($AB41&lt;&gt;"",$AB41,IF(OR($M41="Rejected",ISNUMBER($C41)),"Applied","Wishlist")),IF($M41="",IF(ISNUMBER($C41),"Applied","Wishlist"),$M41)))</f>
        <v/>
      </c>
      <c r="AF41" s="88">
        <f>IF(AND(ISNUMBER($C41),ISNUMBER($AA41)),$AA41-$C41,"")</f>
        <v/>
      </c>
      <c r="AG41" s="87">
        <f>IF($AE41="","",IFERROR(MATCH($AE41,{"Wishlist","Applied","Screening","Interview 1","Interview 2","Final","Offer","Accepted"},0)-1,""))</f>
        <v/>
      </c>
      <c r="AH41" s="87">
        <f>IF($AC41="","",MATCH($AC41,{"FOLLOW UP REQUIRED","ACTION DUE TODAY","NO RESPONSE","DUE SOON"},0)*100000+IF(ISNUMBER($O41),$O41,IF(ISNUMBER($C41),$C41,0))+ROW()/10000)</f>
        <v/>
      </c>
      <c r="AI41" s="87">
        <f>IF(AND(ISNUMBER($AG41),$AG41&gt;=1,$AG41&lt;=6,$M41&lt;&gt;"Rejected",$M41&lt;&gt;"Withdrawn"),(10-$AG41)*100000+IF(ISNUMBER($C41),$C41,0)+ROW()/10000,"")</f>
        <v/>
      </c>
    </row>
    <row r="42">
      <c r="A42" s="80" t="n"/>
      <c r="B42" s="81" t="n"/>
      <c r="C42" s="81" t="n"/>
      <c r="D42" s="82" t="n"/>
      <c r="E42" s="82" t="n"/>
      <c r="F42" s="82" t="n"/>
      <c r="G42" s="82" t="n"/>
      <c r="H42" s="82" t="n"/>
      <c r="I42" s="83" t="n"/>
      <c r="J42" s="82" t="n"/>
      <c r="K42" s="84" t="n"/>
      <c r="L42" s="85" t="n"/>
      <c r="M42" s="82" t="n"/>
      <c r="N42" s="86" t="n"/>
      <c r="O42" s="81" t="n"/>
      <c r="P42" s="82" t="n"/>
      <c r="Q42" s="83" t="n"/>
      <c r="R42" s="82" t="n"/>
      <c r="S42" s="84" t="n"/>
      <c r="T42" s="84" t="n"/>
      <c r="U42" s="82" t="n"/>
      <c r="V42" s="86" t="n"/>
      <c r="W42" s="86" t="n"/>
      <c r="X42" s="86" t="n"/>
      <c r="Y42" s="81" t="n"/>
      <c r="Z42" s="82" t="n"/>
      <c r="AA42" s="81" t="n"/>
      <c r="AB42" s="82" t="n"/>
      <c r="AC42" s="87">
        <f>IF(OR($D42="",$M42="Rejected",$M42="Withdrawn",$M42="Accepted"),"",IF(ISNUMBER($O42),IF(INT($O42)&lt;TODAY(),"FOLLOW UP REQUIRED",IF(INT($O42)=TODAY(),"ACTION DUE TODAY",IF(INT($O42)-TODAY()&lt;=Set_DueSoonDays,"DUE SOON",""))),IF(AND($M42="Applied",$AA42=""),IF(ISNUMBER($C42),IF(TODAY()-$C42&gt;=Set_FollowUpDays,"NO RESPONSE",""),""),"")))</f>
        <v/>
      </c>
      <c r="AD42" s="87">
        <f>IF(ISNUMBER($L42),IF($L42&gt;=90,"Excellent Match",IF($L42&gt;=75,"Strong Match",IF($L42&gt;=60,"Moderate Match","Low Match"))),"")</f>
        <v/>
      </c>
      <c r="AE42" s="87">
        <f>IF($D42="","",IF(OR($M42="Rejected",$M42="Withdrawn"),IF($AB42&lt;&gt;"",$AB42,IF(OR($M42="Rejected",ISNUMBER($C42)),"Applied","Wishlist")),IF($M42="",IF(ISNUMBER($C42),"Applied","Wishlist"),$M42)))</f>
        <v/>
      </c>
      <c r="AF42" s="88">
        <f>IF(AND(ISNUMBER($C42),ISNUMBER($AA42)),$AA42-$C42,"")</f>
        <v/>
      </c>
      <c r="AG42" s="87">
        <f>IF($AE42="","",IFERROR(MATCH($AE42,{"Wishlist","Applied","Screening","Interview 1","Interview 2","Final","Offer","Accepted"},0)-1,""))</f>
        <v/>
      </c>
      <c r="AH42" s="87">
        <f>IF($AC42="","",MATCH($AC42,{"FOLLOW UP REQUIRED","ACTION DUE TODAY","NO RESPONSE","DUE SOON"},0)*100000+IF(ISNUMBER($O42),$O42,IF(ISNUMBER($C42),$C42,0))+ROW()/10000)</f>
        <v/>
      </c>
      <c r="AI42" s="87">
        <f>IF(AND(ISNUMBER($AG42),$AG42&gt;=1,$AG42&lt;=6,$M42&lt;&gt;"Rejected",$M42&lt;&gt;"Withdrawn"),(10-$AG42)*100000+IF(ISNUMBER($C42),$C42,0)+ROW()/10000,"")</f>
        <v/>
      </c>
    </row>
    <row r="43">
      <c r="A43" s="80" t="n"/>
      <c r="B43" s="81" t="n"/>
      <c r="C43" s="81" t="n"/>
      <c r="D43" s="82" t="n"/>
      <c r="E43" s="82" t="n"/>
      <c r="F43" s="82" t="n"/>
      <c r="G43" s="82" t="n"/>
      <c r="H43" s="82" t="n"/>
      <c r="I43" s="83" t="n"/>
      <c r="J43" s="82" t="n"/>
      <c r="K43" s="84" t="n"/>
      <c r="L43" s="85" t="n"/>
      <c r="M43" s="82" t="n"/>
      <c r="N43" s="86" t="n"/>
      <c r="O43" s="81" t="n"/>
      <c r="P43" s="82" t="n"/>
      <c r="Q43" s="83" t="n"/>
      <c r="R43" s="82" t="n"/>
      <c r="S43" s="84" t="n"/>
      <c r="T43" s="84" t="n"/>
      <c r="U43" s="82" t="n"/>
      <c r="V43" s="86" t="n"/>
      <c r="W43" s="86" t="n"/>
      <c r="X43" s="86" t="n"/>
      <c r="Y43" s="81" t="n"/>
      <c r="Z43" s="82" t="n"/>
      <c r="AA43" s="81" t="n"/>
      <c r="AB43" s="82" t="n"/>
      <c r="AC43" s="87">
        <f>IF(OR($D43="",$M43="Rejected",$M43="Withdrawn",$M43="Accepted"),"",IF(ISNUMBER($O43),IF(INT($O43)&lt;TODAY(),"FOLLOW UP REQUIRED",IF(INT($O43)=TODAY(),"ACTION DUE TODAY",IF(INT($O43)-TODAY()&lt;=Set_DueSoonDays,"DUE SOON",""))),IF(AND($M43="Applied",$AA43=""),IF(ISNUMBER($C43),IF(TODAY()-$C43&gt;=Set_FollowUpDays,"NO RESPONSE",""),""),"")))</f>
        <v/>
      </c>
      <c r="AD43" s="87">
        <f>IF(ISNUMBER($L43),IF($L43&gt;=90,"Excellent Match",IF($L43&gt;=75,"Strong Match",IF($L43&gt;=60,"Moderate Match","Low Match"))),"")</f>
        <v/>
      </c>
      <c r="AE43" s="87">
        <f>IF($D43="","",IF(OR($M43="Rejected",$M43="Withdrawn"),IF($AB43&lt;&gt;"",$AB43,IF(OR($M43="Rejected",ISNUMBER($C43)),"Applied","Wishlist")),IF($M43="",IF(ISNUMBER($C43),"Applied","Wishlist"),$M43)))</f>
        <v/>
      </c>
      <c r="AF43" s="88">
        <f>IF(AND(ISNUMBER($C43),ISNUMBER($AA43)),$AA43-$C43,"")</f>
        <v/>
      </c>
      <c r="AG43" s="87">
        <f>IF($AE43="","",IFERROR(MATCH($AE43,{"Wishlist","Applied","Screening","Interview 1","Interview 2","Final","Offer","Accepted"},0)-1,""))</f>
        <v/>
      </c>
      <c r="AH43" s="87">
        <f>IF($AC43="","",MATCH($AC43,{"FOLLOW UP REQUIRED","ACTION DUE TODAY","NO RESPONSE","DUE SOON"},0)*100000+IF(ISNUMBER($O43),$O43,IF(ISNUMBER($C43),$C43,0))+ROW()/10000)</f>
        <v/>
      </c>
      <c r="AI43" s="87">
        <f>IF(AND(ISNUMBER($AG43),$AG43&gt;=1,$AG43&lt;=6,$M43&lt;&gt;"Rejected",$M43&lt;&gt;"Withdrawn"),(10-$AG43)*100000+IF(ISNUMBER($C43),$C43,0)+ROW()/10000,"")</f>
        <v/>
      </c>
    </row>
    <row r="44">
      <c r="A44" s="80" t="n"/>
      <c r="B44" s="81" t="n"/>
      <c r="C44" s="81" t="n"/>
      <c r="D44" s="82" t="n"/>
      <c r="E44" s="82" t="n"/>
      <c r="F44" s="82" t="n"/>
      <c r="G44" s="82" t="n"/>
      <c r="H44" s="82" t="n"/>
      <c r="I44" s="83" t="n"/>
      <c r="J44" s="82" t="n"/>
      <c r="K44" s="84" t="n"/>
      <c r="L44" s="85" t="n"/>
      <c r="M44" s="82" t="n"/>
      <c r="N44" s="86" t="n"/>
      <c r="O44" s="81" t="n"/>
      <c r="P44" s="82" t="n"/>
      <c r="Q44" s="83" t="n"/>
      <c r="R44" s="82" t="n"/>
      <c r="S44" s="84" t="n"/>
      <c r="T44" s="84" t="n"/>
      <c r="U44" s="82" t="n"/>
      <c r="V44" s="86" t="n"/>
      <c r="W44" s="86" t="n"/>
      <c r="X44" s="86" t="n"/>
      <c r="Y44" s="81" t="n"/>
      <c r="Z44" s="82" t="n"/>
      <c r="AA44" s="81" t="n"/>
      <c r="AB44" s="82" t="n"/>
      <c r="AC44" s="87">
        <f>IF(OR($D44="",$M44="Rejected",$M44="Withdrawn",$M44="Accepted"),"",IF(ISNUMBER($O44),IF(INT($O44)&lt;TODAY(),"FOLLOW UP REQUIRED",IF(INT($O44)=TODAY(),"ACTION DUE TODAY",IF(INT($O44)-TODAY()&lt;=Set_DueSoonDays,"DUE SOON",""))),IF(AND($M44="Applied",$AA44=""),IF(ISNUMBER($C44),IF(TODAY()-$C44&gt;=Set_FollowUpDays,"NO RESPONSE",""),""),"")))</f>
        <v/>
      </c>
      <c r="AD44" s="87">
        <f>IF(ISNUMBER($L44),IF($L44&gt;=90,"Excellent Match",IF($L44&gt;=75,"Strong Match",IF($L44&gt;=60,"Moderate Match","Low Match"))),"")</f>
        <v/>
      </c>
      <c r="AE44" s="87">
        <f>IF($D44="","",IF(OR($M44="Rejected",$M44="Withdrawn"),IF($AB44&lt;&gt;"",$AB44,IF(OR($M44="Rejected",ISNUMBER($C44)),"Applied","Wishlist")),IF($M44="",IF(ISNUMBER($C44),"Applied","Wishlist"),$M44)))</f>
        <v/>
      </c>
      <c r="AF44" s="88">
        <f>IF(AND(ISNUMBER($C44),ISNUMBER($AA44)),$AA44-$C44,"")</f>
        <v/>
      </c>
      <c r="AG44" s="87">
        <f>IF($AE44="","",IFERROR(MATCH($AE44,{"Wishlist","Applied","Screening","Interview 1","Interview 2","Final","Offer","Accepted"},0)-1,""))</f>
        <v/>
      </c>
      <c r="AH44" s="87">
        <f>IF($AC44="","",MATCH($AC44,{"FOLLOW UP REQUIRED","ACTION DUE TODAY","NO RESPONSE","DUE SOON"},0)*100000+IF(ISNUMBER($O44),$O44,IF(ISNUMBER($C44),$C44,0))+ROW()/10000)</f>
        <v/>
      </c>
      <c r="AI44" s="87">
        <f>IF(AND(ISNUMBER($AG44),$AG44&gt;=1,$AG44&lt;=6,$M44&lt;&gt;"Rejected",$M44&lt;&gt;"Withdrawn"),(10-$AG44)*100000+IF(ISNUMBER($C44),$C44,0)+ROW()/10000,"")</f>
        <v/>
      </c>
    </row>
    <row r="45">
      <c r="A45" s="80" t="n"/>
      <c r="B45" s="81" t="n"/>
      <c r="C45" s="81" t="n"/>
      <c r="D45" s="82" t="n"/>
      <c r="E45" s="82" t="n"/>
      <c r="F45" s="82" t="n"/>
      <c r="G45" s="82" t="n"/>
      <c r="H45" s="82" t="n"/>
      <c r="I45" s="83" t="n"/>
      <c r="J45" s="82" t="n"/>
      <c r="K45" s="84" t="n"/>
      <c r="L45" s="85" t="n"/>
      <c r="M45" s="82" t="n"/>
      <c r="N45" s="86" t="n"/>
      <c r="O45" s="81" t="n"/>
      <c r="P45" s="82" t="n"/>
      <c r="Q45" s="83" t="n"/>
      <c r="R45" s="82" t="n"/>
      <c r="S45" s="84" t="n"/>
      <c r="T45" s="84" t="n"/>
      <c r="U45" s="82" t="n"/>
      <c r="V45" s="86" t="n"/>
      <c r="W45" s="86" t="n"/>
      <c r="X45" s="86" t="n"/>
      <c r="Y45" s="81" t="n"/>
      <c r="Z45" s="82" t="n"/>
      <c r="AA45" s="81" t="n"/>
      <c r="AB45" s="82" t="n"/>
      <c r="AC45" s="87">
        <f>IF(OR($D45="",$M45="Rejected",$M45="Withdrawn",$M45="Accepted"),"",IF(ISNUMBER($O45),IF(INT($O45)&lt;TODAY(),"FOLLOW UP REQUIRED",IF(INT($O45)=TODAY(),"ACTION DUE TODAY",IF(INT($O45)-TODAY()&lt;=Set_DueSoonDays,"DUE SOON",""))),IF(AND($M45="Applied",$AA45=""),IF(ISNUMBER($C45),IF(TODAY()-$C45&gt;=Set_FollowUpDays,"NO RESPONSE",""),""),"")))</f>
        <v/>
      </c>
      <c r="AD45" s="87">
        <f>IF(ISNUMBER($L45),IF($L45&gt;=90,"Excellent Match",IF($L45&gt;=75,"Strong Match",IF($L45&gt;=60,"Moderate Match","Low Match"))),"")</f>
        <v/>
      </c>
      <c r="AE45" s="87">
        <f>IF($D45="","",IF(OR($M45="Rejected",$M45="Withdrawn"),IF($AB45&lt;&gt;"",$AB45,IF(OR($M45="Rejected",ISNUMBER($C45)),"Applied","Wishlist")),IF($M45="",IF(ISNUMBER($C45),"Applied","Wishlist"),$M45)))</f>
        <v/>
      </c>
      <c r="AF45" s="88">
        <f>IF(AND(ISNUMBER($C45),ISNUMBER($AA45)),$AA45-$C45,"")</f>
        <v/>
      </c>
      <c r="AG45" s="87">
        <f>IF($AE45="","",IFERROR(MATCH($AE45,{"Wishlist","Applied","Screening","Interview 1","Interview 2","Final","Offer","Accepted"},0)-1,""))</f>
        <v/>
      </c>
      <c r="AH45" s="87">
        <f>IF($AC45="","",MATCH($AC45,{"FOLLOW UP REQUIRED","ACTION DUE TODAY","NO RESPONSE","DUE SOON"},0)*100000+IF(ISNUMBER($O45),$O45,IF(ISNUMBER($C45),$C45,0))+ROW()/10000)</f>
        <v/>
      </c>
      <c r="AI45" s="87">
        <f>IF(AND(ISNUMBER($AG45),$AG45&gt;=1,$AG45&lt;=6,$M45&lt;&gt;"Rejected",$M45&lt;&gt;"Withdrawn"),(10-$AG45)*100000+IF(ISNUMBER($C45),$C45,0)+ROW()/10000,"")</f>
        <v/>
      </c>
    </row>
    <row r="46">
      <c r="A46" s="80" t="n"/>
      <c r="B46" s="81" t="n"/>
      <c r="C46" s="81" t="n"/>
      <c r="D46" s="82" t="n"/>
      <c r="E46" s="82" t="n"/>
      <c r="F46" s="82" t="n"/>
      <c r="G46" s="82" t="n"/>
      <c r="H46" s="82" t="n"/>
      <c r="I46" s="83" t="n"/>
      <c r="J46" s="82" t="n"/>
      <c r="K46" s="84" t="n"/>
      <c r="L46" s="85" t="n"/>
      <c r="M46" s="82" t="n"/>
      <c r="N46" s="86" t="n"/>
      <c r="O46" s="81" t="n"/>
      <c r="P46" s="82" t="n"/>
      <c r="Q46" s="83" t="n"/>
      <c r="R46" s="82" t="n"/>
      <c r="S46" s="84" t="n"/>
      <c r="T46" s="84" t="n"/>
      <c r="U46" s="82" t="n"/>
      <c r="V46" s="86" t="n"/>
      <c r="W46" s="86" t="n"/>
      <c r="X46" s="86" t="n"/>
      <c r="Y46" s="81" t="n"/>
      <c r="Z46" s="82" t="n"/>
      <c r="AA46" s="81" t="n"/>
      <c r="AB46" s="82" t="n"/>
      <c r="AC46" s="87">
        <f>IF(OR($D46="",$M46="Rejected",$M46="Withdrawn",$M46="Accepted"),"",IF(ISNUMBER($O46),IF(INT($O46)&lt;TODAY(),"FOLLOW UP REQUIRED",IF(INT($O46)=TODAY(),"ACTION DUE TODAY",IF(INT($O46)-TODAY()&lt;=Set_DueSoonDays,"DUE SOON",""))),IF(AND($M46="Applied",$AA46=""),IF(ISNUMBER($C46),IF(TODAY()-$C46&gt;=Set_FollowUpDays,"NO RESPONSE",""),""),"")))</f>
        <v/>
      </c>
      <c r="AD46" s="87">
        <f>IF(ISNUMBER($L46),IF($L46&gt;=90,"Excellent Match",IF($L46&gt;=75,"Strong Match",IF($L46&gt;=60,"Moderate Match","Low Match"))),"")</f>
        <v/>
      </c>
      <c r="AE46" s="87">
        <f>IF($D46="","",IF(OR($M46="Rejected",$M46="Withdrawn"),IF($AB46&lt;&gt;"",$AB46,IF(OR($M46="Rejected",ISNUMBER($C46)),"Applied","Wishlist")),IF($M46="",IF(ISNUMBER($C46),"Applied","Wishlist"),$M46)))</f>
        <v/>
      </c>
      <c r="AF46" s="88">
        <f>IF(AND(ISNUMBER($C46),ISNUMBER($AA46)),$AA46-$C46,"")</f>
        <v/>
      </c>
      <c r="AG46" s="87">
        <f>IF($AE46="","",IFERROR(MATCH($AE46,{"Wishlist","Applied","Screening","Interview 1","Interview 2","Final","Offer","Accepted"},0)-1,""))</f>
        <v/>
      </c>
      <c r="AH46" s="87">
        <f>IF($AC46="","",MATCH($AC46,{"FOLLOW UP REQUIRED","ACTION DUE TODAY","NO RESPONSE","DUE SOON"},0)*100000+IF(ISNUMBER($O46),$O46,IF(ISNUMBER($C46),$C46,0))+ROW()/10000)</f>
        <v/>
      </c>
      <c r="AI46" s="87">
        <f>IF(AND(ISNUMBER($AG46),$AG46&gt;=1,$AG46&lt;=6,$M46&lt;&gt;"Rejected",$M46&lt;&gt;"Withdrawn"),(10-$AG46)*100000+IF(ISNUMBER($C46),$C46,0)+ROW()/10000,"")</f>
        <v/>
      </c>
    </row>
    <row r="47">
      <c r="A47" s="80" t="n"/>
      <c r="B47" s="81" t="n"/>
      <c r="C47" s="81" t="n"/>
      <c r="D47" s="82" t="n"/>
      <c r="E47" s="82" t="n"/>
      <c r="F47" s="82" t="n"/>
      <c r="G47" s="82" t="n"/>
      <c r="H47" s="82" t="n"/>
      <c r="I47" s="83" t="n"/>
      <c r="J47" s="82" t="n"/>
      <c r="K47" s="84" t="n"/>
      <c r="L47" s="85" t="n"/>
      <c r="M47" s="82" t="n"/>
      <c r="N47" s="86" t="n"/>
      <c r="O47" s="81" t="n"/>
      <c r="P47" s="82" t="n"/>
      <c r="Q47" s="83" t="n"/>
      <c r="R47" s="82" t="n"/>
      <c r="S47" s="84" t="n"/>
      <c r="T47" s="84" t="n"/>
      <c r="U47" s="82" t="n"/>
      <c r="V47" s="86" t="n"/>
      <c r="W47" s="86" t="n"/>
      <c r="X47" s="86" t="n"/>
      <c r="Y47" s="81" t="n"/>
      <c r="Z47" s="82" t="n"/>
      <c r="AA47" s="81" t="n"/>
      <c r="AB47" s="82" t="n"/>
      <c r="AC47" s="87">
        <f>IF(OR($D47="",$M47="Rejected",$M47="Withdrawn",$M47="Accepted"),"",IF(ISNUMBER($O47),IF(INT($O47)&lt;TODAY(),"FOLLOW UP REQUIRED",IF(INT($O47)=TODAY(),"ACTION DUE TODAY",IF(INT($O47)-TODAY()&lt;=Set_DueSoonDays,"DUE SOON",""))),IF(AND($M47="Applied",$AA47=""),IF(ISNUMBER($C47),IF(TODAY()-$C47&gt;=Set_FollowUpDays,"NO RESPONSE",""),""),"")))</f>
        <v/>
      </c>
      <c r="AD47" s="87">
        <f>IF(ISNUMBER($L47),IF($L47&gt;=90,"Excellent Match",IF($L47&gt;=75,"Strong Match",IF($L47&gt;=60,"Moderate Match","Low Match"))),"")</f>
        <v/>
      </c>
      <c r="AE47" s="87">
        <f>IF($D47="","",IF(OR($M47="Rejected",$M47="Withdrawn"),IF($AB47&lt;&gt;"",$AB47,IF(OR($M47="Rejected",ISNUMBER($C47)),"Applied","Wishlist")),IF($M47="",IF(ISNUMBER($C47),"Applied","Wishlist"),$M47)))</f>
        <v/>
      </c>
      <c r="AF47" s="88">
        <f>IF(AND(ISNUMBER($C47),ISNUMBER($AA47)),$AA47-$C47,"")</f>
        <v/>
      </c>
      <c r="AG47" s="87">
        <f>IF($AE47="","",IFERROR(MATCH($AE47,{"Wishlist","Applied","Screening","Interview 1","Interview 2","Final","Offer","Accepted"},0)-1,""))</f>
        <v/>
      </c>
      <c r="AH47" s="87">
        <f>IF($AC47="","",MATCH($AC47,{"FOLLOW UP REQUIRED","ACTION DUE TODAY","NO RESPONSE","DUE SOON"},0)*100000+IF(ISNUMBER($O47),$O47,IF(ISNUMBER($C47),$C47,0))+ROW()/10000)</f>
        <v/>
      </c>
      <c r="AI47" s="87">
        <f>IF(AND(ISNUMBER($AG47),$AG47&gt;=1,$AG47&lt;=6,$M47&lt;&gt;"Rejected",$M47&lt;&gt;"Withdrawn"),(10-$AG47)*100000+IF(ISNUMBER($C47),$C47,0)+ROW()/10000,"")</f>
        <v/>
      </c>
    </row>
    <row r="48">
      <c r="A48" s="80" t="n"/>
      <c r="B48" s="81" t="n"/>
      <c r="C48" s="81" t="n"/>
      <c r="D48" s="82" t="n"/>
      <c r="E48" s="82" t="n"/>
      <c r="F48" s="82" t="n"/>
      <c r="G48" s="82" t="n"/>
      <c r="H48" s="82" t="n"/>
      <c r="I48" s="83" t="n"/>
      <c r="J48" s="82" t="n"/>
      <c r="K48" s="84" t="n"/>
      <c r="L48" s="85" t="n"/>
      <c r="M48" s="82" t="n"/>
      <c r="N48" s="86" t="n"/>
      <c r="O48" s="81" t="n"/>
      <c r="P48" s="82" t="n"/>
      <c r="Q48" s="83" t="n"/>
      <c r="R48" s="82" t="n"/>
      <c r="S48" s="84" t="n"/>
      <c r="T48" s="84" t="n"/>
      <c r="U48" s="82" t="n"/>
      <c r="V48" s="86" t="n"/>
      <c r="W48" s="86" t="n"/>
      <c r="X48" s="86" t="n"/>
      <c r="Y48" s="81" t="n"/>
      <c r="Z48" s="82" t="n"/>
      <c r="AA48" s="81" t="n"/>
      <c r="AB48" s="82" t="n"/>
      <c r="AC48" s="87">
        <f>IF(OR($D48="",$M48="Rejected",$M48="Withdrawn",$M48="Accepted"),"",IF(ISNUMBER($O48),IF(INT($O48)&lt;TODAY(),"FOLLOW UP REQUIRED",IF(INT($O48)=TODAY(),"ACTION DUE TODAY",IF(INT($O48)-TODAY()&lt;=Set_DueSoonDays,"DUE SOON",""))),IF(AND($M48="Applied",$AA48=""),IF(ISNUMBER($C48),IF(TODAY()-$C48&gt;=Set_FollowUpDays,"NO RESPONSE",""),""),"")))</f>
        <v/>
      </c>
      <c r="AD48" s="87">
        <f>IF(ISNUMBER($L48),IF($L48&gt;=90,"Excellent Match",IF($L48&gt;=75,"Strong Match",IF($L48&gt;=60,"Moderate Match","Low Match"))),"")</f>
        <v/>
      </c>
      <c r="AE48" s="87">
        <f>IF($D48="","",IF(OR($M48="Rejected",$M48="Withdrawn"),IF($AB48&lt;&gt;"",$AB48,IF(OR($M48="Rejected",ISNUMBER($C48)),"Applied","Wishlist")),IF($M48="",IF(ISNUMBER($C48),"Applied","Wishlist"),$M48)))</f>
        <v/>
      </c>
      <c r="AF48" s="88">
        <f>IF(AND(ISNUMBER($C48),ISNUMBER($AA48)),$AA48-$C48,"")</f>
        <v/>
      </c>
      <c r="AG48" s="87">
        <f>IF($AE48="","",IFERROR(MATCH($AE48,{"Wishlist","Applied","Screening","Interview 1","Interview 2","Final","Offer","Accepted"},0)-1,""))</f>
        <v/>
      </c>
      <c r="AH48" s="87">
        <f>IF($AC48="","",MATCH($AC48,{"FOLLOW UP REQUIRED","ACTION DUE TODAY","NO RESPONSE","DUE SOON"},0)*100000+IF(ISNUMBER($O48),$O48,IF(ISNUMBER($C48),$C48,0))+ROW()/10000)</f>
        <v/>
      </c>
      <c r="AI48" s="87">
        <f>IF(AND(ISNUMBER($AG48),$AG48&gt;=1,$AG48&lt;=6,$M48&lt;&gt;"Rejected",$M48&lt;&gt;"Withdrawn"),(10-$AG48)*100000+IF(ISNUMBER($C48),$C48,0)+ROW()/10000,"")</f>
        <v/>
      </c>
    </row>
    <row r="49">
      <c r="A49" s="80" t="n"/>
      <c r="B49" s="81" t="n"/>
      <c r="C49" s="81" t="n"/>
      <c r="D49" s="82" t="n"/>
      <c r="E49" s="82" t="n"/>
      <c r="F49" s="82" t="n"/>
      <c r="G49" s="82" t="n"/>
      <c r="H49" s="82" t="n"/>
      <c r="I49" s="83" t="n"/>
      <c r="J49" s="82" t="n"/>
      <c r="K49" s="84" t="n"/>
      <c r="L49" s="85" t="n"/>
      <c r="M49" s="82" t="n"/>
      <c r="N49" s="86" t="n"/>
      <c r="O49" s="81" t="n"/>
      <c r="P49" s="82" t="n"/>
      <c r="Q49" s="83" t="n"/>
      <c r="R49" s="82" t="n"/>
      <c r="S49" s="84" t="n"/>
      <c r="T49" s="84" t="n"/>
      <c r="U49" s="82" t="n"/>
      <c r="V49" s="86" t="n"/>
      <c r="W49" s="86" t="n"/>
      <c r="X49" s="86" t="n"/>
      <c r="Y49" s="81" t="n"/>
      <c r="Z49" s="82" t="n"/>
      <c r="AA49" s="81" t="n"/>
      <c r="AB49" s="82" t="n"/>
      <c r="AC49" s="87">
        <f>IF(OR($D49="",$M49="Rejected",$M49="Withdrawn",$M49="Accepted"),"",IF(ISNUMBER($O49),IF(INT($O49)&lt;TODAY(),"FOLLOW UP REQUIRED",IF(INT($O49)=TODAY(),"ACTION DUE TODAY",IF(INT($O49)-TODAY()&lt;=Set_DueSoonDays,"DUE SOON",""))),IF(AND($M49="Applied",$AA49=""),IF(ISNUMBER($C49),IF(TODAY()-$C49&gt;=Set_FollowUpDays,"NO RESPONSE",""),""),"")))</f>
        <v/>
      </c>
      <c r="AD49" s="87">
        <f>IF(ISNUMBER($L49),IF($L49&gt;=90,"Excellent Match",IF($L49&gt;=75,"Strong Match",IF($L49&gt;=60,"Moderate Match","Low Match"))),"")</f>
        <v/>
      </c>
      <c r="AE49" s="87">
        <f>IF($D49="","",IF(OR($M49="Rejected",$M49="Withdrawn"),IF($AB49&lt;&gt;"",$AB49,IF(OR($M49="Rejected",ISNUMBER($C49)),"Applied","Wishlist")),IF($M49="",IF(ISNUMBER($C49),"Applied","Wishlist"),$M49)))</f>
        <v/>
      </c>
      <c r="AF49" s="88">
        <f>IF(AND(ISNUMBER($C49),ISNUMBER($AA49)),$AA49-$C49,"")</f>
        <v/>
      </c>
      <c r="AG49" s="87">
        <f>IF($AE49="","",IFERROR(MATCH($AE49,{"Wishlist","Applied","Screening","Interview 1","Interview 2","Final","Offer","Accepted"},0)-1,""))</f>
        <v/>
      </c>
      <c r="AH49" s="87">
        <f>IF($AC49="","",MATCH($AC49,{"FOLLOW UP REQUIRED","ACTION DUE TODAY","NO RESPONSE","DUE SOON"},0)*100000+IF(ISNUMBER($O49),$O49,IF(ISNUMBER($C49),$C49,0))+ROW()/10000)</f>
        <v/>
      </c>
      <c r="AI49" s="87">
        <f>IF(AND(ISNUMBER($AG49),$AG49&gt;=1,$AG49&lt;=6,$M49&lt;&gt;"Rejected",$M49&lt;&gt;"Withdrawn"),(10-$AG49)*100000+IF(ISNUMBER($C49),$C49,0)+ROW()/10000,"")</f>
        <v/>
      </c>
    </row>
    <row r="50">
      <c r="A50" s="80" t="n"/>
      <c r="B50" s="81" t="n"/>
      <c r="C50" s="81" t="n"/>
      <c r="D50" s="82" t="n"/>
      <c r="E50" s="82" t="n"/>
      <c r="F50" s="82" t="n"/>
      <c r="G50" s="82" t="n"/>
      <c r="H50" s="82" t="n"/>
      <c r="I50" s="83" t="n"/>
      <c r="J50" s="82" t="n"/>
      <c r="K50" s="84" t="n"/>
      <c r="L50" s="85" t="n"/>
      <c r="M50" s="82" t="n"/>
      <c r="N50" s="86" t="n"/>
      <c r="O50" s="81" t="n"/>
      <c r="P50" s="82" t="n"/>
      <c r="Q50" s="83" t="n"/>
      <c r="R50" s="82" t="n"/>
      <c r="S50" s="84" t="n"/>
      <c r="T50" s="84" t="n"/>
      <c r="U50" s="82" t="n"/>
      <c r="V50" s="86" t="n"/>
      <c r="W50" s="86" t="n"/>
      <c r="X50" s="86" t="n"/>
      <c r="Y50" s="81" t="n"/>
      <c r="Z50" s="82" t="n"/>
      <c r="AA50" s="81" t="n"/>
      <c r="AB50" s="82" t="n"/>
      <c r="AC50" s="87">
        <f>IF(OR($D50="",$M50="Rejected",$M50="Withdrawn",$M50="Accepted"),"",IF(ISNUMBER($O50),IF(INT($O50)&lt;TODAY(),"FOLLOW UP REQUIRED",IF(INT($O50)=TODAY(),"ACTION DUE TODAY",IF(INT($O50)-TODAY()&lt;=Set_DueSoonDays,"DUE SOON",""))),IF(AND($M50="Applied",$AA50=""),IF(ISNUMBER($C50),IF(TODAY()-$C50&gt;=Set_FollowUpDays,"NO RESPONSE",""),""),"")))</f>
        <v/>
      </c>
      <c r="AD50" s="87">
        <f>IF(ISNUMBER($L50),IF($L50&gt;=90,"Excellent Match",IF($L50&gt;=75,"Strong Match",IF($L50&gt;=60,"Moderate Match","Low Match"))),"")</f>
        <v/>
      </c>
      <c r="AE50" s="87">
        <f>IF($D50="","",IF(OR($M50="Rejected",$M50="Withdrawn"),IF($AB50&lt;&gt;"",$AB50,IF(OR($M50="Rejected",ISNUMBER($C50)),"Applied","Wishlist")),IF($M50="",IF(ISNUMBER($C50),"Applied","Wishlist"),$M50)))</f>
        <v/>
      </c>
      <c r="AF50" s="88">
        <f>IF(AND(ISNUMBER($C50),ISNUMBER($AA50)),$AA50-$C50,"")</f>
        <v/>
      </c>
      <c r="AG50" s="87">
        <f>IF($AE50="","",IFERROR(MATCH($AE50,{"Wishlist","Applied","Screening","Interview 1","Interview 2","Final","Offer","Accepted"},0)-1,""))</f>
        <v/>
      </c>
      <c r="AH50" s="87">
        <f>IF($AC50="","",MATCH($AC50,{"FOLLOW UP REQUIRED","ACTION DUE TODAY","NO RESPONSE","DUE SOON"},0)*100000+IF(ISNUMBER($O50),$O50,IF(ISNUMBER($C50),$C50,0))+ROW()/10000)</f>
        <v/>
      </c>
      <c r="AI50" s="87">
        <f>IF(AND(ISNUMBER($AG50),$AG50&gt;=1,$AG50&lt;=6,$M50&lt;&gt;"Rejected",$M50&lt;&gt;"Withdrawn"),(10-$AG50)*100000+IF(ISNUMBER($C50),$C50,0)+ROW()/10000,"")</f>
        <v/>
      </c>
    </row>
    <row r="51">
      <c r="A51" s="80" t="n"/>
      <c r="B51" s="81" t="n"/>
      <c r="C51" s="81" t="n"/>
      <c r="D51" s="82" t="n"/>
      <c r="E51" s="82" t="n"/>
      <c r="F51" s="82" t="n"/>
      <c r="G51" s="82" t="n"/>
      <c r="H51" s="82" t="n"/>
      <c r="I51" s="83" t="n"/>
      <c r="J51" s="82" t="n"/>
      <c r="K51" s="84" t="n"/>
      <c r="L51" s="85" t="n"/>
      <c r="M51" s="82" t="n"/>
      <c r="N51" s="86" t="n"/>
      <c r="O51" s="81" t="n"/>
      <c r="P51" s="82" t="n"/>
      <c r="Q51" s="83" t="n"/>
      <c r="R51" s="82" t="n"/>
      <c r="S51" s="84" t="n"/>
      <c r="T51" s="84" t="n"/>
      <c r="U51" s="82" t="n"/>
      <c r="V51" s="86" t="n"/>
      <c r="W51" s="86" t="n"/>
      <c r="X51" s="86" t="n"/>
      <c r="Y51" s="81" t="n"/>
      <c r="Z51" s="82" t="n"/>
      <c r="AA51" s="81" t="n"/>
      <c r="AB51" s="82" t="n"/>
      <c r="AC51" s="87">
        <f>IF(OR($D51="",$M51="Rejected",$M51="Withdrawn",$M51="Accepted"),"",IF(ISNUMBER($O51),IF(INT($O51)&lt;TODAY(),"FOLLOW UP REQUIRED",IF(INT($O51)=TODAY(),"ACTION DUE TODAY",IF(INT($O51)-TODAY()&lt;=Set_DueSoonDays,"DUE SOON",""))),IF(AND($M51="Applied",$AA51=""),IF(ISNUMBER($C51),IF(TODAY()-$C51&gt;=Set_FollowUpDays,"NO RESPONSE",""),""),"")))</f>
        <v/>
      </c>
      <c r="AD51" s="87">
        <f>IF(ISNUMBER($L51),IF($L51&gt;=90,"Excellent Match",IF($L51&gt;=75,"Strong Match",IF($L51&gt;=60,"Moderate Match","Low Match"))),"")</f>
        <v/>
      </c>
      <c r="AE51" s="87">
        <f>IF($D51="","",IF(OR($M51="Rejected",$M51="Withdrawn"),IF($AB51&lt;&gt;"",$AB51,IF(OR($M51="Rejected",ISNUMBER($C51)),"Applied","Wishlist")),IF($M51="",IF(ISNUMBER($C51),"Applied","Wishlist"),$M51)))</f>
        <v/>
      </c>
      <c r="AF51" s="88">
        <f>IF(AND(ISNUMBER($C51),ISNUMBER($AA51)),$AA51-$C51,"")</f>
        <v/>
      </c>
      <c r="AG51" s="87">
        <f>IF($AE51="","",IFERROR(MATCH($AE51,{"Wishlist","Applied","Screening","Interview 1","Interview 2","Final","Offer","Accepted"},0)-1,""))</f>
        <v/>
      </c>
      <c r="AH51" s="87">
        <f>IF($AC51="","",MATCH($AC51,{"FOLLOW UP REQUIRED","ACTION DUE TODAY","NO RESPONSE","DUE SOON"},0)*100000+IF(ISNUMBER($O51),$O51,IF(ISNUMBER($C51),$C51,0))+ROW()/10000)</f>
        <v/>
      </c>
      <c r="AI51" s="87">
        <f>IF(AND(ISNUMBER($AG51),$AG51&gt;=1,$AG51&lt;=6,$M51&lt;&gt;"Rejected",$M51&lt;&gt;"Withdrawn"),(10-$AG51)*100000+IF(ISNUMBER($C51),$C51,0)+ROW()/10000,"")</f>
        <v/>
      </c>
    </row>
    <row r="52">
      <c r="A52" s="80" t="n"/>
      <c r="B52" s="81" t="n"/>
      <c r="C52" s="81" t="n"/>
      <c r="D52" s="82" t="n"/>
      <c r="E52" s="82" t="n"/>
      <c r="F52" s="82" t="n"/>
      <c r="G52" s="82" t="n"/>
      <c r="H52" s="82" t="n"/>
      <c r="I52" s="83" t="n"/>
      <c r="J52" s="82" t="n"/>
      <c r="K52" s="84" t="n"/>
      <c r="L52" s="85" t="n"/>
      <c r="M52" s="82" t="n"/>
      <c r="N52" s="86" t="n"/>
      <c r="O52" s="81" t="n"/>
      <c r="P52" s="82" t="n"/>
      <c r="Q52" s="83" t="n"/>
      <c r="R52" s="82" t="n"/>
      <c r="S52" s="84" t="n"/>
      <c r="T52" s="84" t="n"/>
      <c r="U52" s="82" t="n"/>
      <c r="V52" s="86" t="n"/>
      <c r="W52" s="86" t="n"/>
      <c r="X52" s="86" t="n"/>
      <c r="Y52" s="81" t="n"/>
      <c r="Z52" s="82" t="n"/>
      <c r="AA52" s="81" t="n"/>
      <c r="AB52" s="82" t="n"/>
      <c r="AC52" s="87">
        <f>IF(OR($D52="",$M52="Rejected",$M52="Withdrawn",$M52="Accepted"),"",IF(ISNUMBER($O52),IF(INT($O52)&lt;TODAY(),"FOLLOW UP REQUIRED",IF(INT($O52)=TODAY(),"ACTION DUE TODAY",IF(INT($O52)-TODAY()&lt;=Set_DueSoonDays,"DUE SOON",""))),IF(AND($M52="Applied",$AA52=""),IF(ISNUMBER($C52),IF(TODAY()-$C52&gt;=Set_FollowUpDays,"NO RESPONSE",""),""),"")))</f>
        <v/>
      </c>
      <c r="AD52" s="87">
        <f>IF(ISNUMBER($L52),IF($L52&gt;=90,"Excellent Match",IF($L52&gt;=75,"Strong Match",IF($L52&gt;=60,"Moderate Match","Low Match"))),"")</f>
        <v/>
      </c>
      <c r="AE52" s="87">
        <f>IF($D52="","",IF(OR($M52="Rejected",$M52="Withdrawn"),IF($AB52&lt;&gt;"",$AB52,IF(OR($M52="Rejected",ISNUMBER($C52)),"Applied","Wishlist")),IF($M52="",IF(ISNUMBER($C52),"Applied","Wishlist"),$M52)))</f>
        <v/>
      </c>
      <c r="AF52" s="88">
        <f>IF(AND(ISNUMBER($C52),ISNUMBER($AA52)),$AA52-$C52,"")</f>
        <v/>
      </c>
      <c r="AG52" s="87">
        <f>IF($AE52="","",IFERROR(MATCH($AE52,{"Wishlist","Applied","Screening","Interview 1","Interview 2","Final","Offer","Accepted"},0)-1,""))</f>
        <v/>
      </c>
      <c r="AH52" s="87">
        <f>IF($AC52="","",MATCH($AC52,{"FOLLOW UP REQUIRED","ACTION DUE TODAY","NO RESPONSE","DUE SOON"},0)*100000+IF(ISNUMBER($O52),$O52,IF(ISNUMBER($C52),$C52,0))+ROW()/10000)</f>
        <v/>
      </c>
      <c r="AI52" s="87">
        <f>IF(AND(ISNUMBER($AG52),$AG52&gt;=1,$AG52&lt;=6,$M52&lt;&gt;"Rejected",$M52&lt;&gt;"Withdrawn"),(10-$AG52)*100000+IF(ISNUMBER($C52),$C52,0)+ROW()/10000,"")</f>
        <v/>
      </c>
    </row>
    <row r="53">
      <c r="A53" s="80" t="n"/>
      <c r="B53" s="81" t="n"/>
      <c r="C53" s="81" t="n"/>
      <c r="D53" s="82" t="n"/>
      <c r="E53" s="82" t="n"/>
      <c r="F53" s="82" t="n"/>
      <c r="G53" s="82" t="n"/>
      <c r="H53" s="82" t="n"/>
      <c r="I53" s="83" t="n"/>
      <c r="J53" s="82" t="n"/>
      <c r="K53" s="84" t="n"/>
      <c r="L53" s="85" t="n"/>
      <c r="M53" s="82" t="n"/>
      <c r="N53" s="86" t="n"/>
      <c r="O53" s="81" t="n"/>
      <c r="P53" s="82" t="n"/>
      <c r="Q53" s="83" t="n"/>
      <c r="R53" s="82" t="n"/>
      <c r="S53" s="84" t="n"/>
      <c r="T53" s="84" t="n"/>
      <c r="U53" s="82" t="n"/>
      <c r="V53" s="86" t="n"/>
      <c r="W53" s="86" t="n"/>
      <c r="X53" s="86" t="n"/>
      <c r="Y53" s="81" t="n"/>
      <c r="Z53" s="82" t="n"/>
      <c r="AA53" s="81" t="n"/>
      <c r="AB53" s="82" t="n"/>
      <c r="AC53" s="87">
        <f>IF(OR($D53="",$M53="Rejected",$M53="Withdrawn",$M53="Accepted"),"",IF(ISNUMBER($O53),IF(INT($O53)&lt;TODAY(),"FOLLOW UP REQUIRED",IF(INT($O53)=TODAY(),"ACTION DUE TODAY",IF(INT($O53)-TODAY()&lt;=Set_DueSoonDays,"DUE SOON",""))),IF(AND($M53="Applied",$AA53=""),IF(ISNUMBER($C53),IF(TODAY()-$C53&gt;=Set_FollowUpDays,"NO RESPONSE",""),""),"")))</f>
        <v/>
      </c>
      <c r="AD53" s="87">
        <f>IF(ISNUMBER($L53),IF($L53&gt;=90,"Excellent Match",IF($L53&gt;=75,"Strong Match",IF($L53&gt;=60,"Moderate Match","Low Match"))),"")</f>
        <v/>
      </c>
      <c r="AE53" s="87">
        <f>IF($D53="","",IF(OR($M53="Rejected",$M53="Withdrawn"),IF($AB53&lt;&gt;"",$AB53,IF(OR($M53="Rejected",ISNUMBER($C53)),"Applied","Wishlist")),IF($M53="",IF(ISNUMBER($C53),"Applied","Wishlist"),$M53)))</f>
        <v/>
      </c>
      <c r="AF53" s="88">
        <f>IF(AND(ISNUMBER($C53),ISNUMBER($AA53)),$AA53-$C53,"")</f>
        <v/>
      </c>
      <c r="AG53" s="87">
        <f>IF($AE53="","",IFERROR(MATCH($AE53,{"Wishlist","Applied","Screening","Interview 1","Interview 2","Final","Offer","Accepted"},0)-1,""))</f>
        <v/>
      </c>
      <c r="AH53" s="87">
        <f>IF($AC53="","",MATCH($AC53,{"FOLLOW UP REQUIRED","ACTION DUE TODAY","NO RESPONSE","DUE SOON"},0)*100000+IF(ISNUMBER($O53),$O53,IF(ISNUMBER($C53),$C53,0))+ROW()/10000)</f>
        <v/>
      </c>
      <c r="AI53" s="87">
        <f>IF(AND(ISNUMBER($AG53),$AG53&gt;=1,$AG53&lt;=6,$M53&lt;&gt;"Rejected",$M53&lt;&gt;"Withdrawn"),(10-$AG53)*100000+IF(ISNUMBER($C53),$C53,0)+ROW()/10000,"")</f>
        <v/>
      </c>
    </row>
    <row r="54">
      <c r="A54" s="80" t="n"/>
      <c r="B54" s="81" t="n"/>
      <c r="C54" s="81" t="n"/>
      <c r="D54" s="82" t="n"/>
      <c r="E54" s="82" t="n"/>
      <c r="F54" s="82" t="n"/>
      <c r="G54" s="82" t="n"/>
      <c r="H54" s="82" t="n"/>
      <c r="I54" s="83" t="n"/>
      <c r="J54" s="82" t="n"/>
      <c r="K54" s="84" t="n"/>
      <c r="L54" s="85" t="n"/>
      <c r="M54" s="82" t="n"/>
      <c r="N54" s="86" t="n"/>
      <c r="O54" s="81" t="n"/>
      <c r="P54" s="82" t="n"/>
      <c r="Q54" s="83" t="n"/>
      <c r="R54" s="82" t="n"/>
      <c r="S54" s="84" t="n"/>
      <c r="T54" s="84" t="n"/>
      <c r="U54" s="82" t="n"/>
      <c r="V54" s="86" t="n"/>
      <c r="W54" s="86" t="n"/>
      <c r="X54" s="86" t="n"/>
      <c r="Y54" s="81" t="n"/>
      <c r="Z54" s="82" t="n"/>
      <c r="AA54" s="81" t="n"/>
      <c r="AB54" s="82" t="n"/>
      <c r="AC54" s="87">
        <f>IF(OR($D54="",$M54="Rejected",$M54="Withdrawn",$M54="Accepted"),"",IF(ISNUMBER($O54),IF(INT($O54)&lt;TODAY(),"FOLLOW UP REQUIRED",IF(INT($O54)=TODAY(),"ACTION DUE TODAY",IF(INT($O54)-TODAY()&lt;=Set_DueSoonDays,"DUE SOON",""))),IF(AND($M54="Applied",$AA54=""),IF(ISNUMBER($C54),IF(TODAY()-$C54&gt;=Set_FollowUpDays,"NO RESPONSE",""),""),"")))</f>
        <v/>
      </c>
      <c r="AD54" s="87">
        <f>IF(ISNUMBER($L54),IF($L54&gt;=90,"Excellent Match",IF($L54&gt;=75,"Strong Match",IF($L54&gt;=60,"Moderate Match","Low Match"))),"")</f>
        <v/>
      </c>
      <c r="AE54" s="87">
        <f>IF($D54="","",IF(OR($M54="Rejected",$M54="Withdrawn"),IF($AB54&lt;&gt;"",$AB54,IF(OR($M54="Rejected",ISNUMBER($C54)),"Applied","Wishlist")),IF($M54="",IF(ISNUMBER($C54),"Applied","Wishlist"),$M54)))</f>
        <v/>
      </c>
      <c r="AF54" s="88">
        <f>IF(AND(ISNUMBER($C54),ISNUMBER($AA54)),$AA54-$C54,"")</f>
        <v/>
      </c>
      <c r="AG54" s="87">
        <f>IF($AE54="","",IFERROR(MATCH($AE54,{"Wishlist","Applied","Screening","Interview 1","Interview 2","Final","Offer","Accepted"},0)-1,""))</f>
        <v/>
      </c>
      <c r="AH54" s="87">
        <f>IF($AC54="","",MATCH($AC54,{"FOLLOW UP REQUIRED","ACTION DUE TODAY","NO RESPONSE","DUE SOON"},0)*100000+IF(ISNUMBER($O54),$O54,IF(ISNUMBER($C54),$C54,0))+ROW()/10000)</f>
        <v/>
      </c>
      <c r="AI54" s="87">
        <f>IF(AND(ISNUMBER($AG54),$AG54&gt;=1,$AG54&lt;=6,$M54&lt;&gt;"Rejected",$M54&lt;&gt;"Withdrawn"),(10-$AG54)*100000+IF(ISNUMBER($C54),$C54,0)+ROW()/10000,"")</f>
        <v/>
      </c>
    </row>
    <row r="55">
      <c r="A55" s="80" t="n"/>
      <c r="B55" s="81" t="n"/>
      <c r="C55" s="81" t="n"/>
      <c r="D55" s="82" t="n"/>
      <c r="E55" s="82" t="n"/>
      <c r="F55" s="82" t="n"/>
      <c r="G55" s="82" t="n"/>
      <c r="H55" s="82" t="n"/>
      <c r="I55" s="83" t="n"/>
      <c r="J55" s="82" t="n"/>
      <c r="K55" s="84" t="n"/>
      <c r="L55" s="85" t="n"/>
      <c r="M55" s="82" t="n"/>
      <c r="N55" s="86" t="n"/>
      <c r="O55" s="81" t="n"/>
      <c r="P55" s="82" t="n"/>
      <c r="Q55" s="83" t="n"/>
      <c r="R55" s="82" t="n"/>
      <c r="S55" s="84" t="n"/>
      <c r="T55" s="84" t="n"/>
      <c r="U55" s="82" t="n"/>
      <c r="V55" s="86" t="n"/>
      <c r="W55" s="86" t="n"/>
      <c r="X55" s="86" t="n"/>
      <c r="Y55" s="81" t="n"/>
      <c r="Z55" s="82" t="n"/>
      <c r="AA55" s="81" t="n"/>
      <c r="AB55" s="82" t="n"/>
      <c r="AC55" s="87">
        <f>IF(OR($D55="",$M55="Rejected",$M55="Withdrawn",$M55="Accepted"),"",IF(ISNUMBER($O55),IF(INT($O55)&lt;TODAY(),"FOLLOW UP REQUIRED",IF(INT($O55)=TODAY(),"ACTION DUE TODAY",IF(INT($O55)-TODAY()&lt;=Set_DueSoonDays,"DUE SOON",""))),IF(AND($M55="Applied",$AA55=""),IF(ISNUMBER($C55),IF(TODAY()-$C55&gt;=Set_FollowUpDays,"NO RESPONSE",""),""),"")))</f>
        <v/>
      </c>
      <c r="AD55" s="87">
        <f>IF(ISNUMBER($L55),IF($L55&gt;=90,"Excellent Match",IF($L55&gt;=75,"Strong Match",IF($L55&gt;=60,"Moderate Match","Low Match"))),"")</f>
        <v/>
      </c>
      <c r="AE55" s="87">
        <f>IF($D55="","",IF(OR($M55="Rejected",$M55="Withdrawn"),IF($AB55&lt;&gt;"",$AB55,IF(OR($M55="Rejected",ISNUMBER($C55)),"Applied","Wishlist")),IF($M55="",IF(ISNUMBER($C55),"Applied","Wishlist"),$M55)))</f>
        <v/>
      </c>
      <c r="AF55" s="88">
        <f>IF(AND(ISNUMBER($C55),ISNUMBER($AA55)),$AA55-$C55,"")</f>
        <v/>
      </c>
      <c r="AG55" s="87">
        <f>IF($AE55="","",IFERROR(MATCH($AE55,{"Wishlist","Applied","Screening","Interview 1","Interview 2","Final","Offer","Accepted"},0)-1,""))</f>
        <v/>
      </c>
      <c r="AH55" s="87">
        <f>IF($AC55="","",MATCH($AC55,{"FOLLOW UP REQUIRED","ACTION DUE TODAY","NO RESPONSE","DUE SOON"},0)*100000+IF(ISNUMBER($O55),$O55,IF(ISNUMBER($C55),$C55,0))+ROW()/10000)</f>
        <v/>
      </c>
      <c r="AI55" s="87">
        <f>IF(AND(ISNUMBER($AG55),$AG55&gt;=1,$AG55&lt;=6,$M55&lt;&gt;"Rejected",$M55&lt;&gt;"Withdrawn"),(10-$AG55)*100000+IF(ISNUMBER($C55),$C55,0)+ROW()/10000,"")</f>
        <v/>
      </c>
    </row>
    <row r="56">
      <c r="A56" s="80" t="n"/>
      <c r="B56" s="81" t="n"/>
      <c r="C56" s="81" t="n"/>
      <c r="D56" s="82" t="n"/>
      <c r="E56" s="82" t="n"/>
      <c r="F56" s="82" t="n"/>
      <c r="G56" s="82" t="n"/>
      <c r="H56" s="82" t="n"/>
      <c r="I56" s="83" t="n"/>
      <c r="J56" s="82" t="n"/>
      <c r="K56" s="84" t="n"/>
      <c r="L56" s="85" t="n"/>
      <c r="M56" s="82" t="n"/>
      <c r="N56" s="86" t="n"/>
      <c r="O56" s="81" t="n"/>
      <c r="P56" s="82" t="n"/>
      <c r="Q56" s="83" t="n"/>
      <c r="R56" s="82" t="n"/>
      <c r="S56" s="84" t="n"/>
      <c r="T56" s="84" t="n"/>
      <c r="U56" s="82" t="n"/>
      <c r="V56" s="86" t="n"/>
      <c r="W56" s="86" t="n"/>
      <c r="X56" s="86" t="n"/>
      <c r="Y56" s="81" t="n"/>
      <c r="Z56" s="82" t="n"/>
      <c r="AA56" s="81" t="n"/>
      <c r="AB56" s="82" t="n"/>
      <c r="AC56" s="87">
        <f>IF(OR($D56="",$M56="Rejected",$M56="Withdrawn",$M56="Accepted"),"",IF(ISNUMBER($O56),IF(INT($O56)&lt;TODAY(),"FOLLOW UP REQUIRED",IF(INT($O56)=TODAY(),"ACTION DUE TODAY",IF(INT($O56)-TODAY()&lt;=Set_DueSoonDays,"DUE SOON",""))),IF(AND($M56="Applied",$AA56=""),IF(ISNUMBER($C56),IF(TODAY()-$C56&gt;=Set_FollowUpDays,"NO RESPONSE",""),""),"")))</f>
        <v/>
      </c>
      <c r="AD56" s="87">
        <f>IF(ISNUMBER($L56),IF($L56&gt;=90,"Excellent Match",IF($L56&gt;=75,"Strong Match",IF($L56&gt;=60,"Moderate Match","Low Match"))),"")</f>
        <v/>
      </c>
      <c r="AE56" s="87">
        <f>IF($D56="","",IF(OR($M56="Rejected",$M56="Withdrawn"),IF($AB56&lt;&gt;"",$AB56,IF(OR($M56="Rejected",ISNUMBER($C56)),"Applied","Wishlist")),IF($M56="",IF(ISNUMBER($C56),"Applied","Wishlist"),$M56)))</f>
        <v/>
      </c>
      <c r="AF56" s="88">
        <f>IF(AND(ISNUMBER($C56),ISNUMBER($AA56)),$AA56-$C56,"")</f>
        <v/>
      </c>
      <c r="AG56" s="87">
        <f>IF($AE56="","",IFERROR(MATCH($AE56,{"Wishlist","Applied","Screening","Interview 1","Interview 2","Final","Offer","Accepted"},0)-1,""))</f>
        <v/>
      </c>
      <c r="AH56" s="87">
        <f>IF($AC56="","",MATCH($AC56,{"FOLLOW UP REQUIRED","ACTION DUE TODAY","NO RESPONSE","DUE SOON"},0)*100000+IF(ISNUMBER($O56),$O56,IF(ISNUMBER($C56),$C56,0))+ROW()/10000)</f>
        <v/>
      </c>
      <c r="AI56" s="87">
        <f>IF(AND(ISNUMBER($AG56),$AG56&gt;=1,$AG56&lt;=6,$M56&lt;&gt;"Rejected",$M56&lt;&gt;"Withdrawn"),(10-$AG56)*100000+IF(ISNUMBER($C56),$C56,0)+ROW()/10000,"")</f>
        <v/>
      </c>
    </row>
    <row r="57">
      <c r="A57" s="80" t="n"/>
      <c r="B57" s="81" t="n"/>
      <c r="C57" s="81" t="n"/>
      <c r="D57" s="82" t="n"/>
      <c r="E57" s="82" t="n"/>
      <c r="F57" s="82" t="n"/>
      <c r="G57" s="82" t="n"/>
      <c r="H57" s="82" t="n"/>
      <c r="I57" s="83" t="n"/>
      <c r="J57" s="82" t="n"/>
      <c r="K57" s="84" t="n"/>
      <c r="L57" s="85" t="n"/>
      <c r="M57" s="82" t="n"/>
      <c r="N57" s="86" t="n"/>
      <c r="O57" s="81" t="n"/>
      <c r="P57" s="82" t="n"/>
      <c r="Q57" s="83" t="n"/>
      <c r="R57" s="82" t="n"/>
      <c r="S57" s="84" t="n"/>
      <c r="T57" s="84" t="n"/>
      <c r="U57" s="82" t="n"/>
      <c r="V57" s="86" t="n"/>
      <c r="W57" s="86" t="n"/>
      <c r="X57" s="86" t="n"/>
      <c r="Y57" s="81" t="n"/>
      <c r="Z57" s="82" t="n"/>
      <c r="AA57" s="81" t="n"/>
      <c r="AB57" s="82" t="n"/>
      <c r="AC57" s="87">
        <f>IF(OR($D57="",$M57="Rejected",$M57="Withdrawn",$M57="Accepted"),"",IF(ISNUMBER($O57),IF(INT($O57)&lt;TODAY(),"FOLLOW UP REQUIRED",IF(INT($O57)=TODAY(),"ACTION DUE TODAY",IF(INT($O57)-TODAY()&lt;=Set_DueSoonDays,"DUE SOON",""))),IF(AND($M57="Applied",$AA57=""),IF(ISNUMBER($C57),IF(TODAY()-$C57&gt;=Set_FollowUpDays,"NO RESPONSE",""),""),"")))</f>
        <v/>
      </c>
      <c r="AD57" s="87">
        <f>IF(ISNUMBER($L57),IF($L57&gt;=90,"Excellent Match",IF($L57&gt;=75,"Strong Match",IF($L57&gt;=60,"Moderate Match","Low Match"))),"")</f>
        <v/>
      </c>
      <c r="AE57" s="87">
        <f>IF($D57="","",IF(OR($M57="Rejected",$M57="Withdrawn"),IF($AB57&lt;&gt;"",$AB57,IF(OR($M57="Rejected",ISNUMBER($C57)),"Applied","Wishlist")),IF($M57="",IF(ISNUMBER($C57),"Applied","Wishlist"),$M57)))</f>
        <v/>
      </c>
      <c r="AF57" s="88">
        <f>IF(AND(ISNUMBER($C57),ISNUMBER($AA57)),$AA57-$C57,"")</f>
        <v/>
      </c>
      <c r="AG57" s="87">
        <f>IF($AE57="","",IFERROR(MATCH($AE57,{"Wishlist","Applied","Screening","Interview 1","Interview 2","Final","Offer","Accepted"},0)-1,""))</f>
        <v/>
      </c>
      <c r="AH57" s="87">
        <f>IF($AC57="","",MATCH($AC57,{"FOLLOW UP REQUIRED","ACTION DUE TODAY","NO RESPONSE","DUE SOON"},0)*100000+IF(ISNUMBER($O57),$O57,IF(ISNUMBER($C57),$C57,0))+ROW()/10000)</f>
        <v/>
      </c>
      <c r="AI57" s="87">
        <f>IF(AND(ISNUMBER($AG57),$AG57&gt;=1,$AG57&lt;=6,$M57&lt;&gt;"Rejected",$M57&lt;&gt;"Withdrawn"),(10-$AG57)*100000+IF(ISNUMBER($C57),$C57,0)+ROW()/10000,"")</f>
        <v/>
      </c>
    </row>
    <row r="58">
      <c r="A58" s="80" t="n"/>
      <c r="B58" s="81" t="n"/>
      <c r="C58" s="81" t="n"/>
      <c r="D58" s="82" t="n"/>
      <c r="E58" s="82" t="n"/>
      <c r="F58" s="82" t="n"/>
      <c r="G58" s="82" t="n"/>
      <c r="H58" s="82" t="n"/>
      <c r="I58" s="83" t="n"/>
      <c r="J58" s="82" t="n"/>
      <c r="K58" s="84" t="n"/>
      <c r="L58" s="85" t="n"/>
      <c r="M58" s="82" t="n"/>
      <c r="N58" s="86" t="n"/>
      <c r="O58" s="81" t="n"/>
      <c r="P58" s="82" t="n"/>
      <c r="Q58" s="83" t="n"/>
      <c r="R58" s="82" t="n"/>
      <c r="S58" s="84" t="n"/>
      <c r="T58" s="84" t="n"/>
      <c r="U58" s="82" t="n"/>
      <c r="V58" s="86" t="n"/>
      <c r="W58" s="86" t="n"/>
      <c r="X58" s="86" t="n"/>
      <c r="Y58" s="81" t="n"/>
      <c r="Z58" s="82" t="n"/>
      <c r="AA58" s="81" t="n"/>
      <c r="AB58" s="82" t="n"/>
      <c r="AC58" s="87">
        <f>IF(OR($D58="",$M58="Rejected",$M58="Withdrawn",$M58="Accepted"),"",IF(ISNUMBER($O58),IF(INT($O58)&lt;TODAY(),"FOLLOW UP REQUIRED",IF(INT($O58)=TODAY(),"ACTION DUE TODAY",IF(INT($O58)-TODAY()&lt;=Set_DueSoonDays,"DUE SOON",""))),IF(AND($M58="Applied",$AA58=""),IF(ISNUMBER($C58),IF(TODAY()-$C58&gt;=Set_FollowUpDays,"NO RESPONSE",""),""),"")))</f>
        <v/>
      </c>
      <c r="AD58" s="87">
        <f>IF(ISNUMBER($L58),IF($L58&gt;=90,"Excellent Match",IF($L58&gt;=75,"Strong Match",IF($L58&gt;=60,"Moderate Match","Low Match"))),"")</f>
        <v/>
      </c>
      <c r="AE58" s="87">
        <f>IF($D58="","",IF(OR($M58="Rejected",$M58="Withdrawn"),IF($AB58&lt;&gt;"",$AB58,IF(OR($M58="Rejected",ISNUMBER($C58)),"Applied","Wishlist")),IF($M58="",IF(ISNUMBER($C58),"Applied","Wishlist"),$M58)))</f>
        <v/>
      </c>
      <c r="AF58" s="88">
        <f>IF(AND(ISNUMBER($C58),ISNUMBER($AA58)),$AA58-$C58,"")</f>
        <v/>
      </c>
      <c r="AG58" s="87">
        <f>IF($AE58="","",IFERROR(MATCH($AE58,{"Wishlist","Applied","Screening","Interview 1","Interview 2","Final","Offer","Accepted"},0)-1,""))</f>
        <v/>
      </c>
      <c r="AH58" s="87">
        <f>IF($AC58="","",MATCH($AC58,{"FOLLOW UP REQUIRED","ACTION DUE TODAY","NO RESPONSE","DUE SOON"},0)*100000+IF(ISNUMBER($O58),$O58,IF(ISNUMBER($C58),$C58,0))+ROW()/10000)</f>
        <v/>
      </c>
      <c r="AI58" s="87">
        <f>IF(AND(ISNUMBER($AG58),$AG58&gt;=1,$AG58&lt;=6,$M58&lt;&gt;"Rejected",$M58&lt;&gt;"Withdrawn"),(10-$AG58)*100000+IF(ISNUMBER($C58),$C58,0)+ROW()/10000,"")</f>
        <v/>
      </c>
    </row>
    <row r="59">
      <c r="A59" s="80" t="n"/>
      <c r="B59" s="81" t="n"/>
      <c r="C59" s="81" t="n"/>
      <c r="D59" s="82" t="n"/>
      <c r="E59" s="82" t="n"/>
      <c r="F59" s="82" t="n"/>
      <c r="G59" s="82" t="n"/>
      <c r="H59" s="82" t="n"/>
      <c r="I59" s="83" t="n"/>
      <c r="J59" s="82" t="n"/>
      <c r="K59" s="84" t="n"/>
      <c r="L59" s="85" t="n"/>
      <c r="M59" s="82" t="n"/>
      <c r="N59" s="86" t="n"/>
      <c r="O59" s="81" t="n"/>
      <c r="P59" s="82" t="n"/>
      <c r="Q59" s="83" t="n"/>
      <c r="R59" s="82" t="n"/>
      <c r="S59" s="84" t="n"/>
      <c r="T59" s="84" t="n"/>
      <c r="U59" s="82" t="n"/>
      <c r="V59" s="86" t="n"/>
      <c r="W59" s="86" t="n"/>
      <c r="X59" s="86" t="n"/>
      <c r="Y59" s="81" t="n"/>
      <c r="Z59" s="82" t="n"/>
      <c r="AA59" s="81" t="n"/>
      <c r="AB59" s="82" t="n"/>
      <c r="AC59" s="87">
        <f>IF(OR($D59="",$M59="Rejected",$M59="Withdrawn",$M59="Accepted"),"",IF(ISNUMBER($O59),IF(INT($O59)&lt;TODAY(),"FOLLOW UP REQUIRED",IF(INT($O59)=TODAY(),"ACTION DUE TODAY",IF(INT($O59)-TODAY()&lt;=Set_DueSoonDays,"DUE SOON",""))),IF(AND($M59="Applied",$AA59=""),IF(ISNUMBER($C59),IF(TODAY()-$C59&gt;=Set_FollowUpDays,"NO RESPONSE",""),""),"")))</f>
        <v/>
      </c>
      <c r="AD59" s="87">
        <f>IF(ISNUMBER($L59),IF($L59&gt;=90,"Excellent Match",IF($L59&gt;=75,"Strong Match",IF($L59&gt;=60,"Moderate Match","Low Match"))),"")</f>
        <v/>
      </c>
      <c r="AE59" s="87">
        <f>IF($D59="","",IF(OR($M59="Rejected",$M59="Withdrawn"),IF($AB59&lt;&gt;"",$AB59,IF(OR($M59="Rejected",ISNUMBER($C59)),"Applied","Wishlist")),IF($M59="",IF(ISNUMBER($C59),"Applied","Wishlist"),$M59)))</f>
        <v/>
      </c>
      <c r="AF59" s="88">
        <f>IF(AND(ISNUMBER($C59),ISNUMBER($AA59)),$AA59-$C59,"")</f>
        <v/>
      </c>
      <c r="AG59" s="87">
        <f>IF($AE59="","",IFERROR(MATCH($AE59,{"Wishlist","Applied","Screening","Interview 1","Interview 2","Final","Offer","Accepted"},0)-1,""))</f>
        <v/>
      </c>
      <c r="AH59" s="87">
        <f>IF($AC59="","",MATCH($AC59,{"FOLLOW UP REQUIRED","ACTION DUE TODAY","NO RESPONSE","DUE SOON"},0)*100000+IF(ISNUMBER($O59),$O59,IF(ISNUMBER($C59),$C59,0))+ROW()/10000)</f>
        <v/>
      </c>
      <c r="AI59" s="87">
        <f>IF(AND(ISNUMBER($AG59),$AG59&gt;=1,$AG59&lt;=6,$M59&lt;&gt;"Rejected",$M59&lt;&gt;"Withdrawn"),(10-$AG59)*100000+IF(ISNUMBER($C59),$C59,0)+ROW()/10000,"")</f>
        <v/>
      </c>
    </row>
    <row r="60">
      <c r="A60" s="80" t="n"/>
      <c r="B60" s="81" t="n"/>
      <c r="C60" s="81" t="n"/>
      <c r="D60" s="82" t="n"/>
      <c r="E60" s="82" t="n"/>
      <c r="F60" s="82" t="n"/>
      <c r="G60" s="82" t="n"/>
      <c r="H60" s="82" t="n"/>
      <c r="I60" s="83" t="n"/>
      <c r="J60" s="82" t="n"/>
      <c r="K60" s="84" t="n"/>
      <c r="L60" s="85" t="n"/>
      <c r="M60" s="82" t="n"/>
      <c r="N60" s="86" t="n"/>
      <c r="O60" s="81" t="n"/>
      <c r="P60" s="82" t="n"/>
      <c r="Q60" s="83" t="n"/>
      <c r="R60" s="82" t="n"/>
      <c r="S60" s="84" t="n"/>
      <c r="T60" s="84" t="n"/>
      <c r="U60" s="82" t="n"/>
      <c r="V60" s="86" t="n"/>
      <c r="W60" s="86" t="n"/>
      <c r="X60" s="86" t="n"/>
      <c r="Y60" s="81" t="n"/>
      <c r="Z60" s="82" t="n"/>
      <c r="AA60" s="81" t="n"/>
      <c r="AB60" s="82" t="n"/>
      <c r="AC60" s="87">
        <f>IF(OR($D60="",$M60="Rejected",$M60="Withdrawn",$M60="Accepted"),"",IF(ISNUMBER($O60),IF(INT($O60)&lt;TODAY(),"FOLLOW UP REQUIRED",IF(INT($O60)=TODAY(),"ACTION DUE TODAY",IF(INT($O60)-TODAY()&lt;=Set_DueSoonDays,"DUE SOON",""))),IF(AND($M60="Applied",$AA60=""),IF(ISNUMBER($C60),IF(TODAY()-$C60&gt;=Set_FollowUpDays,"NO RESPONSE",""),""),"")))</f>
        <v/>
      </c>
      <c r="AD60" s="87">
        <f>IF(ISNUMBER($L60),IF($L60&gt;=90,"Excellent Match",IF($L60&gt;=75,"Strong Match",IF($L60&gt;=60,"Moderate Match","Low Match"))),"")</f>
        <v/>
      </c>
      <c r="AE60" s="87">
        <f>IF($D60="","",IF(OR($M60="Rejected",$M60="Withdrawn"),IF($AB60&lt;&gt;"",$AB60,IF(OR($M60="Rejected",ISNUMBER($C60)),"Applied","Wishlist")),IF($M60="",IF(ISNUMBER($C60),"Applied","Wishlist"),$M60)))</f>
        <v/>
      </c>
      <c r="AF60" s="88">
        <f>IF(AND(ISNUMBER($C60),ISNUMBER($AA60)),$AA60-$C60,"")</f>
        <v/>
      </c>
      <c r="AG60" s="87">
        <f>IF($AE60="","",IFERROR(MATCH($AE60,{"Wishlist","Applied","Screening","Interview 1","Interview 2","Final","Offer","Accepted"},0)-1,""))</f>
        <v/>
      </c>
      <c r="AH60" s="87">
        <f>IF($AC60="","",MATCH($AC60,{"FOLLOW UP REQUIRED","ACTION DUE TODAY","NO RESPONSE","DUE SOON"},0)*100000+IF(ISNUMBER($O60),$O60,IF(ISNUMBER($C60),$C60,0))+ROW()/10000)</f>
        <v/>
      </c>
      <c r="AI60" s="87">
        <f>IF(AND(ISNUMBER($AG60),$AG60&gt;=1,$AG60&lt;=6,$M60&lt;&gt;"Rejected",$M60&lt;&gt;"Withdrawn"),(10-$AG60)*100000+IF(ISNUMBER($C60),$C60,0)+ROW()/10000,"")</f>
        <v/>
      </c>
    </row>
    <row r="61">
      <c r="A61" s="80" t="n"/>
      <c r="B61" s="81" t="n"/>
      <c r="C61" s="81" t="n"/>
      <c r="D61" s="82" t="n"/>
      <c r="E61" s="82" t="n"/>
      <c r="F61" s="82" t="n"/>
      <c r="G61" s="82" t="n"/>
      <c r="H61" s="82" t="n"/>
      <c r="I61" s="83" t="n"/>
      <c r="J61" s="82" t="n"/>
      <c r="K61" s="84" t="n"/>
      <c r="L61" s="85" t="n"/>
      <c r="M61" s="82" t="n"/>
      <c r="N61" s="86" t="n"/>
      <c r="O61" s="81" t="n"/>
      <c r="P61" s="82" t="n"/>
      <c r="Q61" s="83" t="n"/>
      <c r="R61" s="82" t="n"/>
      <c r="S61" s="84" t="n"/>
      <c r="T61" s="84" t="n"/>
      <c r="U61" s="82" t="n"/>
      <c r="V61" s="86" t="n"/>
      <c r="W61" s="86" t="n"/>
      <c r="X61" s="86" t="n"/>
      <c r="Y61" s="81" t="n"/>
      <c r="Z61" s="82" t="n"/>
      <c r="AA61" s="81" t="n"/>
      <c r="AB61" s="82" t="n"/>
      <c r="AC61" s="87">
        <f>IF(OR($D61="",$M61="Rejected",$M61="Withdrawn",$M61="Accepted"),"",IF(ISNUMBER($O61),IF(INT($O61)&lt;TODAY(),"FOLLOW UP REQUIRED",IF(INT($O61)=TODAY(),"ACTION DUE TODAY",IF(INT($O61)-TODAY()&lt;=Set_DueSoonDays,"DUE SOON",""))),IF(AND($M61="Applied",$AA61=""),IF(ISNUMBER($C61),IF(TODAY()-$C61&gt;=Set_FollowUpDays,"NO RESPONSE",""),""),"")))</f>
        <v/>
      </c>
      <c r="AD61" s="87">
        <f>IF(ISNUMBER($L61),IF($L61&gt;=90,"Excellent Match",IF($L61&gt;=75,"Strong Match",IF($L61&gt;=60,"Moderate Match","Low Match"))),"")</f>
        <v/>
      </c>
      <c r="AE61" s="87">
        <f>IF($D61="","",IF(OR($M61="Rejected",$M61="Withdrawn"),IF($AB61&lt;&gt;"",$AB61,IF(OR($M61="Rejected",ISNUMBER($C61)),"Applied","Wishlist")),IF($M61="",IF(ISNUMBER($C61),"Applied","Wishlist"),$M61)))</f>
        <v/>
      </c>
      <c r="AF61" s="88">
        <f>IF(AND(ISNUMBER($C61),ISNUMBER($AA61)),$AA61-$C61,"")</f>
        <v/>
      </c>
      <c r="AG61" s="87">
        <f>IF($AE61="","",IFERROR(MATCH($AE61,{"Wishlist","Applied","Screening","Interview 1","Interview 2","Final","Offer","Accepted"},0)-1,""))</f>
        <v/>
      </c>
      <c r="AH61" s="87">
        <f>IF($AC61="","",MATCH($AC61,{"FOLLOW UP REQUIRED","ACTION DUE TODAY","NO RESPONSE","DUE SOON"},0)*100000+IF(ISNUMBER($O61),$O61,IF(ISNUMBER($C61),$C61,0))+ROW()/10000)</f>
        <v/>
      </c>
      <c r="AI61" s="87">
        <f>IF(AND(ISNUMBER($AG61),$AG61&gt;=1,$AG61&lt;=6,$M61&lt;&gt;"Rejected",$M61&lt;&gt;"Withdrawn"),(10-$AG61)*100000+IF(ISNUMBER($C61),$C61,0)+ROW()/10000,"")</f>
        <v/>
      </c>
    </row>
    <row r="62">
      <c r="A62" s="80" t="n"/>
      <c r="B62" s="81" t="n"/>
      <c r="C62" s="81" t="n"/>
      <c r="D62" s="82" t="n"/>
      <c r="E62" s="82" t="n"/>
      <c r="F62" s="82" t="n"/>
      <c r="G62" s="82" t="n"/>
      <c r="H62" s="82" t="n"/>
      <c r="I62" s="83" t="n"/>
      <c r="J62" s="82" t="n"/>
      <c r="K62" s="84" t="n"/>
      <c r="L62" s="85" t="n"/>
      <c r="M62" s="82" t="n"/>
      <c r="N62" s="86" t="n"/>
      <c r="O62" s="81" t="n"/>
      <c r="P62" s="82" t="n"/>
      <c r="Q62" s="83" t="n"/>
      <c r="R62" s="82" t="n"/>
      <c r="S62" s="84" t="n"/>
      <c r="T62" s="84" t="n"/>
      <c r="U62" s="82" t="n"/>
      <c r="V62" s="86" t="n"/>
      <c r="W62" s="86" t="n"/>
      <c r="X62" s="86" t="n"/>
      <c r="Y62" s="81" t="n"/>
      <c r="Z62" s="82" t="n"/>
      <c r="AA62" s="81" t="n"/>
      <c r="AB62" s="82" t="n"/>
      <c r="AC62" s="87">
        <f>IF(OR($D62="",$M62="Rejected",$M62="Withdrawn",$M62="Accepted"),"",IF(ISNUMBER($O62),IF(INT($O62)&lt;TODAY(),"FOLLOW UP REQUIRED",IF(INT($O62)=TODAY(),"ACTION DUE TODAY",IF(INT($O62)-TODAY()&lt;=Set_DueSoonDays,"DUE SOON",""))),IF(AND($M62="Applied",$AA62=""),IF(ISNUMBER($C62),IF(TODAY()-$C62&gt;=Set_FollowUpDays,"NO RESPONSE",""),""),"")))</f>
        <v/>
      </c>
      <c r="AD62" s="87">
        <f>IF(ISNUMBER($L62),IF($L62&gt;=90,"Excellent Match",IF($L62&gt;=75,"Strong Match",IF($L62&gt;=60,"Moderate Match","Low Match"))),"")</f>
        <v/>
      </c>
      <c r="AE62" s="87">
        <f>IF($D62="","",IF(OR($M62="Rejected",$M62="Withdrawn"),IF($AB62&lt;&gt;"",$AB62,IF(OR($M62="Rejected",ISNUMBER($C62)),"Applied","Wishlist")),IF($M62="",IF(ISNUMBER($C62),"Applied","Wishlist"),$M62)))</f>
        <v/>
      </c>
      <c r="AF62" s="88">
        <f>IF(AND(ISNUMBER($C62),ISNUMBER($AA62)),$AA62-$C62,"")</f>
        <v/>
      </c>
      <c r="AG62" s="87">
        <f>IF($AE62="","",IFERROR(MATCH($AE62,{"Wishlist","Applied","Screening","Interview 1","Interview 2","Final","Offer","Accepted"},0)-1,""))</f>
        <v/>
      </c>
      <c r="AH62" s="87">
        <f>IF($AC62="","",MATCH($AC62,{"FOLLOW UP REQUIRED","ACTION DUE TODAY","NO RESPONSE","DUE SOON"},0)*100000+IF(ISNUMBER($O62),$O62,IF(ISNUMBER($C62),$C62,0))+ROW()/10000)</f>
        <v/>
      </c>
      <c r="AI62" s="87">
        <f>IF(AND(ISNUMBER($AG62),$AG62&gt;=1,$AG62&lt;=6,$M62&lt;&gt;"Rejected",$M62&lt;&gt;"Withdrawn"),(10-$AG62)*100000+IF(ISNUMBER($C62),$C62,0)+ROW()/10000,"")</f>
        <v/>
      </c>
    </row>
    <row r="63">
      <c r="A63" s="80" t="n"/>
      <c r="B63" s="81" t="n"/>
      <c r="C63" s="81" t="n"/>
      <c r="D63" s="82" t="n"/>
      <c r="E63" s="82" t="n"/>
      <c r="F63" s="82" t="n"/>
      <c r="G63" s="82" t="n"/>
      <c r="H63" s="82" t="n"/>
      <c r="I63" s="83" t="n"/>
      <c r="J63" s="82" t="n"/>
      <c r="K63" s="84" t="n"/>
      <c r="L63" s="85" t="n"/>
      <c r="M63" s="82" t="n"/>
      <c r="N63" s="86" t="n"/>
      <c r="O63" s="81" t="n"/>
      <c r="P63" s="82" t="n"/>
      <c r="Q63" s="83" t="n"/>
      <c r="R63" s="82" t="n"/>
      <c r="S63" s="84" t="n"/>
      <c r="T63" s="84" t="n"/>
      <c r="U63" s="82" t="n"/>
      <c r="V63" s="86" t="n"/>
      <c r="W63" s="86" t="n"/>
      <c r="X63" s="86" t="n"/>
      <c r="Y63" s="81" t="n"/>
      <c r="Z63" s="82" t="n"/>
      <c r="AA63" s="81" t="n"/>
      <c r="AB63" s="82" t="n"/>
      <c r="AC63" s="87">
        <f>IF(OR($D63="",$M63="Rejected",$M63="Withdrawn",$M63="Accepted"),"",IF(ISNUMBER($O63),IF(INT($O63)&lt;TODAY(),"FOLLOW UP REQUIRED",IF(INT($O63)=TODAY(),"ACTION DUE TODAY",IF(INT($O63)-TODAY()&lt;=Set_DueSoonDays,"DUE SOON",""))),IF(AND($M63="Applied",$AA63=""),IF(ISNUMBER($C63),IF(TODAY()-$C63&gt;=Set_FollowUpDays,"NO RESPONSE",""),""),"")))</f>
        <v/>
      </c>
      <c r="AD63" s="87">
        <f>IF(ISNUMBER($L63),IF($L63&gt;=90,"Excellent Match",IF($L63&gt;=75,"Strong Match",IF($L63&gt;=60,"Moderate Match","Low Match"))),"")</f>
        <v/>
      </c>
      <c r="AE63" s="87">
        <f>IF($D63="","",IF(OR($M63="Rejected",$M63="Withdrawn"),IF($AB63&lt;&gt;"",$AB63,IF(OR($M63="Rejected",ISNUMBER($C63)),"Applied","Wishlist")),IF($M63="",IF(ISNUMBER($C63),"Applied","Wishlist"),$M63)))</f>
        <v/>
      </c>
      <c r="AF63" s="88">
        <f>IF(AND(ISNUMBER($C63),ISNUMBER($AA63)),$AA63-$C63,"")</f>
        <v/>
      </c>
      <c r="AG63" s="87">
        <f>IF($AE63="","",IFERROR(MATCH($AE63,{"Wishlist","Applied","Screening","Interview 1","Interview 2","Final","Offer","Accepted"},0)-1,""))</f>
        <v/>
      </c>
      <c r="AH63" s="87">
        <f>IF($AC63="","",MATCH($AC63,{"FOLLOW UP REQUIRED","ACTION DUE TODAY","NO RESPONSE","DUE SOON"},0)*100000+IF(ISNUMBER($O63),$O63,IF(ISNUMBER($C63),$C63,0))+ROW()/10000)</f>
        <v/>
      </c>
      <c r="AI63" s="87">
        <f>IF(AND(ISNUMBER($AG63),$AG63&gt;=1,$AG63&lt;=6,$M63&lt;&gt;"Rejected",$M63&lt;&gt;"Withdrawn"),(10-$AG63)*100000+IF(ISNUMBER($C63),$C63,0)+ROW()/10000,"")</f>
        <v/>
      </c>
    </row>
    <row r="64">
      <c r="A64" s="80" t="n"/>
      <c r="B64" s="81" t="n"/>
      <c r="C64" s="81" t="n"/>
      <c r="D64" s="82" t="n"/>
      <c r="E64" s="82" t="n"/>
      <c r="F64" s="82" t="n"/>
      <c r="G64" s="82" t="n"/>
      <c r="H64" s="82" t="n"/>
      <c r="I64" s="83" t="n"/>
      <c r="J64" s="82" t="n"/>
      <c r="K64" s="84" t="n"/>
      <c r="L64" s="85" t="n"/>
      <c r="M64" s="82" t="n"/>
      <c r="N64" s="86" t="n"/>
      <c r="O64" s="81" t="n"/>
      <c r="P64" s="82" t="n"/>
      <c r="Q64" s="83" t="n"/>
      <c r="R64" s="82" t="n"/>
      <c r="S64" s="84" t="n"/>
      <c r="T64" s="84" t="n"/>
      <c r="U64" s="82" t="n"/>
      <c r="V64" s="86" t="n"/>
      <c r="W64" s="86" t="n"/>
      <c r="X64" s="86" t="n"/>
      <c r="Y64" s="81" t="n"/>
      <c r="Z64" s="82" t="n"/>
      <c r="AA64" s="81" t="n"/>
      <c r="AB64" s="82" t="n"/>
      <c r="AC64" s="87">
        <f>IF(OR($D64="",$M64="Rejected",$M64="Withdrawn",$M64="Accepted"),"",IF(ISNUMBER($O64),IF(INT($O64)&lt;TODAY(),"FOLLOW UP REQUIRED",IF(INT($O64)=TODAY(),"ACTION DUE TODAY",IF(INT($O64)-TODAY()&lt;=Set_DueSoonDays,"DUE SOON",""))),IF(AND($M64="Applied",$AA64=""),IF(ISNUMBER($C64),IF(TODAY()-$C64&gt;=Set_FollowUpDays,"NO RESPONSE",""),""),"")))</f>
        <v/>
      </c>
      <c r="AD64" s="87">
        <f>IF(ISNUMBER($L64),IF($L64&gt;=90,"Excellent Match",IF($L64&gt;=75,"Strong Match",IF($L64&gt;=60,"Moderate Match","Low Match"))),"")</f>
        <v/>
      </c>
      <c r="AE64" s="87">
        <f>IF($D64="","",IF(OR($M64="Rejected",$M64="Withdrawn"),IF($AB64&lt;&gt;"",$AB64,IF(OR($M64="Rejected",ISNUMBER($C64)),"Applied","Wishlist")),IF($M64="",IF(ISNUMBER($C64),"Applied","Wishlist"),$M64)))</f>
        <v/>
      </c>
      <c r="AF64" s="88">
        <f>IF(AND(ISNUMBER($C64),ISNUMBER($AA64)),$AA64-$C64,"")</f>
        <v/>
      </c>
      <c r="AG64" s="87">
        <f>IF($AE64="","",IFERROR(MATCH($AE64,{"Wishlist","Applied","Screening","Interview 1","Interview 2","Final","Offer","Accepted"},0)-1,""))</f>
        <v/>
      </c>
      <c r="AH64" s="87">
        <f>IF($AC64="","",MATCH($AC64,{"FOLLOW UP REQUIRED","ACTION DUE TODAY","NO RESPONSE","DUE SOON"},0)*100000+IF(ISNUMBER($O64),$O64,IF(ISNUMBER($C64),$C64,0))+ROW()/10000)</f>
        <v/>
      </c>
      <c r="AI64" s="87">
        <f>IF(AND(ISNUMBER($AG64),$AG64&gt;=1,$AG64&lt;=6,$M64&lt;&gt;"Rejected",$M64&lt;&gt;"Withdrawn"),(10-$AG64)*100000+IF(ISNUMBER($C64),$C64,0)+ROW()/10000,"")</f>
        <v/>
      </c>
    </row>
    <row r="65">
      <c r="A65" s="80" t="n"/>
      <c r="B65" s="81" t="n"/>
      <c r="C65" s="81" t="n"/>
      <c r="D65" s="82" t="n"/>
      <c r="E65" s="82" t="n"/>
      <c r="F65" s="82" t="n"/>
      <c r="G65" s="82" t="n"/>
      <c r="H65" s="82" t="n"/>
      <c r="I65" s="83" t="n"/>
      <c r="J65" s="82" t="n"/>
      <c r="K65" s="84" t="n"/>
      <c r="L65" s="85" t="n"/>
      <c r="M65" s="82" t="n"/>
      <c r="N65" s="86" t="n"/>
      <c r="O65" s="81" t="n"/>
      <c r="P65" s="82" t="n"/>
      <c r="Q65" s="83" t="n"/>
      <c r="R65" s="82" t="n"/>
      <c r="S65" s="84" t="n"/>
      <c r="T65" s="84" t="n"/>
      <c r="U65" s="82" t="n"/>
      <c r="V65" s="86" t="n"/>
      <c r="W65" s="86" t="n"/>
      <c r="X65" s="86" t="n"/>
      <c r="Y65" s="81" t="n"/>
      <c r="Z65" s="82" t="n"/>
      <c r="AA65" s="81" t="n"/>
      <c r="AB65" s="82" t="n"/>
      <c r="AC65" s="87">
        <f>IF(OR($D65="",$M65="Rejected",$M65="Withdrawn",$M65="Accepted"),"",IF(ISNUMBER($O65),IF(INT($O65)&lt;TODAY(),"FOLLOW UP REQUIRED",IF(INT($O65)=TODAY(),"ACTION DUE TODAY",IF(INT($O65)-TODAY()&lt;=Set_DueSoonDays,"DUE SOON",""))),IF(AND($M65="Applied",$AA65=""),IF(ISNUMBER($C65),IF(TODAY()-$C65&gt;=Set_FollowUpDays,"NO RESPONSE",""),""),"")))</f>
        <v/>
      </c>
      <c r="AD65" s="87">
        <f>IF(ISNUMBER($L65),IF($L65&gt;=90,"Excellent Match",IF($L65&gt;=75,"Strong Match",IF($L65&gt;=60,"Moderate Match","Low Match"))),"")</f>
        <v/>
      </c>
      <c r="AE65" s="87">
        <f>IF($D65="","",IF(OR($M65="Rejected",$M65="Withdrawn"),IF($AB65&lt;&gt;"",$AB65,IF(OR($M65="Rejected",ISNUMBER($C65)),"Applied","Wishlist")),IF($M65="",IF(ISNUMBER($C65),"Applied","Wishlist"),$M65)))</f>
        <v/>
      </c>
      <c r="AF65" s="88">
        <f>IF(AND(ISNUMBER($C65),ISNUMBER($AA65)),$AA65-$C65,"")</f>
        <v/>
      </c>
      <c r="AG65" s="87">
        <f>IF($AE65="","",IFERROR(MATCH($AE65,{"Wishlist","Applied","Screening","Interview 1","Interview 2","Final","Offer","Accepted"},0)-1,""))</f>
        <v/>
      </c>
      <c r="AH65" s="87">
        <f>IF($AC65="","",MATCH($AC65,{"FOLLOW UP REQUIRED","ACTION DUE TODAY","NO RESPONSE","DUE SOON"},0)*100000+IF(ISNUMBER($O65),$O65,IF(ISNUMBER($C65),$C65,0))+ROW()/10000)</f>
        <v/>
      </c>
      <c r="AI65" s="87">
        <f>IF(AND(ISNUMBER($AG65),$AG65&gt;=1,$AG65&lt;=6,$M65&lt;&gt;"Rejected",$M65&lt;&gt;"Withdrawn"),(10-$AG65)*100000+IF(ISNUMBER($C65),$C65,0)+ROW()/10000,"")</f>
        <v/>
      </c>
    </row>
    <row r="66">
      <c r="A66" s="80" t="n"/>
      <c r="B66" s="81" t="n"/>
      <c r="C66" s="81" t="n"/>
      <c r="D66" s="82" t="n"/>
      <c r="E66" s="82" t="n"/>
      <c r="F66" s="82" t="n"/>
      <c r="G66" s="82" t="n"/>
      <c r="H66" s="82" t="n"/>
      <c r="I66" s="83" t="n"/>
      <c r="J66" s="82" t="n"/>
      <c r="K66" s="84" t="n"/>
      <c r="L66" s="85" t="n"/>
      <c r="M66" s="82" t="n"/>
      <c r="N66" s="86" t="n"/>
      <c r="O66" s="81" t="n"/>
      <c r="P66" s="82" t="n"/>
      <c r="Q66" s="83" t="n"/>
      <c r="R66" s="82" t="n"/>
      <c r="S66" s="84" t="n"/>
      <c r="T66" s="84" t="n"/>
      <c r="U66" s="82" t="n"/>
      <c r="V66" s="86" t="n"/>
      <c r="W66" s="86" t="n"/>
      <c r="X66" s="86" t="n"/>
      <c r="Y66" s="81" t="n"/>
      <c r="Z66" s="82" t="n"/>
      <c r="AA66" s="81" t="n"/>
      <c r="AB66" s="82" t="n"/>
      <c r="AC66" s="87">
        <f>IF(OR($D66="",$M66="Rejected",$M66="Withdrawn",$M66="Accepted"),"",IF(ISNUMBER($O66),IF(INT($O66)&lt;TODAY(),"FOLLOW UP REQUIRED",IF(INT($O66)=TODAY(),"ACTION DUE TODAY",IF(INT($O66)-TODAY()&lt;=Set_DueSoonDays,"DUE SOON",""))),IF(AND($M66="Applied",$AA66=""),IF(ISNUMBER($C66),IF(TODAY()-$C66&gt;=Set_FollowUpDays,"NO RESPONSE",""),""),"")))</f>
        <v/>
      </c>
      <c r="AD66" s="87">
        <f>IF(ISNUMBER($L66),IF($L66&gt;=90,"Excellent Match",IF($L66&gt;=75,"Strong Match",IF($L66&gt;=60,"Moderate Match","Low Match"))),"")</f>
        <v/>
      </c>
      <c r="AE66" s="87">
        <f>IF($D66="","",IF(OR($M66="Rejected",$M66="Withdrawn"),IF($AB66&lt;&gt;"",$AB66,IF(OR($M66="Rejected",ISNUMBER($C66)),"Applied","Wishlist")),IF($M66="",IF(ISNUMBER($C66),"Applied","Wishlist"),$M66)))</f>
        <v/>
      </c>
      <c r="AF66" s="88">
        <f>IF(AND(ISNUMBER($C66),ISNUMBER($AA66)),$AA66-$C66,"")</f>
        <v/>
      </c>
      <c r="AG66" s="87">
        <f>IF($AE66="","",IFERROR(MATCH($AE66,{"Wishlist","Applied","Screening","Interview 1","Interview 2","Final","Offer","Accepted"},0)-1,""))</f>
        <v/>
      </c>
      <c r="AH66" s="87">
        <f>IF($AC66="","",MATCH($AC66,{"FOLLOW UP REQUIRED","ACTION DUE TODAY","NO RESPONSE","DUE SOON"},0)*100000+IF(ISNUMBER($O66),$O66,IF(ISNUMBER($C66),$C66,0))+ROW()/10000)</f>
        <v/>
      </c>
      <c r="AI66" s="87">
        <f>IF(AND(ISNUMBER($AG66),$AG66&gt;=1,$AG66&lt;=6,$M66&lt;&gt;"Rejected",$M66&lt;&gt;"Withdrawn"),(10-$AG66)*100000+IF(ISNUMBER($C66),$C66,0)+ROW()/10000,"")</f>
        <v/>
      </c>
    </row>
    <row r="67">
      <c r="A67" s="80" t="n"/>
      <c r="B67" s="81" t="n"/>
      <c r="C67" s="81" t="n"/>
      <c r="D67" s="82" t="n"/>
      <c r="E67" s="82" t="n"/>
      <c r="F67" s="82" t="n"/>
      <c r="G67" s="82" t="n"/>
      <c r="H67" s="82" t="n"/>
      <c r="I67" s="83" t="n"/>
      <c r="J67" s="82" t="n"/>
      <c r="K67" s="84" t="n"/>
      <c r="L67" s="85" t="n"/>
      <c r="M67" s="82" t="n"/>
      <c r="N67" s="86" t="n"/>
      <c r="O67" s="81" t="n"/>
      <c r="P67" s="82" t="n"/>
      <c r="Q67" s="83" t="n"/>
      <c r="R67" s="82" t="n"/>
      <c r="S67" s="84" t="n"/>
      <c r="T67" s="84" t="n"/>
      <c r="U67" s="82" t="n"/>
      <c r="V67" s="86" t="n"/>
      <c r="W67" s="86" t="n"/>
      <c r="X67" s="86" t="n"/>
      <c r="Y67" s="81" t="n"/>
      <c r="Z67" s="82" t="n"/>
      <c r="AA67" s="81" t="n"/>
      <c r="AB67" s="82" t="n"/>
      <c r="AC67" s="87">
        <f>IF(OR($D67="",$M67="Rejected",$M67="Withdrawn",$M67="Accepted"),"",IF(ISNUMBER($O67),IF(INT($O67)&lt;TODAY(),"FOLLOW UP REQUIRED",IF(INT($O67)=TODAY(),"ACTION DUE TODAY",IF(INT($O67)-TODAY()&lt;=Set_DueSoonDays,"DUE SOON",""))),IF(AND($M67="Applied",$AA67=""),IF(ISNUMBER($C67),IF(TODAY()-$C67&gt;=Set_FollowUpDays,"NO RESPONSE",""),""),"")))</f>
        <v/>
      </c>
      <c r="AD67" s="87">
        <f>IF(ISNUMBER($L67),IF($L67&gt;=90,"Excellent Match",IF($L67&gt;=75,"Strong Match",IF($L67&gt;=60,"Moderate Match","Low Match"))),"")</f>
        <v/>
      </c>
      <c r="AE67" s="87">
        <f>IF($D67="","",IF(OR($M67="Rejected",$M67="Withdrawn"),IF($AB67&lt;&gt;"",$AB67,IF(OR($M67="Rejected",ISNUMBER($C67)),"Applied","Wishlist")),IF($M67="",IF(ISNUMBER($C67),"Applied","Wishlist"),$M67)))</f>
        <v/>
      </c>
      <c r="AF67" s="88">
        <f>IF(AND(ISNUMBER($C67),ISNUMBER($AA67)),$AA67-$C67,"")</f>
        <v/>
      </c>
      <c r="AG67" s="87">
        <f>IF($AE67="","",IFERROR(MATCH($AE67,{"Wishlist","Applied","Screening","Interview 1","Interview 2","Final","Offer","Accepted"},0)-1,""))</f>
        <v/>
      </c>
      <c r="AH67" s="87">
        <f>IF($AC67="","",MATCH($AC67,{"FOLLOW UP REQUIRED","ACTION DUE TODAY","NO RESPONSE","DUE SOON"},0)*100000+IF(ISNUMBER($O67),$O67,IF(ISNUMBER($C67),$C67,0))+ROW()/10000)</f>
        <v/>
      </c>
      <c r="AI67" s="87">
        <f>IF(AND(ISNUMBER($AG67),$AG67&gt;=1,$AG67&lt;=6,$M67&lt;&gt;"Rejected",$M67&lt;&gt;"Withdrawn"),(10-$AG67)*100000+IF(ISNUMBER($C67),$C67,0)+ROW()/10000,"")</f>
        <v/>
      </c>
    </row>
    <row r="68">
      <c r="A68" s="80" t="n"/>
      <c r="B68" s="81" t="n"/>
      <c r="C68" s="81" t="n"/>
      <c r="D68" s="82" t="n"/>
      <c r="E68" s="82" t="n"/>
      <c r="F68" s="82" t="n"/>
      <c r="G68" s="82" t="n"/>
      <c r="H68" s="82" t="n"/>
      <c r="I68" s="83" t="n"/>
      <c r="J68" s="82" t="n"/>
      <c r="K68" s="84" t="n"/>
      <c r="L68" s="85" t="n"/>
      <c r="M68" s="82" t="n"/>
      <c r="N68" s="86" t="n"/>
      <c r="O68" s="81" t="n"/>
      <c r="P68" s="82" t="n"/>
      <c r="Q68" s="83" t="n"/>
      <c r="R68" s="82" t="n"/>
      <c r="S68" s="84" t="n"/>
      <c r="T68" s="84" t="n"/>
      <c r="U68" s="82" t="n"/>
      <c r="V68" s="86" t="n"/>
      <c r="W68" s="86" t="n"/>
      <c r="X68" s="86" t="n"/>
      <c r="Y68" s="81" t="n"/>
      <c r="Z68" s="82" t="n"/>
      <c r="AA68" s="81" t="n"/>
      <c r="AB68" s="82" t="n"/>
      <c r="AC68" s="87">
        <f>IF(OR($D68="",$M68="Rejected",$M68="Withdrawn",$M68="Accepted"),"",IF(ISNUMBER($O68),IF(INT($O68)&lt;TODAY(),"FOLLOW UP REQUIRED",IF(INT($O68)=TODAY(),"ACTION DUE TODAY",IF(INT($O68)-TODAY()&lt;=Set_DueSoonDays,"DUE SOON",""))),IF(AND($M68="Applied",$AA68=""),IF(ISNUMBER($C68),IF(TODAY()-$C68&gt;=Set_FollowUpDays,"NO RESPONSE",""),""),"")))</f>
        <v/>
      </c>
      <c r="AD68" s="87">
        <f>IF(ISNUMBER($L68),IF($L68&gt;=90,"Excellent Match",IF($L68&gt;=75,"Strong Match",IF($L68&gt;=60,"Moderate Match","Low Match"))),"")</f>
        <v/>
      </c>
      <c r="AE68" s="87">
        <f>IF($D68="","",IF(OR($M68="Rejected",$M68="Withdrawn"),IF($AB68&lt;&gt;"",$AB68,IF(OR($M68="Rejected",ISNUMBER($C68)),"Applied","Wishlist")),IF($M68="",IF(ISNUMBER($C68),"Applied","Wishlist"),$M68)))</f>
        <v/>
      </c>
      <c r="AF68" s="88">
        <f>IF(AND(ISNUMBER($C68),ISNUMBER($AA68)),$AA68-$C68,"")</f>
        <v/>
      </c>
      <c r="AG68" s="87">
        <f>IF($AE68="","",IFERROR(MATCH($AE68,{"Wishlist","Applied","Screening","Interview 1","Interview 2","Final","Offer","Accepted"},0)-1,""))</f>
        <v/>
      </c>
      <c r="AH68" s="87">
        <f>IF($AC68="","",MATCH($AC68,{"FOLLOW UP REQUIRED","ACTION DUE TODAY","NO RESPONSE","DUE SOON"},0)*100000+IF(ISNUMBER($O68),$O68,IF(ISNUMBER($C68),$C68,0))+ROW()/10000)</f>
        <v/>
      </c>
      <c r="AI68" s="87">
        <f>IF(AND(ISNUMBER($AG68),$AG68&gt;=1,$AG68&lt;=6,$M68&lt;&gt;"Rejected",$M68&lt;&gt;"Withdrawn"),(10-$AG68)*100000+IF(ISNUMBER($C68),$C68,0)+ROW()/10000,"")</f>
        <v/>
      </c>
    </row>
    <row r="69">
      <c r="A69" s="80" t="n"/>
      <c r="B69" s="81" t="n"/>
      <c r="C69" s="81" t="n"/>
      <c r="D69" s="82" t="n"/>
      <c r="E69" s="82" t="n"/>
      <c r="F69" s="82" t="n"/>
      <c r="G69" s="82" t="n"/>
      <c r="H69" s="82" t="n"/>
      <c r="I69" s="83" t="n"/>
      <c r="J69" s="82" t="n"/>
      <c r="K69" s="84" t="n"/>
      <c r="L69" s="85" t="n"/>
      <c r="M69" s="82" t="n"/>
      <c r="N69" s="86" t="n"/>
      <c r="O69" s="81" t="n"/>
      <c r="P69" s="82" t="n"/>
      <c r="Q69" s="83" t="n"/>
      <c r="R69" s="82" t="n"/>
      <c r="S69" s="84" t="n"/>
      <c r="T69" s="84" t="n"/>
      <c r="U69" s="82" t="n"/>
      <c r="V69" s="86" t="n"/>
      <c r="W69" s="86" t="n"/>
      <c r="X69" s="86" t="n"/>
      <c r="Y69" s="81" t="n"/>
      <c r="Z69" s="82" t="n"/>
      <c r="AA69" s="81" t="n"/>
      <c r="AB69" s="82" t="n"/>
      <c r="AC69" s="87">
        <f>IF(OR($D69="",$M69="Rejected",$M69="Withdrawn",$M69="Accepted"),"",IF(ISNUMBER($O69),IF(INT($O69)&lt;TODAY(),"FOLLOW UP REQUIRED",IF(INT($O69)=TODAY(),"ACTION DUE TODAY",IF(INT($O69)-TODAY()&lt;=Set_DueSoonDays,"DUE SOON",""))),IF(AND($M69="Applied",$AA69=""),IF(ISNUMBER($C69),IF(TODAY()-$C69&gt;=Set_FollowUpDays,"NO RESPONSE",""),""),"")))</f>
        <v/>
      </c>
      <c r="AD69" s="87">
        <f>IF(ISNUMBER($L69),IF($L69&gt;=90,"Excellent Match",IF($L69&gt;=75,"Strong Match",IF($L69&gt;=60,"Moderate Match","Low Match"))),"")</f>
        <v/>
      </c>
      <c r="AE69" s="87">
        <f>IF($D69="","",IF(OR($M69="Rejected",$M69="Withdrawn"),IF($AB69&lt;&gt;"",$AB69,IF(OR($M69="Rejected",ISNUMBER($C69)),"Applied","Wishlist")),IF($M69="",IF(ISNUMBER($C69),"Applied","Wishlist"),$M69)))</f>
        <v/>
      </c>
      <c r="AF69" s="88">
        <f>IF(AND(ISNUMBER($C69),ISNUMBER($AA69)),$AA69-$C69,"")</f>
        <v/>
      </c>
      <c r="AG69" s="87">
        <f>IF($AE69="","",IFERROR(MATCH($AE69,{"Wishlist","Applied","Screening","Interview 1","Interview 2","Final","Offer","Accepted"},0)-1,""))</f>
        <v/>
      </c>
      <c r="AH69" s="87">
        <f>IF($AC69="","",MATCH($AC69,{"FOLLOW UP REQUIRED","ACTION DUE TODAY","NO RESPONSE","DUE SOON"},0)*100000+IF(ISNUMBER($O69),$O69,IF(ISNUMBER($C69),$C69,0))+ROW()/10000)</f>
        <v/>
      </c>
      <c r="AI69" s="87">
        <f>IF(AND(ISNUMBER($AG69),$AG69&gt;=1,$AG69&lt;=6,$M69&lt;&gt;"Rejected",$M69&lt;&gt;"Withdrawn"),(10-$AG69)*100000+IF(ISNUMBER($C69),$C69,0)+ROW()/10000,"")</f>
        <v/>
      </c>
    </row>
    <row r="70">
      <c r="A70" s="80" t="n"/>
      <c r="B70" s="81" t="n"/>
      <c r="C70" s="81" t="n"/>
      <c r="D70" s="82" t="n"/>
      <c r="E70" s="82" t="n"/>
      <c r="F70" s="82" t="n"/>
      <c r="G70" s="82" t="n"/>
      <c r="H70" s="82" t="n"/>
      <c r="I70" s="83" t="n"/>
      <c r="J70" s="82" t="n"/>
      <c r="K70" s="84" t="n"/>
      <c r="L70" s="85" t="n"/>
      <c r="M70" s="82" t="n"/>
      <c r="N70" s="86" t="n"/>
      <c r="O70" s="81" t="n"/>
      <c r="P70" s="82" t="n"/>
      <c r="Q70" s="83" t="n"/>
      <c r="R70" s="82" t="n"/>
      <c r="S70" s="84" t="n"/>
      <c r="T70" s="84" t="n"/>
      <c r="U70" s="82" t="n"/>
      <c r="V70" s="86" t="n"/>
      <c r="W70" s="86" t="n"/>
      <c r="X70" s="86" t="n"/>
      <c r="Y70" s="81" t="n"/>
      <c r="Z70" s="82" t="n"/>
      <c r="AA70" s="81" t="n"/>
      <c r="AB70" s="82" t="n"/>
      <c r="AC70" s="87">
        <f>IF(OR($D70="",$M70="Rejected",$M70="Withdrawn",$M70="Accepted"),"",IF(ISNUMBER($O70),IF(INT($O70)&lt;TODAY(),"FOLLOW UP REQUIRED",IF(INT($O70)=TODAY(),"ACTION DUE TODAY",IF(INT($O70)-TODAY()&lt;=Set_DueSoonDays,"DUE SOON",""))),IF(AND($M70="Applied",$AA70=""),IF(ISNUMBER($C70),IF(TODAY()-$C70&gt;=Set_FollowUpDays,"NO RESPONSE",""),""),"")))</f>
        <v/>
      </c>
      <c r="AD70" s="87">
        <f>IF(ISNUMBER($L70),IF($L70&gt;=90,"Excellent Match",IF($L70&gt;=75,"Strong Match",IF($L70&gt;=60,"Moderate Match","Low Match"))),"")</f>
        <v/>
      </c>
      <c r="AE70" s="87">
        <f>IF($D70="","",IF(OR($M70="Rejected",$M70="Withdrawn"),IF($AB70&lt;&gt;"",$AB70,IF(OR($M70="Rejected",ISNUMBER($C70)),"Applied","Wishlist")),IF($M70="",IF(ISNUMBER($C70),"Applied","Wishlist"),$M70)))</f>
        <v/>
      </c>
      <c r="AF70" s="88">
        <f>IF(AND(ISNUMBER($C70),ISNUMBER($AA70)),$AA70-$C70,"")</f>
        <v/>
      </c>
      <c r="AG70" s="87">
        <f>IF($AE70="","",IFERROR(MATCH($AE70,{"Wishlist","Applied","Screening","Interview 1","Interview 2","Final","Offer","Accepted"},0)-1,""))</f>
        <v/>
      </c>
      <c r="AH70" s="87">
        <f>IF($AC70="","",MATCH($AC70,{"FOLLOW UP REQUIRED","ACTION DUE TODAY","NO RESPONSE","DUE SOON"},0)*100000+IF(ISNUMBER($O70),$O70,IF(ISNUMBER($C70),$C70,0))+ROW()/10000)</f>
        <v/>
      </c>
      <c r="AI70" s="87">
        <f>IF(AND(ISNUMBER($AG70),$AG70&gt;=1,$AG70&lt;=6,$M70&lt;&gt;"Rejected",$M70&lt;&gt;"Withdrawn"),(10-$AG70)*100000+IF(ISNUMBER($C70),$C70,0)+ROW()/10000,"")</f>
        <v/>
      </c>
    </row>
    <row r="71">
      <c r="A71" s="80" t="n"/>
      <c r="B71" s="81" t="n"/>
      <c r="C71" s="81" t="n"/>
      <c r="D71" s="82" t="n"/>
      <c r="E71" s="82" t="n"/>
      <c r="F71" s="82" t="n"/>
      <c r="G71" s="82" t="n"/>
      <c r="H71" s="82" t="n"/>
      <c r="I71" s="83" t="n"/>
      <c r="J71" s="82" t="n"/>
      <c r="K71" s="84" t="n"/>
      <c r="L71" s="85" t="n"/>
      <c r="M71" s="82" t="n"/>
      <c r="N71" s="86" t="n"/>
      <c r="O71" s="81" t="n"/>
      <c r="P71" s="82" t="n"/>
      <c r="Q71" s="83" t="n"/>
      <c r="R71" s="82" t="n"/>
      <c r="S71" s="84" t="n"/>
      <c r="T71" s="84" t="n"/>
      <c r="U71" s="82" t="n"/>
      <c r="V71" s="86" t="n"/>
      <c r="W71" s="86" t="n"/>
      <c r="X71" s="86" t="n"/>
      <c r="Y71" s="81" t="n"/>
      <c r="Z71" s="82" t="n"/>
      <c r="AA71" s="81" t="n"/>
      <c r="AB71" s="82" t="n"/>
      <c r="AC71" s="87">
        <f>IF(OR($D71="",$M71="Rejected",$M71="Withdrawn",$M71="Accepted"),"",IF(ISNUMBER($O71),IF(INT($O71)&lt;TODAY(),"FOLLOW UP REQUIRED",IF(INT($O71)=TODAY(),"ACTION DUE TODAY",IF(INT($O71)-TODAY()&lt;=Set_DueSoonDays,"DUE SOON",""))),IF(AND($M71="Applied",$AA71=""),IF(ISNUMBER($C71),IF(TODAY()-$C71&gt;=Set_FollowUpDays,"NO RESPONSE",""),""),"")))</f>
        <v/>
      </c>
      <c r="AD71" s="87">
        <f>IF(ISNUMBER($L71),IF($L71&gt;=90,"Excellent Match",IF($L71&gt;=75,"Strong Match",IF($L71&gt;=60,"Moderate Match","Low Match"))),"")</f>
        <v/>
      </c>
      <c r="AE71" s="87">
        <f>IF($D71="","",IF(OR($M71="Rejected",$M71="Withdrawn"),IF($AB71&lt;&gt;"",$AB71,IF(OR($M71="Rejected",ISNUMBER($C71)),"Applied","Wishlist")),IF($M71="",IF(ISNUMBER($C71),"Applied","Wishlist"),$M71)))</f>
        <v/>
      </c>
      <c r="AF71" s="88">
        <f>IF(AND(ISNUMBER($C71),ISNUMBER($AA71)),$AA71-$C71,"")</f>
        <v/>
      </c>
      <c r="AG71" s="87">
        <f>IF($AE71="","",IFERROR(MATCH($AE71,{"Wishlist","Applied","Screening","Interview 1","Interview 2","Final","Offer","Accepted"},0)-1,""))</f>
        <v/>
      </c>
      <c r="AH71" s="87">
        <f>IF($AC71="","",MATCH($AC71,{"FOLLOW UP REQUIRED","ACTION DUE TODAY","NO RESPONSE","DUE SOON"},0)*100000+IF(ISNUMBER($O71),$O71,IF(ISNUMBER($C71),$C71,0))+ROW()/10000)</f>
        <v/>
      </c>
      <c r="AI71" s="87">
        <f>IF(AND(ISNUMBER($AG71),$AG71&gt;=1,$AG71&lt;=6,$M71&lt;&gt;"Rejected",$M71&lt;&gt;"Withdrawn"),(10-$AG71)*100000+IF(ISNUMBER($C71),$C71,0)+ROW()/10000,"")</f>
        <v/>
      </c>
    </row>
    <row r="72">
      <c r="A72" s="80" t="n"/>
      <c r="B72" s="81" t="n"/>
      <c r="C72" s="81" t="n"/>
      <c r="D72" s="82" t="n"/>
      <c r="E72" s="82" t="n"/>
      <c r="F72" s="82" t="n"/>
      <c r="G72" s="82" t="n"/>
      <c r="H72" s="82" t="n"/>
      <c r="I72" s="83" t="n"/>
      <c r="J72" s="82" t="n"/>
      <c r="K72" s="84" t="n"/>
      <c r="L72" s="85" t="n"/>
      <c r="M72" s="82" t="n"/>
      <c r="N72" s="86" t="n"/>
      <c r="O72" s="81" t="n"/>
      <c r="P72" s="82" t="n"/>
      <c r="Q72" s="83" t="n"/>
      <c r="R72" s="82" t="n"/>
      <c r="S72" s="84" t="n"/>
      <c r="T72" s="84" t="n"/>
      <c r="U72" s="82" t="n"/>
      <c r="V72" s="86" t="n"/>
      <c r="W72" s="86" t="n"/>
      <c r="X72" s="86" t="n"/>
      <c r="Y72" s="81" t="n"/>
      <c r="Z72" s="82" t="n"/>
      <c r="AA72" s="81" t="n"/>
      <c r="AB72" s="82" t="n"/>
      <c r="AC72" s="87">
        <f>IF(OR($D72="",$M72="Rejected",$M72="Withdrawn",$M72="Accepted"),"",IF(ISNUMBER($O72),IF(INT($O72)&lt;TODAY(),"FOLLOW UP REQUIRED",IF(INT($O72)=TODAY(),"ACTION DUE TODAY",IF(INT($O72)-TODAY()&lt;=Set_DueSoonDays,"DUE SOON",""))),IF(AND($M72="Applied",$AA72=""),IF(ISNUMBER($C72),IF(TODAY()-$C72&gt;=Set_FollowUpDays,"NO RESPONSE",""),""),"")))</f>
        <v/>
      </c>
      <c r="AD72" s="87">
        <f>IF(ISNUMBER($L72),IF($L72&gt;=90,"Excellent Match",IF($L72&gt;=75,"Strong Match",IF($L72&gt;=60,"Moderate Match","Low Match"))),"")</f>
        <v/>
      </c>
      <c r="AE72" s="87">
        <f>IF($D72="","",IF(OR($M72="Rejected",$M72="Withdrawn"),IF($AB72&lt;&gt;"",$AB72,IF(OR($M72="Rejected",ISNUMBER($C72)),"Applied","Wishlist")),IF($M72="",IF(ISNUMBER($C72),"Applied","Wishlist"),$M72)))</f>
        <v/>
      </c>
      <c r="AF72" s="88">
        <f>IF(AND(ISNUMBER($C72),ISNUMBER($AA72)),$AA72-$C72,"")</f>
        <v/>
      </c>
      <c r="AG72" s="87">
        <f>IF($AE72="","",IFERROR(MATCH($AE72,{"Wishlist","Applied","Screening","Interview 1","Interview 2","Final","Offer","Accepted"},0)-1,""))</f>
        <v/>
      </c>
      <c r="AH72" s="87">
        <f>IF($AC72="","",MATCH($AC72,{"FOLLOW UP REQUIRED","ACTION DUE TODAY","NO RESPONSE","DUE SOON"},0)*100000+IF(ISNUMBER($O72),$O72,IF(ISNUMBER($C72),$C72,0))+ROW()/10000)</f>
        <v/>
      </c>
      <c r="AI72" s="87">
        <f>IF(AND(ISNUMBER($AG72),$AG72&gt;=1,$AG72&lt;=6,$M72&lt;&gt;"Rejected",$M72&lt;&gt;"Withdrawn"),(10-$AG72)*100000+IF(ISNUMBER($C72),$C72,0)+ROW()/10000,"")</f>
        <v/>
      </c>
    </row>
    <row r="73">
      <c r="A73" s="80" t="n"/>
      <c r="B73" s="81" t="n"/>
      <c r="C73" s="81" t="n"/>
      <c r="D73" s="82" t="n"/>
      <c r="E73" s="82" t="n"/>
      <c r="F73" s="82" t="n"/>
      <c r="G73" s="82" t="n"/>
      <c r="H73" s="82" t="n"/>
      <c r="I73" s="83" t="n"/>
      <c r="J73" s="82" t="n"/>
      <c r="K73" s="84" t="n"/>
      <c r="L73" s="85" t="n"/>
      <c r="M73" s="82" t="n"/>
      <c r="N73" s="86" t="n"/>
      <c r="O73" s="81" t="n"/>
      <c r="P73" s="82" t="n"/>
      <c r="Q73" s="83" t="n"/>
      <c r="R73" s="82" t="n"/>
      <c r="S73" s="84" t="n"/>
      <c r="T73" s="84" t="n"/>
      <c r="U73" s="82" t="n"/>
      <c r="V73" s="86" t="n"/>
      <c r="W73" s="86" t="n"/>
      <c r="X73" s="86" t="n"/>
      <c r="Y73" s="81" t="n"/>
      <c r="Z73" s="82" t="n"/>
      <c r="AA73" s="81" t="n"/>
      <c r="AB73" s="82" t="n"/>
      <c r="AC73" s="87">
        <f>IF(OR($D73="",$M73="Rejected",$M73="Withdrawn",$M73="Accepted"),"",IF(ISNUMBER($O73),IF(INT($O73)&lt;TODAY(),"FOLLOW UP REQUIRED",IF(INT($O73)=TODAY(),"ACTION DUE TODAY",IF(INT($O73)-TODAY()&lt;=Set_DueSoonDays,"DUE SOON",""))),IF(AND($M73="Applied",$AA73=""),IF(ISNUMBER($C73),IF(TODAY()-$C73&gt;=Set_FollowUpDays,"NO RESPONSE",""),""),"")))</f>
        <v/>
      </c>
      <c r="AD73" s="87">
        <f>IF(ISNUMBER($L73),IF($L73&gt;=90,"Excellent Match",IF($L73&gt;=75,"Strong Match",IF($L73&gt;=60,"Moderate Match","Low Match"))),"")</f>
        <v/>
      </c>
      <c r="AE73" s="87">
        <f>IF($D73="","",IF(OR($M73="Rejected",$M73="Withdrawn"),IF($AB73&lt;&gt;"",$AB73,IF(OR($M73="Rejected",ISNUMBER($C73)),"Applied","Wishlist")),IF($M73="",IF(ISNUMBER($C73),"Applied","Wishlist"),$M73)))</f>
        <v/>
      </c>
      <c r="AF73" s="88">
        <f>IF(AND(ISNUMBER($C73),ISNUMBER($AA73)),$AA73-$C73,"")</f>
        <v/>
      </c>
      <c r="AG73" s="87">
        <f>IF($AE73="","",IFERROR(MATCH($AE73,{"Wishlist","Applied","Screening","Interview 1","Interview 2","Final","Offer","Accepted"},0)-1,""))</f>
        <v/>
      </c>
      <c r="AH73" s="87">
        <f>IF($AC73="","",MATCH($AC73,{"FOLLOW UP REQUIRED","ACTION DUE TODAY","NO RESPONSE","DUE SOON"},0)*100000+IF(ISNUMBER($O73),$O73,IF(ISNUMBER($C73),$C73,0))+ROW()/10000)</f>
        <v/>
      </c>
      <c r="AI73" s="87">
        <f>IF(AND(ISNUMBER($AG73),$AG73&gt;=1,$AG73&lt;=6,$M73&lt;&gt;"Rejected",$M73&lt;&gt;"Withdrawn"),(10-$AG73)*100000+IF(ISNUMBER($C73),$C73,0)+ROW()/10000,"")</f>
        <v/>
      </c>
    </row>
    <row r="74">
      <c r="A74" s="80" t="n"/>
      <c r="B74" s="81" t="n"/>
      <c r="C74" s="81" t="n"/>
      <c r="D74" s="82" t="n"/>
      <c r="E74" s="82" t="n"/>
      <c r="F74" s="82" t="n"/>
      <c r="G74" s="82" t="n"/>
      <c r="H74" s="82" t="n"/>
      <c r="I74" s="83" t="n"/>
      <c r="J74" s="82" t="n"/>
      <c r="K74" s="84" t="n"/>
      <c r="L74" s="85" t="n"/>
      <c r="M74" s="82" t="n"/>
      <c r="N74" s="86" t="n"/>
      <c r="O74" s="81" t="n"/>
      <c r="P74" s="82" t="n"/>
      <c r="Q74" s="83" t="n"/>
      <c r="R74" s="82" t="n"/>
      <c r="S74" s="84" t="n"/>
      <c r="T74" s="84" t="n"/>
      <c r="U74" s="82" t="n"/>
      <c r="V74" s="86" t="n"/>
      <c r="W74" s="86" t="n"/>
      <c r="X74" s="86" t="n"/>
      <c r="Y74" s="81" t="n"/>
      <c r="Z74" s="82" t="n"/>
      <c r="AA74" s="81" t="n"/>
      <c r="AB74" s="82" t="n"/>
      <c r="AC74" s="87">
        <f>IF(OR($D74="",$M74="Rejected",$M74="Withdrawn",$M74="Accepted"),"",IF(ISNUMBER($O74),IF(INT($O74)&lt;TODAY(),"FOLLOW UP REQUIRED",IF(INT($O74)=TODAY(),"ACTION DUE TODAY",IF(INT($O74)-TODAY()&lt;=Set_DueSoonDays,"DUE SOON",""))),IF(AND($M74="Applied",$AA74=""),IF(ISNUMBER($C74),IF(TODAY()-$C74&gt;=Set_FollowUpDays,"NO RESPONSE",""),""),"")))</f>
        <v/>
      </c>
      <c r="AD74" s="87">
        <f>IF(ISNUMBER($L74),IF($L74&gt;=90,"Excellent Match",IF($L74&gt;=75,"Strong Match",IF($L74&gt;=60,"Moderate Match","Low Match"))),"")</f>
        <v/>
      </c>
      <c r="AE74" s="87">
        <f>IF($D74="","",IF(OR($M74="Rejected",$M74="Withdrawn"),IF($AB74&lt;&gt;"",$AB74,IF(OR($M74="Rejected",ISNUMBER($C74)),"Applied","Wishlist")),IF($M74="",IF(ISNUMBER($C74),"Applied","Wishlist"),$M74)))</f>
        <v/>
      </c>
      <c r="AF74" s="88">
        <f>IF(AND(ISNUMBER($C74),ISNUMBER($AA74)),$AA74-$C74,"")</f>
        <v/>
      </c>
      <c r="AG74" s="87">
        <f>IF($AE74="","",IFERROR(MATCH($AE74,{"Wishlist","Applied","Screening","Interview 1","Interview 2","Final","Offer","Accepted"},0)-1,""))</f>
        <v/>
      </c>
      <c r="AH74" s="87">
        <f>IF($AC74="","",MATCH($AC74,{"FOLLOW UP REQUIRED","ACTION DUE TODAY","NO RESPONSE","DUE SOON"},0)*100000+IF(ISNUMBER($O74),$O74,IF(ISNUMBER($C74),$C74,0))+ROW()/10000)</f>
        <v/>
      </c>
      <c r="AI74" s="87">
        <f>IF(AND(ISNUMBER($AG74),$AG74&gt;=1,$AG74&lt;=6,$M74&lt;&gt;"Rejected",$M74&lt;&gt;"Withdrawn"),(10-$AG74)*100000+IF(ISNUMBER($C74),$C74,0)+ROW()/10000,"")</f>
        <v/>
      </c>
    </row>
    <row r="75">
      <c r="A75" s="80" t="n"/>
      <c r="B75" s="81" t="n"/>
      <c r="C75" s="81" t="n"/>
      <c r="D75" s="82" t="n"/>
      <c r="E75" s="82" t="n"/>
      <c r="F75" s="82" t="n"/>
      <c r="G75" s="82" t="n"/>
      <c r="H75" s="82" t="n"/>
      <c r="I75" s="83" t="n"/>
      <c r="J75" s="82" t="n"/>
      <c r="K75" s="84" t="n"/>
      <c r="L75" s="85" t="n"/>
      <c r="M75" s="82" t="n"/>
      <c r="N75" s="86" t="n"/>
      <c r="O75" s="81" t="n"/>
      <c r="P75" s="82" t="n"/>
      <c r="Q75" s="83" t="n"/>
      <c r="R75" s="82" t="n"/>
      <c r="S75" s="84" t="n"/>
      <c r="T75" s="84" t="n"/>
      <c r="U75" s="82" t="n"/>
      <c r="V75" s="86" t="n"/>
      <c r="W75" s="86" t="n"/>
      <c r="X75" s="86" t="n"/>
      <c r="Y75" s="81" t="n"/>
      <c r="Z75" s="82" t="n"/>
      <c r="AA75" s="81" t="n"/>
      <c r="AB75" s="82" t="n"/>
      <c r="AC75" s="87">
        <f>IF(OR($D75="",$M75="Rejected",$M75="Withdrawn",$M75="Accepted"),"",IF(ISNUMBER($O75),IF(INT($O75)&lt;TODAY(),"FOLLOW UP REQUIRED",IF(INT($O75)=TODAY(),"ACTION DUE TODAY",IF(INT($O75)-TODAY()&lt;=Set_DueSoonDays,"DUE SOON",""))),IF(AND($M75="Applied",$AA75=""),IF(ISNUMBER($C75),IF(TODAY()-$C75&gt;=Set_FollowUpDays,"NO RESPONSE",""),""),"")))</f>
        <v/>
      </c>
      <c r="AD75" s="87">
        <f>IF(ISNUMBER($L75),IF($L75&gt;=90,"Excellent Match",IF($L75&gt;=75,"Strong Match",IF($L75&gt;=60,"Moderate Match","Low Match"))),"")</f>
        <v/>
      </c>
      <c r="AE75" s="87">
        <f>IF($D75="","",IF(OR($M75="Rejected",$M75="Withdrawn"),IF($AB75&lt;&gt;"",$AB75,IF(OR($M75="Rejected",ISNUMBER($C75)),"Applied","Wishlist")),IF($M75="",IF(ISNUMBER($C75),"Applied","Wishlist"),$M75)))</f>
        <v/>
      </c>
      <c r="AF75" s="88">
        <f>IF(AND(ISNUMBER($C75),ISNUMBER($AA75)),$AA75-$C75,"")</f>
        <v/>
      </c>
      <c r="AG75" s="87">
        <f>IF($AE75="","",IFERROR(MATCH($AE75,{"Wishlist","Applied","Screening","Interview 1","Interview 2","Final","Offer","Accepted"},0)-1,""))</f>
        <v/>
      </c>
      <c r="AH75" s="87">
        <f>IF($AC75="","",MATCH($AC75,{"FOLLOW UP REQUIRED","ACTION DUE TODAY","NO RESPONSE","DUE SOON"},0)*100000+IF(ISNUMBER($O75),$O75,IF(ISNUMBER($C75),$C75,0))+ROW()/10000)</f>
        <v/>
      </c>
      <c r="AI75" s="87">
        <f>IF(AND(ISNUMBER($AG75),$AG75&gt;=1,$AG75&lt;=6,$M75&lt;&gt;"Rejected",$M75&lt;&gt;"Withdrawn"),(10-$AG75)*100000+IF(ISNUMBER($C75),$C75,0)+ROW()/10000,"")</f>
        <v/>
      </c>
    </row>
    <row r="76">
      <c r="A76" s="80" t="n"/>
      <c r="B76" s="81" t="n"/>
      <c r="C76" s="81" t="n"/>
      <c r="D76" s="82" t="n"/>
      <c r="E76" s="82" t="n"/>
      <c r="F76" s="82" t="n"/>
      <c r="G76" s="82" t="n"/>
      <c r="H76" s="82" t="n"/>
      <c r="I76" s="83" t="n"/>
      <c r="J76" s="82" t="n"/>
      <c r="K76" s="84" t="n"/>
      <c r="L76" s="85" t="n"/>
      <c r="M76" s="82" t="n"/>
      <c r="N76" s="86" t="n"/>
      <c r="O76" s="81" t="n"/>
      <c r="P76" s="82" t="n"/>
      <c r="Q76" s="83" t="n"/>
      <c r="R76" s="82" t="n"/>
      <c r="S76" s="84" t="n"/>
      <c r="T76" s="84" t="n"/>
      <c r="U76" s="82" t="n"/>
      <c r="V76" s="86" t="n"/>
      <c r="W76" s="86" t="n"/>
      <c r="X76" s="86" t="n"/>
      <c r="Y76" s="81" t="n"/>
      <c r="Z76" s="82" t="n"/>
      <c r="AA76" s="81" t="n"/>
      <c r="AB76" s="82" t="n"/>
      <c r="AC76" s="87">
        <f>IF(OR($D76="",$M76="Rejected",$M76="Withdrawn",$M76="Accepted"),"",IF(ISNUMBER($O76),IF(INT($O76)&lt;TODAY(),"FOLLOW UP REQUIRED",IF(INT($O76)=TODAY(),"ACTION DUE TODAY",IF(INT($O76)-TODAY()&lt;=Set_DueSoonDays,"DUE SOON",""))),IF(AND($M76="Applied",$AA76=""),IF(ISNUMBER($C76),IF(TODAY()-$C76&gt;=Set_FollowUpDays,"NO RESPONSE",""),""),"")))</f>
        <v/>
      </c>
      <c r="AD76" s="87">
        <f>IF(ISNUMBER($L76),IF($L76&gt;=90,"Excellent Match",IF($L76&gt;=75,"Strong Match",IF($L76&gt;=60,"Moderate Match","Low Match"))),"")</f>
        <v/>
      </c>
      <c r="AE76" s="87">
        <f>IF($D76="","",IF(OR($M76="Rejected",$M76="Withdrawn"),IF($AB76&lt;&gt;"",$AB76,IF(OR($M76="Rejected",ISNUMBER($C76)),"Applied","Wishlist")),IF($M76="",IF(ISNUMBER($C76),"Applied","Wishlist"),$M76)))</f>
        <v/>
      </c>
      <c r="AF76" s="88">
        <f>IF(AND(ISNUMBER($C76),ISNUMBER($AA76)),$AA76-$C76,"")</f>
        <v/>
      </c>
      <c r="AG76" s="87">
        <f>IF($AE76="","",IFERROR(MATCH($AE76,{"Wishlist","Applied","Screening","Interview 1","Interview 2","Final","Offer","Accepted"},0)-1,""))</f>
        <v/>
      </c>
      <c r="AH76" s="87">
        <f>IF($AC76="","",MATCH($AC76,{"FOLLOW UP REQUIRED","ACTION DUE TODAY","NO RESPONSE","DUE SOON"},0)*100000+IF(ISNUMBER($O76),$O76,IF(ISNUMBER($C76),$C76,0))+ROW()/10000)</f>
        <v/>
      </c>
      <c r="AI76" s="87">
        <f>IF(AND(ISNUMBER($AG76),$AG76&gt;=1,$AG76&lt;=6,$M76&lt;&gt;"Rejected",$M76&lt;&gt;"Withdrawn"),(10-$AG76)*100000+IF(ISNUMBER($C76),$C76,0)+ROW()/10000,"")</f>
        <v/>
      </c>
    </row>
    <row r="77">
      <c r="A77" s="80" t="n"/>
      <c r="B77" s="81" t="n"/>
      <c r="C77" s="81" t="n"/>
      <c r="D77" s="82" t="n"/>
      <c r="E77" s="82" t="n"/>
      <c r="F77" s="82" t="n"/>
      <c r="G77" s="82" t="n"/>
      <c r="H77" s="82" t="n"/>
      <c r="I77" s="83" t="n"/>
      <c r="J77" s="82" t="n"/>
      <c r="K77" s="84" t="n"/>
      <c r="L77" s="85" t="n"/>
      <c r="M77" s="82" t="n"/>
      <c r="N77" s="86" t="n"/>
      <c r="O77" s="81" t="n"/>
      <c r="P77" s="82" t="n"/>
      <c r="Q77" s="83" t="n"/>
      <c r="R77" s="82" t="n"/>
      <c r="S77" s="84" t="n"/>
      <c r="T77" s="84" t="n"/>
      <c r="U77" s="82" t="n"/>
      <c r="V77" s="86" t="n"/>
      <c r="W77" s="86" t="n"/>
      <c r="X77" s="86" t="n"/>
      <c r="Y77" s="81" t="n"/>
      <c r="Z77" s="82" t="n"/>
      <c r="AA77" s="81" t="n"/>
      <c r="AB77" s="82" t="n"/>
      <c r="AC77" s="87">
        <f>IF(OR($D77="",$M77="Rejected",$M77="Withdrawn",$M77="Accepted"),"",IF(ISNUMBER($O77),IF(INT($O77)&lt;TODAY(),"FOLLOW UP REQUIRED",IF(INT($O77)=TODAY(),"ACTION DUE TODAY",IF(INT($O77)-TODAY()&lt;=Set_DueSoonDays,"DUE SOON",""))),IF(AND($M77="Applied",$AA77=""),IF(ISNUMBER($C77),IF(TODAY()-$C77&gt;=Set_FollowUpDays,"NO RESPONSE",""),""),"")))</f>
        <v/>
      </c>
      <c r="AD77" s="87">
        <f>IF(ISNUMBER($L77),IF($L77&gt;=90,"Excellent Match",IF($L77&gt;=75,"Strong Match",IF($L77&gt;=60,"Moderate Match","Low Match"))),"")</f>
        <v/>
      </c>
      <c r="AE77" s="87">
        <f>IF($D77="","",IF(OR($M77="Rejected",$M77="Withdrawn"),IF($AB77&lt;&gt;"",$AB77,IF(OR($M77="Rejected",ISNUMBER($C77)),"Applied","Wishlist")),IF($M77="",IF(ISNUMBER($C77),"Applied","Wishlist"),$M77)))</f>
        <v/>
      </c>
      <c r="AF77" s="88">
        <f>IF(AND(ISNUMBER($C77),ISNUMBER($AA77)),$AA77-$C77,"")</f>
        <v/>
      </c>
      <c r="AG77" s="87">
        <f>IF($AE77="","",IFERROR(MATCH($AE77,{"Wishlist","Applied","Screening","Interview 1","Interview 2","Final","Offer","Accepted"},0)-1,""))</f>
        <v/>
      </c>
      <c r="AH77" s="87">
        <f>IF($AC77="","",MATCH($AC77,{"FOLLOW UP REQUIRED","ACTION DUE TODAY","NO RESPONSE","DUE SOON"},0)*100000+IF(ISNUMBER($O77),$O77,IF(ISNUMBER($C77),$C77,0))+ROW()/10000)</f>
        <v/>
      </c>
      <c r="AI77" s="87">
        <f>IF(AND(ISNUMBER($AG77),$AG77&gt;=1,$AG77&lt;=6,$M77&lt;&gt;"Rejected",$M77&lt;&gt;"Withdrawn"),(10-$AG77)*100000+IF(ISNUMBER($C77),$C77,0)+ROW()/10000,"")</f>
        <v/>
      </c>
    </row>
    <row r="78">
      <c r="A78" s="80" t="n"/>
      <c r="B78" s="81" t="n"/>
      <c r="C78" s="81" t="n"/>
      <c r="D78" s="82" t="n"/>
      <c r="E78" s="82" t="n"/>
      <c r="F78" s="82" t="n"/>
      <c r="G78" s="82" t="n"/>
      <c r="H78" s="82" t="n"/>
      <c r="I78" s="83" t="n"/>
      <c r="J78" s="82" t="n"/>
      <c r="K78" s="84" t="n"/>
      <c r="L78" s="85" t="n"/>
      <c r="M78" s="82" t="n"/>
      <c r="N78" s="86" t="n"/>
      <c r="O78" s="81" t="n"/>
      <c r="P78" s="82" t="n"/>
      <c r="Q78" s="83" t="n"/>
      <c r="R78" s="82" t="n"/>
      <c r="S78" s="84" t="n"/>
      <c r="T78" s="84" t="n"/>
      <c r="U78" s="82" t="n"/>
      <c r="V78" s="86" t="n"/>
      <c r="W78" s="86" t="n"/>
      <c r="X78" s="86" t="n"/>
      <c r="Y78" s="81" t="n"/>
      <c r="Z78" s="82" t="n"/>
      <c r="AA78" s="81" t="n"/>
      <c r="AB78" s="82" t="n"/>
      <c r="AC78" s="87">
        <f>IF(OR($D78="",$M78="Rejected",$M78="Withdrawn",$M78="Accepted"),"",IF(ISNUMBER($O78),IF(INT($O78)&lt;TODAY(),"FOLLOW UP REQUIRED",IF(INT($O78)=TODAY(),"ACTION DUE TODAY",IF(INT($O78)-TODAY()&lt;=Set_DueSoonDays,"DUE SOON",""))),IF(AND($M78="Applied",$AA78=""),IF(ISNUMBER($C78),IF(TODAY()-$C78&gt;=Set_FollowUpDays,"NO RESPONSE",""),""),"")))</f>
        <v/>
      </c>
      <c r="AD78" s="87">
        <f>IF(ISNUMBER($L78),IF($L78&gt;=90,"Excellent Match",IF($L78&gt;=75,"Strong Match",IF($L78&gt;=60,"Moderate Match","Low Match"))),"")</f>
        <v/>
      </c>
      <c r="AE78" s="87">
        <f>IF($D78="","",IF(OR($M78="Rejected",$M78="Withdrawn"),IF($AB78&lt;&gt;"",$AB78,IF(OR($M78="Rejected",ISNUMBER($C78)),"Applied","Wishlist")),IF($M78="",IF(ISNUMBER($C78),"Applied","Wishlist"),$M78)))</f>
        <v/>
      </c>
      <c r="AF78" s="88">
        <f>IF(AND(ISNUMBER($C78),ISNUMBER($AA78)),$AA78-$C78,"")</f>
        <v/>
      </c>
      <c r="AG78" s="87">
        <f>IF($AE78="","",IFERROR(MATCH($AE78,{"Wishlist","Applied","Screening","Interview 1","Interview 2","Final","Offer","Accepted"},0)-1,""))</f>
        <v/>
      </c>
      <c r="AH78" s="87">
        <f>IF($AC78="","",MATCH($AC78,{"FOLLOW UP REQUIRED","ACTION DUE TODAY","NO RESPONSE","DUE SOON"},0)*100000+IF(ISNUMBER($O78),$O78,IF(ISNUMBER($C78),$C78,0))+ROW()/10000)</f>
        <v/>
      </c>
      <c r="AI78" s="87">
        <f>IF(AND(ISNUMBER($AG78),$AG78&gt;=1,$AG78&lt;=6,$M78&lt;&gt;"Rejected",$M78&lt;&gt;"Withdrawn"),(10-$AG78)*100000+IF(ISNUMBER($C78),$C78,0)+ROW()/10000,"")</f>
        <v/>
      </c>
    </row>
    <row r="79">
      <c r="A79" s="80" t="n"/>
      <c r="B79" s="81" t="n"/>
      <c r="C79" s="81" t="n"/>
      <c r="D79" s="82" t="n"/>
      <c r="E79" s="82" t="n"/>
      <c r="F79" s="82" t="n"/>
      <c r="G79" s="82" t="n"/>
      <c r="H79" s="82" t="n"/>
      <c r="I79" s="83" t="n"/>
      <c r="J79" s="82" t="n"/>
      <c r="K79" s="84" t="n"/>
      <c r="L79" s="85" t="n"/>
      <c r="M79" s="82" t="n"/>
      <c r="N79" s="86" t="n"/>
      <c r="O79" s="81" t="n"/>
      <c r="P79" s="82" t="n"/>
      <c r="Q79" s="83" t="n"/>
      <c r="R79" s="82" t="n"/>
      <c r="S79" s="84" t="n"/>
      <c r="T79" s="84" t="n"/>
      <c r="U79" s="82" t="n"/>
      <c r="V79" s="86" t="n"/>
      <c r="W79" s="86" t="n"/>
      <c r="X79" s="86" t="n"/>
      <c r="Y79" s="81" t="n"/>
      <c r="Z79" s="82" t="n"/>
      <c r="AA79" s="81" t="n"/>
      <c r="AB79" s="82" t="n"/>
      <c r="AC79" s="87">
        <f>IF(OR($D79="",$M79="Rejected",$M79="Withdrawn",$M79="Accepted"),"",IF(ISNUMBER($O79),IF(INT($O79)&lt;TODAY(),"FOLLOW UP REQUIRED",IF(INT($O79)=TODAY(),"ACTION DUE TODAY",IF(INT($O79)-TODAY()&lt;=Set_DueSoonDays,"DUE SOON",""))),IF(AND($M79="Applied",$AA79=""),IF(ISNUMBER($C79),IF(TODAY()-$C79&gt;=Set_FollowUpDays,"NO RESPONSE",""),""),"")))</f>
        <v/>
      </c>
      <c r="AD79" s="87">
        <f>IF(ISNUMBER($L79),IF($L79&gt;=90,"Excellent Match",IF($L79&gt;=75,"Strong Match",IF($L79&gt;=60,"Moderate Match","Low Match"))),"")</f>
        <v/>
      </c>
      <c r="AE79" s="87">
        <f>IF($D79="","",IF(OR($M79="Rejected",$M79="Withdrawn"),IF($AB79&lt;&gt;"",$AB79,IF(OR($M79="Rejected",ISNUMBER($C79)),"Applied","Wishlist")),IF($M79="",IF(ISNUMBER($C79),"Applied","Wishlist"),$M79)))</f>
        <v/>
      </c>
      <c r="AF79" s="88">
        <f>IF(AND(ISNUMBER($C79),ISNUMBER($AA79)),$AA79-$C79,"")</f>
        <v/>
      </c>
      <c r="AG79" s="87">
        <f>IF($AE79="","",IFERROR(MATCH($AE79,{"Wishlist","Applied","Screening","Interview 1","Interview 2","Final","Offer","Accepted"},0)-1,""))</f>
        <v/>
      </c>
      <c r="AH79" s="87">
        <f>IF($AC79="","",MATCH($AC79,{"FOLLOW UP REQUIRED","ACTION DUE TODAY","NO RESPONSE","DUE SOON"},0)*100000+IF(ISNUMBER($O79),$O79,IF(ISNUMBER($C79),$C79,0))+ROW()/10000)</f>
        <v/>
      </c>
      <c r="AI79" s="87">
        <f>IF(AND(ISNUMBER($AG79),$AG79&gt;=1,$AG79&lt;=6,$M79&lt;&gt;"Rejected",$M79&lt;&gt;"Withdrawn"),(10-$AG79)*100000+IF(ISNUMBER($C79),$C79,0)+ROW()/10000,"")</f>
        <v/>
      </c>
    </row>
    <row r="80">
      <c r="A80" s="80" t="n"/>
      <c r="B80" s="81" t="n"/>
      <c r="C80" s="81" t="n"/>
      <c r="D80" s="82" t="n"/>
      <c r="E80" s="82" t="n"/>
      <c r="F80" s="82" t="n"/>
      <c r="G80" s="82" t="n"/>
      <c r="H80" s="82" t="n"/>
      <c r="I80" s="83" t="n"/>
      <c r="J80" s="82" t="n"/>
      <c r="K80" s="84" t="n"/>
      <c r="L80" s="85" t="n"/>
      <c r="M80" s="82" t="n"/>
      <c r="N80" s="86" t="n"/>
      <c r="O80" s="81" t="n"/>
      <c r="P80" s="82" t="n"/>
      <c r="Q80" s="83" t="n"/>
      <c r="R80" s="82" t="n"/>
      <c r="S80" s="84" t="n"/>
      <c r="T80" s="84" t="n"/>
      <c r="U80" s="82" t="n"/>
      <c r="V80" s="86" t="n"/>
      <c r="W80" s="86" t="n"/>
      <c r="X80" s="86" t="n"/>
      <c r="Y80" s="81" t="n"/>
      <c r="Z80" s="82" t="n"/>
      <c r="AA80" s="81" t="n"/>
      <c r="AB80" s="82" t="n"/>
      <c r="AC80" s="87">
        <f>IF(OR($D80="",$M80="Rejected",$M80="Withdrawn",$M80="Accepted"),"",IF(ISNUMBER($O80),IF(INT($O80)&lt;TODAY(),"FOLLOW UP REQUIRED",IF(INT($O80)=TODAY(),"ACTION DUE TODAY",IF(INT($O80)-TODAY()&lt;=Set_DueSoonDays,"DUE SOON",""))),IF(AND($M80="Applied",$AA80=""),IF(ISNUMBER($C80),IF(TODAY()-$C80&gt;=Set_FollowUpDays,"NO RESPONSE",""),""),"")))</f>
        <v/>
      </c>
      <c r="AD80" s="87">
        <f>IF(ISNUMBER($L80),IF($L80&gt;=90,"Excellent Match",IF($L80&gt;=75,"Strong Match",IF($L80&gt;=60,"Moderate Match","Low Match"))),"")</f>
        <v/>
      </c>
      <c r="AE80" s="87">
        <f>IF($D80="","",IF(OR($M80="Rejected",$M80="Withdrawn"),IF($AB80&lt;&gt;"",$AB80,IF(OR($M80="Rejected",ISNUMBER($C80)),"Applied","Wishlist")),IF($M80="",IF(ISNUMBER($C80),"Applied","Wishlist"),$M80)))</f>
        <v/>
      </c>
      <c r="AF80" s="88">
        <f>IF(AND(ISNUMBER($C80),ISNUMBER($AA80)),$AA80-$C80,"")</f>
        <v/>
      </c>
      <c r="AG80" s="87">
        <f>IF($AE80="","",IFERROR(MATCH($AE80,{"Wishlist","Applied","Screening","Interview 1","Interview 2","Final","Offer","Accepted"},0)-1,""))</f>
        <v/>
      </c>
      <c r="AH80" s="87">
        <f>IF($AC80="","",MATCH($AC80,{"FOLLOW UP REQUIRED","ACTION DUE TODAY","NO RESPONSE","DUE SOON"},0)*100000+IF(ISNUMBER($O80),$O80,IF(ISNUMBER($C80),$C80,0))+ROW()/10000)</f>
        <v/>
      </c>
      <c r="AI80" s="87">
        <f>IF(AND(ISNUMBER($AG80),$AG80&gt;=1,$AG80&lt;=6,$M80&lt;&gt;"Rejected",$M80&lt;&gt;"Withdrawn"),(10-$AG80)*100000+IF(ISNUMBER($C80),$C80,0)+ROW()/10000,"")</f>
        <v/>
      </c>
    </row>
    <row r="81">
      <c r="A81" s="80" t="n"/>
      <c r="B81" s="81" t="n"/>
      <c r="C81" s="81" t="n"/>
      <c r="D81" s="82" t="n"/>
      <c r="E81" s="82" t="n"/>
      <c r="F81" s="82" t="n"/>
      <c r="G81" s="82" t="n"/>
      <c r="H81" s="82" t="n"/>
      <c r="I81" s="83" t="n"/>
      <c r="J81" s="82" t="n"/>
      <c r="K81" s="84" t="n"/>
      <c r="L81" s="85" t="n"/>
      <c r="M81" s="82" t="n"/>
      <c r="N81" s="86" t="n"/>
      <c r="O81" s="81" t="n"/>
      <c r="P81" s="82" t="n"/>
      <c r="Q81" s="83" t="n"/>
      <c r="R81" s="82" t="n"/>
      <c r="S81" s="84" t="n"/>
      <c r="T81" s="84" t="n"/>
      <c r="U81" s="82" t="n"/>
      <c r="V81" s="86" t="n"/>
      <c r="W81" s="86" t="n"/>
      <c r="X81" s="86" t="n"/>
      <c r="Y81" s="81" t="n"/>
      <c r="Z81" s="82" t="n"/>
      <c r="AA81" s="81" t="n"/>
      <c r="AB81" s="82" t="n"/>
      <c r="AC81" s="87">
        <f>IF(OR($D81="",$M81="Rejected",$M81="Withdrawn",$M81="Accepted"),"",IF(ISNUMBER($O81),IF(INT($O81)&lt;TODAY(),"FOLLOW UP REQUIRED",IF(INT($O81)=TODAY(),"ACTION DUE TODAY",IF(INT($O81)-TODAY()&lt;=Set_DueSoonDays,"DUE SOON",""))),IF(AND($M81="Applied",$AA81=""),IF(ISNUMBER($C81),IF(TODAY()-$C81&gt;=Set_FollowUpDays,"NO RESPONSE",""),""),"")))</f>
        <v/>
      </c>
      <c r="AD81" s="87">
        <f>IF(ISNUMBER($L81),IF($L81&gt;=90,"Excellent Match",IF($L81&gt;=75,"Strong Match",IF($L81&gt;=60,"Moderate Match","Low Match"))),"")</f>
        <v/>
      </c>
      <c r="AE81" s="87">
        <f>IF($D81="","",IF(OR($M81="Rejected",$M81="Withdrawn"),IF($AB81&lt;&gt;"",$AB81,IF(OR($M81="Rejected",ISNUMBER($C81)),"Applied","Wishlist")),IF($M81="",IF(ISNUMBER($C81),"Applied","Wishlist"),$M81)))</f>
        <v/>
      </c>
      <c r="AF81" s="88">
        <f>IF(AND(ISNUMBER($C81),ISNUMBER($AA81)),$AA81-$C81,"")</f>
        <v/>
      </c>
      <c r="AG81" s="87">
        <f>IF($AE81="","",IFERROR(MATCH($AE81,{"Wishlist","Applied","Screening","Interview 1","Interview 2","Final","Offer","Accepted"},0)-1,""))</f>
        <v/>
      </c>
      <c r="AH81" s="87">
        <f>IF($AC81="","",MATCH($AC81,{"FOLLOW UP REQUIRED","ACTION DUE TODAY","NO RESPONSE","DUE SOON"},0)*100000+IF(ISNUMBER($O81),$O81,IF(ISNUMBER($C81),$C81,0))+ROW()/10000)</f>
        <v/>
      </c>
      <c r="AI81" s="87">
        <f>IF(AND(ISNUMBER($AG81),$AG81&gt;=1,$AG81&lt;=6,$M81&lt;&gt;"Rejected",$M81&lt;&gt;"Withdrawn"),(10-$AG81)*100000+IF(ISNUMBER($C81),$C81,0)+ROW()/10000,"")</f>
        <v/>
      </c>
    </row>
    <row r="82">
      <c r="A82" s="80" t="n"/>
      <c r="B82" s="81" t="n"/>
      <c r="C82" s="81" t="n"/>
      <c r="D82" s="82" t="n"/>
      <c r="E82" s="82" t="n"/>
      <c r="F82" s="82" t="n"/>
      <c r="G82" s="82" t="n"/>
      <c r="H82" s="82" t="n"/>
      <c r="I82" s="83" t="n"/>
      <c r="J82" s="82" t="n"/>
      <c r="K82" s="84" t="n"/>
      <c r="L82" s="85" t="n"/>
      <c r="M82" s="82" t="n"/>
      <c r="N82" s="86" t="n"/>
      <c r="O82" s="81" t="n"/>
      <c r="P82" s="82" t="n"/>
      <c r="Q82" s="83" t="n"/>
      <c r="R82" s="82" t="n"/>
      <c r="S82" s="84" t="n"/>
      <c r="T82" s="84" t="n"/>
      <c r="U82" s="82" t="n"/>
      <c r="V82" s="86" t="n"/>
      <c r="W82" s="86" t="n"/>
      <c r="X82" s="86" t="n"/>
      <c r="Y82" s="81" t="n"/>
      <c r="Z82" s="82" t="n"/>
      <c r="AA82" s="81" t="n"/>
      <c r="AB82" s="82" t="n"/>
      <c r="AC82" s="87">
        <f>IF(OR($D82="",$M82="Rejected",$M82="Withdrawn",$M82="Accepted"),"",IF(ISNUMBER($O82),IF(INT($O82)&lt;TODAY(),"FOLLOW UP REQUIRED",IF(INT($O82)=TODAY(),"ACTION DUE TODAY",IF(INT($O82)-TODAY()&lt;=Set_DueSoonDays,"DUE SOON",""))),IF(AND($M82="Applied",$AA82=""),IF(ISNUMBER($C82),IF(TODAY()-$C82&gt;=Set_FollowUpDays,"NO RESPONSE",""),""),"")))</f>
        <v/>
      </c>
      <c r="AD82" s="87">
        <f>IF(ISNUMBER($L82),IF($L82&gt;=90,"Excellent Match",IF($L82&gt;=75,"Strong Match",IF($L82&gt;=60,"Moderate Match","Low Match"))),"")</f>
        <v/>
      </c>
      <c r="AE82" s="87">
        <f>IF($D82="","",IF(OR($M82="Rejected",$M82="Withdrawn"),IF($AB82&lt;&gt;"",$AB82,IF(OR($M82="Rejected",ISNUMBER($C82)),"Applied","Wishlist")),IF($M82="",IF(ISNUMBER($C82),"Applied","Wishlist"),$M82)))</f>
        <v/>
      </c>
      <c r="AF82" s="88">
        <f>IF(AND(ISNUMBER($C82),ISNUMBER($AA82)),$AA82-$C82,"")</f>
        <v/>
      </c>
      <c r="AG82" s="87">
        <f>IF($AE82="","",IFERROR(MATCH($AE82,{"Wishlist","Applied","Screening","Interview 1","Interview 2","Final","Offer","Accepted"},0)-1,""))</f>
        <v/>
      </c>
      <c r="AH82" s="87">
        <f>IF($AC82="","",MATCH($AC82,{"FOLLOW UP REQUIRED","ACTION DUE TODAY","NO RESPONSE","DUE SOON"},0)*100000+IF(ISNUMBER($O82),$O82,IF(ISNUMBER($C82),$C82,0))+ROW()/10000)</f>
        <v/>
      </c>
      <c r="AI82" s="87">
        <f>IF(AND(ISNUMBER($AG82),$AG82&gt;=1,$AG82&lt;=6,$M82&lt;&gt;"Rejected",$M82&lt;&gt;"Withdrawn"),(10-$AG82)*100000+IF(ISNUMBER($C82),$C82,0)+ROW()/10000,"")</f>
        <v/>
      </c>
    </row>
    <row r="83">
      <c r="A83" s="80" t="n"/>
      <c r="B83" s="81" t="n"/>
      <c r="C83" s="81" t="n"/>
      <c r="D83" s="82" t="n"/>
      <c r="E83" s="82" t="n"/>
      <c r="F83" s="82" t="n"/>
      <c r="G83" s="82" t="n"/>
      <c r="H83" s="82" t="n"/>
      <c r="I83" s="83" t="n"/>
      <c r="J83" s="82" t="n"/>
      <c r="K83" s="84" t="n"/>
      <c r="L83" s="85" t="n"/>
      <c r="M83" s="82" t="n"/>
      <c r="N83" s="86" t="n"/>
      <c r="O83" s="81" t="n"/>
      <c r="P83" s="82" t="n"/>
      <c r="Q83" s="83" t="n"/>
      <c r="R83" s="82" t="n"/>
      <c r="S83" s="84" t="n"/>
      <c r="T83" s="84" t="n"/>
      <c r="U83" s="82" t="n"/>
      <c r="V83" s="86" t="n"/>
      <c r="W83" s="86" t="n"/>
      <c r="X83" s="86" t="n"/>
      <c r="Y83" s="81" t="n"/>
      <c r="Z83" s="82" t="n"/>
      <c r="AA83" s="81" t="n"/>
      <c r="AB83" s="82" t="n"/>
      <c r="AC83" s="87">
        <f>IF(OR($D83="",$M83="Rejected",$M83="Withdrawn",$M83="Accepted"),"",IF(ISNUMBER($O83),IF(INT($O83)&lt;TODAY(),"FOLLOW UP REQUIRED",IF(INT($O83)=TODAY(),"ACTION DUE TODAY",IF(INT($O83)-TODAY()&lt;=Set_DueSoonDays,"DUE SOON",""))),IF(AND($M83="Applied",$AA83=""),IF(ISNUMBER($C83),IF(TODAY()-$C83&gt;=Set_FollowUpDays,"NO RESPONSE",""),""),"")))</f>
        <v/>
      </c>
      <c r="AD83" s="87">
        <f>IF(ISNUMBER($L83),IF($L83&gt;=90,"Excellent Match",IF($L83&gt;=75,"Strong Match",IF($L83&gt;=60,"Moderate Match","Low Match"))),"")</f>
        <v/>
      </c>
      <c r="AE83" s="87">
        <f>IF($D83="","",IF(OR($M83="Rejected",$M83="Withdrawn"),IF($AB83&lt;&gt;"",$AB83,IF(OR($M83="Rejected",ISNUMBER($C83)),"Applied","Wishlist")),IF($M83="",IF(ISNUMBER($C83),"Applied","Wishlist"),$M83)))</f>
        <v/>
      </c>
      <c r="AF83" s="88">
        <f>IF(AND(ISNUMBER($C83),ISNUMBER($AA83)),$AA83-$C83,"")</f>
        <v/>
      </c>
      <c r="AG83" s="87">
        <f>IF($AE83="","",IFERROR(MATCH($AE83,{"Wishlist","Applied","Screening","Interview 1","Interview 2","Final","Offer","Accepted"},0)-1,""))</f>
        <v/>
      </c>
      <c r="AH83" s="87">
        <f>IF($AC83="","",MATCH($AC83,{"FOLLOW UP REQUIRED","ACTION DUE TODAY","NO RESPONSE","DUE SOON"},0)*100000+IF(ISNUMBER($O83),$O83,IF(ISNUMBER($C83),$C83,0))+ROW()/10000)</f>
        <v/>
      </c>
      <c r="AI83" s="87">
        <f>IF(AND(ISNUMBER($AG83),$AG83&gt;=1,$AG83&lt;=6,$M83&lt;&gt;"Rejected",$M83&lt;&gt;"Withdrawn"),(10-$AG83)*100000+IF(ISNUMBER($C83),$C83,0)+ROW()/10000,"")</f>
        <v/>
      </c>
    </row>
    <row r="84">
      <c r="A84" s="80" t="n"/>
      <c r="B84" s="81" t="n"/>
      <c r="C84" s="81" t="n"/>
      <c r="D84" s="82" t="n"/>
      <c r="E84" s="82" t="n"/>
      <c r="F84" s="82" t="n"/>
      <c r="G84" s="82" t="n"/>
      <c r="H84" s="82" t="n"/>
      <c r="I84" s="83" t="n"/>
      <c r="J84" s="82" t="n"/>
      <c r="K84" s="84" t="n"/>
      <c r="L84" s="85" t="n"/>
      <c r="M84" s="82" t="n"/>
      <c r="N84" s="86" t="n"/>
      <c r="O84" s="81" t="n"/>
      <c r="P84" s="82" t="n"/>
      <c r="Q84" s="83" t="n"/>
      <c r="R84" s="82" t="n"/>
      <c r="S84" s="84" t="n"/>
      <c r="T84" s="84" t="n"/>
      <c r="U84" s="82" t="n"/>
      <c r="V84" s="86" t="n"/>
      <c r="W84" s="86" t="n"/>
      <c r="X84" s="86" t="n"/>
      <c r="Y84" s="81" t="n"/>
      <c r="Z84" s="82" t="n"/>
      <c r="AA84" s="81" t="n"/>
      <c r="AB84" s="82" t="n"/>
      <c r="AC84" s="87">
        <f>IF(OR($D84="",$M84="Rejected",$M84="Withdrawn",$M84="Accepted"),"",IF(ISNUMBER($O84),IF(INT($O84)&lt;TODAY(),"FOLLOW UP REQUIRED",IF(INT($O84)=TODAY(),"ACTION DUE TODAY",IF(INT($O84)-TODAY()&lt;=Set_DueSoonDays,"DUE SOON",""))),IF(AND($M84="Applied",$AA84=""),IF(ISNUMBER($C84),IF(TODAY()-$C84&gt;=Set_FollowUpDays,"NO RESPONSE",""),""),"")))</f>
        <v/>
      </c>
      <c r="AD84" s="87">
        <f>IF(ISNUMBER($L84),IF($L84&gt;=90,"Excellent Match",IF($L84&gt;=75,"Strong Match",IF($L84&gt;=60,"Moderate Match","Low Match"))),"")</f>
        <v/>
      </c>
      <c r="AE84" s="87">
        <f>IF($D84="","",IF(OR($M84="Rejected",$M84="Withdrawn"),IF($AB84&lt;&gt;"",$AB84,IF(OR($M84="Rejected",ISNUMBER($C84)),"Applied","Wishlist")),IF($M84="",IF(ISNUMBER($C84),"Applied","Wishlist"),$M84)))</f>
        <v/>
      </c>
      <c r="AF84" s="88">
        <f>IF(AND(ISNUMBER($C84),ISNUMBER($AA84)),$AA84-$C84,"")</f>
        <v/>
      </c>
      <c r="AG84" s="87">
        <f>IF($AE84="","",IFERROR(MATCH($AE84,{"Wishlist","Applied","Screening","Interview 1","Interview 2","Final","Offer","Accepted"},0)-1,""))</f>
        <v/>
      </c>
      <c r="AH84" s="87">
        <f>IF($AC84="","",MATCH($AC84,{"FOLLOW UP REQUIRED","ACTION DUE TODAY","NO RESPONSE","DUE SOON"},0)*100000+IF(ISNUMBER($O84),$O84,IF(ISNUMBER($C84),$C84,0))+ROW()/10000)</f>
        <v/>
      </c>
      <c r="AI84" s="87">
        <f>IF(AND(ISNUMBER($AG84),$AG84&gt;=1,$AG84&lt;=6,$M84&lt;&gt;"Rejected",$M84&lt;&gt;"Withdrawn"),(10-$AG84)*100000+IF(ISNUMBER($C84),$C84,0)+ROW()/10000,"")</f>
        <v/>
      </c>
    </row>
    <row r="85">
      <c r="A85" s="80" t="n"/>
      <c r="B85" s="81" t="n"/>
      <c r="C85" s="81" t="n"/>
      <c r="D85" s="82" t="n"/>
      <c r="E85" s="82" t="n"/>
      <c r="F85" s="82" t="n"/>
      <c r="G85" s="82" t="n"/>
      <c r="H85" s="82" t="n"/>
      <c r="I85" s="83" t="n"/>
      <c r="J85" s="82" t="n"/>
      <c r="K85" s="84" t="n"/>
      <c r="L85" s="85" t="n"/>
      <c r="M85" s="82" t="n"/>
      <c r="N85" s="86" t="n"/>
      <c r="O85" s="81" t="n"/>
      <c r="P85" s="82" t="n"/>
      <c r="Q85" s="83" t="n"/>
      <c r="R85" s="82" t="n"/>
      <c r="S85" s="84" t="n"/>
      <c r="T85" s="84" t="n"/>
      <c r="U85" s="82" t="n"/>
      <c r="V85" s="86" t="n"/>
      <c r="W85" s="86" t="n"/>
      <c r="X85" s="86" t="n"/>
      <c r="Y85" s="81" t="n"/>
      <c r="Z85" s="82" t="n"/>
      <c r="AA85" s="81" t="n"/>
      <c r="AB85" s="82" t="n"/>
      <c r="AC85" s="87">
        <f>IF(OR($D85="",$M85="Rejected",$M85="Withdrawn",$M85="Accepted"),"",IF(ISNUMBER($O85),IF(INT($O85)&lt;TODAY(),"FOLLOW UP REQUIRED",IF(INT($O85)=TODAY(),"ACTION DUE TODAY",IF(INT($O85)-TODAY()&lt;=Set_DueSoonDays,"DUE SOON",""))),IF(AND($M85="Applied",$AA85=""),IF(ISNUMBER($C85),IF(TODAY()-$C85&gt;=Set_FollowUpDays,"NO RESPONSE",""),""),"")))</f>
        <v/>
      </c>
      <c r="AD85" s="87">
        <f>IF(ISNUMBER($L85),IF($L85&gt;=90,"Excellent Match",IF($L85&gt;=75,"Strong Match",IF($L85&gt;=60,"Moderate Match","Low Match"))),"")</f>
        <v/>
      </c>
      <c r="AE85" s="87">
        <f>IF($D85="","",IF(OR($M85="Rejected",$M85="Withdrawn"),IF($AB85&lt;&gt;"",$AB85,IF(OR($M85="Rejected",ISNUMBER($C85)),"Applied","Wishlist")),IF($M85="",IF(ISNUMBER($C85),"Applied","Wishlist"),$M85)))</f>
        <v/>
      </c>
      <c r="AF85" s="88">
        <f>IF(AND(ISNUMBER($C85),ISNUMBER($AA85)),$AA85-$C85,"")</f>
        <v/>
      </c>
      <c r="AG85" s="87">
        <f>IF($AE85="","",IFERROR(MATCH($AE85,{"Wishlist","Applied","Screening","Interview 1","Interview 2","Final","Offer","Accepted"},0)-1,""))</f>
        <v/>
      </c>
      <c r="AH85" s="87">
        <f>IF($AC85="","",MATCH($AC85,{"FOLLOW UP REQUIRED","ACTION DUE TODAY","NO RESPONSE","DUE SOON"},0)*100000+IF(ISNUMBER($O85),$O85,IF(ISNUMBER($C85),$C85,0))+ROW()/10000)</f>
        <v/>
      </c>
      <c r="AI85" s="87">
        <f>IF(AND(ISNUMBER($AG85),$AG85&gt;=1,$AG85&lt;=6,$M85&lt;&gt;"Rejected",$M85&lt;&gt;"Withdrawn"),(10-$AG85)*100000+IF(ISNUMBER($C85),$C85,0)+ROW()/10000,"")</f>
        <v/>
      </c>
    </row>
    <row r="86">
      <c r="A86" s="80" t="n"/>
      <c r="B86" s="81" t="n"/>
      <c r="C86" s="81" t="n"/>
      <c r="D86" s="82" t="n"/>
      <c r="E86" s="82" t="n"/>
      <c r="F86" s="82" t="n"/>
      <c r="G86" s="82" t="n"/>
      <c r="H86" s="82" t="n"/>
      <c r="I86" s="83" t="n"/>
      <c r="J86" s="82" t="n"/>
      <c r="K86" s="84" t="n"/>
      <c r="L86" s="85" t="n"/>
      <c r="M86" s="82" t="n"/>
      <c r="N86" s="86" t="n"/>
      <c r="O86" s="81" t="n"/>
      <c r="P86" s="82" t="n"/>
      <c r="Q86" s="83" t="n"/>
      <c r="R86" s="82" t="n"/>
      <c r="S86" s="84" t="n"/>
      <c r="T86" s="84" t="n"/>
      <c r="U86" s="82" t="n"/>
      <c r="V86" s="86" t="n"/>
      <c r="W86" s="86" t="n"/>
      <c r="X86" s="86" t="n"/>
      <c r="Y86" s="81" t="n"/>
      <c r="Z86" s="82" t="n"/>
      <c r="AA86" s="81" t="n"/>
      <c r="AB86" s="82" t="n"/>
      <c r="AC86" s="87">
        <f>IF(OR($D86="",$M86="Rejected",$M86="Withdrawn",$M86="Accepted"),"",IF(ISNUMBER($O86),IF(INT($O86)&lt;TODAY(),"FOLLOW UP REQUIRED",IF(INT($O86)=TODAY(),"ACTION DUE TODAY",IF(INT($O86)-TODAY()&lt;=Set_DueSoonDays,"DUE SOON",""))),IF(AND($M86="Applied",$AA86=""),IF(ISNUMBER($C86),IF(TODAY()-$C86&gt;=Set_FollowUpDays,"NO RESPONSE",""),""),"")))</f>
        <v/>
      </c>
      <c r="AD86" s="87">
        <f>IF(ISNUMBER($L86),IF($L86&gt;=90,"Excellent Match",IF($L86&gt;=75,"Strong Match",IF($L86&gt;=60,"Moderate Match","Low Match"))),"")</f>
        <v/>
      </c>
      <c r="AE86" s="87">
        <f>IF($D86="","",IF(OR($M86="Rejected",$M86="Withdrawn"),IF($AB86&lt;&gt;"",$AB86,IF(OR($M86="Rejected",ISNUMBER($C86)),"Applied","Wishlist")),IF($M86="",IF(ISNUMBER($C86),"Applied","Wishlist"),$M86)))</f>
        <v/>
      </c>
      <c r="AF86" s="88">
        <f>IF(AND(ISNUMBER($C86),ISNUMBER($AA86)),$AA86-$C86,"")</f>
        <v/>
      </c>
      <c r="AG86" s="87">
        <f>IF($AE86="","",IFERROR(MATCH($AE86,{"Wishlist","Applied","Screening","Interview 1","Interview 2","Final","Offer","Accepted"},0)-1,""))</f>
        <v/>
      </c>
      <c r="AH86" s="87">
        <f>IF($AC86="","",MATCH($AC86,{"FOLLOW UP REQUIRED","ACTION DUE TODAY","NO RESPONSE","DUE SOON"},0)*100000+IF(ISNUMBER($O86),$O86,IF(ISNUMBER($C86),$C86,0))+ROW()/10000)</f>
        <v/>
      </c>
      <c r="AI86" s="87">
        <f>IF(AND(ISNUMBER($AG86),$AG86&gt;=1,$AG86&lt;=6,$M86&lt;&gt;"Rejected",$M86&lt;&gt;"Withdrawn"),(10-$AG86)*100000+IF(ISNUMBER($C86),$C86,0)+ROW()/10000,"")</f>
        <v/>
      </c>
    </row>
    <row r="87">
      <c r="A87" s="80" t="n"/>
      <c r="B87" s="81" t="n"/>
      <c r="C87" s="81" t="n"/>
      <c r="D87" s="82" t="n"/>
      <c r="E87" s="82" t="n"/>
      <c r="F87" s="82" t="n"/>
      <c r="G87" s="82" t="n"/>
      <c r="H87" s="82" t="n"/>
      <c r="I87" s="83" t="n"/>
      <c r="J87" s="82" t="n"/>
      <c r="K87" s="84" t="n"/>
      <c r="L87" s="85" t="n"/>
      <c r="M87" s="82" t="n"/>
      <c r="N87" s="86" t="n"/>
      <c r="O87" s="81" t="n"/>
      <c r="P87" s="82" t="n"/>
      <c r="Q87" s="83" t="n"/>
      <c r="R87" s="82" t="n"/>
      <c r="S87" s="84" t="n"/>
      <c r="T87" s="84" t="n"/>
      <c r="U87" s="82" t="n"/>
      <c r="V87" s="86" t="n"/>
      <c r="W87" s="86" t="n"/>
      <c r="X87" s="86" t="n"/>
      <c r="Y87" s="81" t="n"/>
      <c r="Z87" s="82" t="n"/>
      <c r="AA87" s="81" t="n"/>
      <c r="AB87" s="82" t="n"/>
      <c r="AC87" s="87">
        <f>IF(OR($D87="",$M87="Rejected",$M87="Withdrawn",$M87="Accepted"),"",IF(ISNUMBER($O87),IF(INT($O87)&lt;TODAY(),"FOLLOW UP REQUIRED",IF(INT($O87)=TODAY(),"ACTION DUE TODAY",IF(INT($O87)-TODAY()&lt;=Set_DueSoonDays,"DUE SOON",""))),IF(AND($M87="Applied",$AA87=""),IF(ISNUMBER($C87),IF(TODAY()-$C87&gt;=Set_FollowUpDays,"NO RESPONSE",""),""),"")))</f>
        <v/>
      </c>
      <c r="AD87" s="87">
        <f>IF(ISNUMBER($L87),IF($L87&gt;=90,"Excellent Match",IF($L87&gt;=75,"Strong Match",IF($L87&gt;=60,"Moderate Match","Low Match"))),"")</f>
        <v/>
      </c>
      <c r="AE87" s="87">
        <f>IF($D87="","",IF(OR($M87="Rejected",$M87="Withdrawn"),IF($AB87&lt;&gt;"",$AB87,IF(OR($M87="Rejected",ISNUMBER($C87)),"Applied","Wishlist")),IF($M87="",IF(ISNUMBER($C87),"Applied","Wishlist"),$M87)))</f>
        <v/>
      </c>
      <c r="AF87" s="88">
        <f>IF(AND(ISNUMBER($C87),ISNUMBER($AA87)),$AA87-$C87,"")</f>
        <v/>
      </c>
      <c r="AG87" s="87">
        <f>IF($AE87="","",IFERROR(MATCH($AE87,{"Wishlist","Applied","Screening","Interview 1","Interview 2","Final","Offer","Accepted"},0)-1,""))</f>
        <v/>
      </c>
      <c r="AH87" s="87">
        <f>IF($AC87="","",MATCH($AC87,{"FOLLOW UP REQUIRED","ACTION DUE TODAY","NO RESPONSE","DUE SOON"},0)*100000+IF(ISNUMBER($O87),$O87,IF(ISNUMBER($C87),$C87,0))+ROW()/10000)</f>
        <v/>
      </c>
      <c r="AI87" s="87">
        <f>IF(AND(ISNUMBER($AG87),$AG87&gt;=1,$AG87&lt;=6,$M87&lt;&gt;"Rejected",$M87&lt;&gt;"Withdrawn"),(10-$AG87)*100000+IF(ISNUMBER($C87),$C87,0)+ROW()/10000,"")</f>
        <v/>
      </c>
    </row>
    <row r="88">
      <c r="A88" s="80" t="n"/>
      <c r="B88" s="81" t="n"/>
      <c r="C88" s="81" t="n"/>
      <c r="D88" s="82" t="n"/>
      <c r="E88" s="82" t="n"/>
      <c r="F88" s="82" t="n"/>
      <c r="G88" s="82" t="n"/>
      <c r="H88" s="82" t="n"/>
      <c r="I88" s="83" t="n"/>
      <c r="J88" s="82" t="n"/>
      <c r="K88" s="84" t="n"/>
      <c r="L88" s="85" t="n"/>
      <c r="M88" s="82" t="n"/>
      <c r="N88" s="86" t="n"/>
      <c r="O88" s="81" t="n"/>
      <c r="P88" s="82" t="n"/>
      <c r="Q88" s="83" t="n"/>
      <c r="R88" s="82" t="n"/>
      <c r="S88" s="84" t="n"/>
      <c r="T88" s="84" t="n"/>
      <c r="U88" s="82" t="n"/>
      <c r="V88" s="86" t="n"/>
      <c r="W88" s="86" t="n"/>
      <c r="X88" s="86" t="n"/>
      <c r="Y88" s="81" t="n"/>
      <c r="Z88" s="82" t="n"/>
      <c r="AA88" s="81" t="n"/>
      <c r="AB88" s="82" t="n"/>
      <c r="AC88" s="87">
        <f>IF(OR($D88="",$M88="Rejected",$M88="Withdrawn",$M88="Accepted"),"",IF(ISNUMBER($O88),IF(INT($O88)&lt;TODAY(),"FOLLOW UP REQUIRED",IF(INT($O88)=TODAY(),"ACTION DUE TODAY",IF(INT($O88)-TODAY()&lt;=Set_DueSoonDays,"DUE SOON",""))),IF(AND($M88="Applied",$AA88=""),IF(ISNUMBER($C88),IF(TODAY()-$C88&gt;=Set_FollowUpDays,"NO RESPONSE",""),""),"")))</f>
        <v/>
      </c>
      <c r="AD88" s="87">
        <f>IF(ISNUMBER($L88),IF($L88&gt;=90,"Excellent Match",IF($L88&gt;=75,"Strong Match",IF($L88&gt;=60,"Moderate Match","Low Match"))),"")</f>
        <v/>
      </c>
      <c r="AE88" s="87">
        <f>IF($D88="","",IF(OR($M88="Rejected",$M88="Withdrawn"),IF($AB88&lt;&gt;"",$AB88,IF(OR($M88="Rejected",ISNUMBER($C88)),"Applied","Wishlist")),IF($M88="",IF(ISNUMBER($C88),"Applied","Wishlist"),$M88)))</f>
        <v/>
      </c>
      <c r="AF88" s="88">
        <f>IF(AND(ISNUMBER($C88),ISNUMBER($AA88)),$AA88-$C88,"")</f>
        <v/>
      </c>
      <c r="AG88" s="87">
        <f>IF($AE88="","",IFERROR(MATCH($AE88,{"Wishlist","Applied","Screening","Interview 1","Interview 2","Final","Offer","Accepted"},0)-1,""))</f>
        <v/>
      </c>
      <c r="AH88" s="87">
        <f>IF($AC88="","",MATCH($AC88,{"FOLLOW UP REQUIRED","ACTION DUE TODAY","NO RESPONSE","DUE SOON"},0)*100000+IF(ISNUMBER($O88),$O88,IF(ISNUMBER($C88),$C88,0))+ROW()/10000)</f>
        <v/>
      </c>
      <c r="AI88" s="87">
        <f>IF(AND(ISNUMBER($AG88),$AG88&gt;=1,$AG88&lt;=6,$M88&lt;&gt;"Rejected",$M88&lt;&gt;"Withdrawn"),(10-$AG88)*100000+IF(ISNUMBER($C88),$C88,0)+ROW()/10000,"")</f>
        <v/>
      </c>
    </row>
    <row r="89">
      <c r="A89" s="80" t="n"/>
      <c r="B89" s="81" t="n"/>
      <c r="C89" s="81" t="n"/>
      <c r="D89" s="82" t="n"/>
      <c r="E89" s="82" t="n"/>
      <c r="F89" s="82" t="n"/>
      <c r="G89" s="82" t="n"/>
      <c r="H89" s="82" t="n"/>
      <c r="I89" s="83" t="n"/>
      <c r="J89" s="82" t="n"/>
      <c r="K89" s="84" t="n"/>
      <c r="L89" s="85" t="n"/>
      <c r="M89" s="82" t="n"/>
      <c r="N89" s="86" t="n"/>
      <c r="O89" s="81" t="n"/>
      <c r="P89" s="82" t="n"/>
      <c r="Q89" s="83" t="n"/>
      <c r="R89" s="82" t="n"/>
      <c r="S89" s="84" t="n"/>
      <c r="T89" s="84" t="n"/>
      <c r="U89" s="82" t="n"/>
      <c r="V89" s="86" t="n"/>
      <c r="W89" s="86" t="n"/>
      <c r="X89" s="86" t="n"/>
      <c r="Y89" s="81" t="n"/>
      <c r="Z89" s="82" t="n"/>
      <c r="AA89" s="81" t="n"/>
      <c r="AB89" s="82" t="n"/>
      <c r="AC89" s="87">
        <f>IF(OR($D89="",$M89="Rejected",$M89="Withdrawn",$M89="Accepted"),"",IF(ISNUMBER($O89),IF(INT($O89)&lt;TODAY(),"FOLLOW UP REQUIRED",IF(INT($O89)=TODAY(),"ACTION DUE TODAY",IF(INT($O89)-TODAY()&lt;=Set_DueSoonDays,"DUE SOON",""))),IF(AND($M89="Applied",$AA89=""),IF(ISNUMBER($C89),IF(TODAY()-$C89&gt;=Set_FollowUpDays,"NO RESPONSE",""),""),"")))</f>
        <v/>
      </c>
      <c r="AD89" s="87">
        <f>IF(ISNUMBER($L89),IF($L89&gt;=90,"Excellent Match",IF($L89&gt;=75,"Strong Match",IF($L89&gt;=60,"Moderate Match","Low Match"))),"")</f>
        <v/>
      </c>
      <c r="AE89" s="87">
        <f>IF($D89="","",IF(OR($M89="Rejected",$M89="Withdrawn"),IF($AB89&lt;&gt;"",$AB89,IF(OR($M89="Rejected",ISNUMBER($C89)),"Applied","Wishlist")),IF($M89="",IF(ISNUMBER($C89),"Applied","Wishlist"),$M89)))</f>
        <v/>
      </c>
      <c r="AF89" s="88">
        <f>IF(AND(ISNUMBER($C89),ISNUMBER($AA89)),$AA89-$C89,"")</f>
        <v/>
      </c>
      <c r="AG89" s="87">
        <f>IF($AE89="","",IFERROR(MATCH($AE89,{"Wishlist","Applied","Screening","Interview 1","Interview 2","Final","Offer","Accepted"},0)-1,""))</f>
        <v/>
      </c>
      <c r="AH89" s="87">
        <f>IF($AC89="","",MATCH($AC89,{"FOLLOW UP REQUIRED","ACTION DUE TODAY","NO RESPONSE","DUE SOON"},0)*100000+IF(ISNUMBER($O89),$O89,IF(ISNUMBER($C89),$C89,0))+ROW()/10000)</f>
        <v/>
      </c>
      <c r="AI89" s="87">
        <f>IF(AND(ISNUMBER($AG89),$AG89&gt;=1,$AG89&lt;=6,$M89&lt;&gt;"Rejected",$M89&lt;&gt;"Withdrawn"),(10-$AG89)*100000+IF(ISNUMBER($C89),$C89,0)+ROW()/10000,"")</f>
        <v/>
      </c>
    </row>
    <row r="90">
      <c r="A90" s="80" t="n"/>
      <c r="B90" s="81" t="n"/>
      <c r="C90" s="81" t="n"/>
      <c r="D90" s="82" t="n"/>
      <c r="E90" s="82" t="n"/>
      <c r="F90" s="82" t="n"/>
      <c r="G90" s="82" t="n"/>
      <c r="H90" s="82" t="n"/>
      <c r="I90" s="83" t="n"/>
      <c r="J90" s="82" t="n"/>
      <c r="K90" s="84" t="n"/>
      <c r="L90" s="85" t="n"/>
      <c r="M90" s="82" t="n"/>
      <c r="N90" s="86" t="n"/>
      <c r="O90" s="81" t="n"/>
      <c r="P90" s="82" t="n"/>
      <c r="Q90" s="83" t="n"/>
      <c r="R90" s="82" t="n"/>
      <c r="S90" s="84" t="n"/>
      <c r="T90" s="84" t="n"/>
      <c r="U90" s="82" t="n"/>
      <c r="V90" s="86" t="n"/>
      <c r="W90" s="86" t="n"/>
      <c r="X90" s="86" t="n"/>
      <c r="Y90" s="81" t="n"/>
      <c r="Z90" s="82" t="n"/>
      <c r="AA90" s="81" t="n"/>
      <c r="AB90" s="82" t="n"/>
      <c r="AC90" s="87">
        <f>IF(OR($D90="",$M90="Rejected",$M90="Withdrawn",$M90="Accepted"),"",IF(ISNUMBER($O90),IF(INT($O90)&lt;TODAY(),"FOLLOW UP REQUIRED",IF(INT($O90)=TODAY(),"ACTION DUE TODAY",IF(INT($O90)-TODAY()&lt;=Set_DueSoonDays,"DUE SOON",""))),IF(AND($M90="Applied",$AA90=""),IF(ISNUMBER($C90),IF(TODAY()-$C90&gt;=Set_FollowUpDays,"NO RESPONSE",""),""),"")))</f>
        <v/>
      </c>
      <c r="AD90" s="87">
        <f>IF(ISNUMBER($L90),IF($L90&gt;=90,"Excellent Match",IF($L90&gt;=75,"Strong Match",IF($L90&gt;=60,"Moderate Match","Low Match"))),"")</f>
        <v/>
      </c>
      <c r="AE90" s="87">
        <f>IF($D90="","",IF(OR($M90="Rejected",$M90="Withdrawn"),IF($AB90&lt;&gt;"",$AB90,IF(OR($M90="Rejected",ISNUMBER($C90)),"Applied","Wishlist")),IF($M90="",IF(ISNUMBER($C90),"Applied","Wishlist"),$M90)))</f>
        <v/>
      </c>
      <c r="AF90" s="88">
        <f>IF(AND(ISNUMBER($C90),ISNUMBER($AA90)),$AA90-$C90,"")</f>
        <v/>
      </c>
      <c r="AG90" s="87">
        <f>IF($AE90="","",IFERROR(MATCH($AE90,{"Wishlist","Applied","Screening","Interview 1","Interview 2","Final","Offer","Accepted"},0)-1,""))</f>
        <v/>
      </c>
      <c r="AH90" s="87">
        <f>IF($AC90="","",MATCH($AC90,{"FOLLOW UP REQUIRED","ACTION DUE TODAY","NO RESPONSE","DUE SOON"},0)*100000+IF(ISNUMBER($O90),$O90,IF(ISNUMBER($C90),$C90,0))+ROW()/10000)</f>
        <v/>
      </c>
      <c r="AI90" s="87">
        <f>IF(AND(ISNUMBER($AG90),$AG90&gt;=1,$AG90&lt;=6,$M90&lt;&gt;"Rejected",$M90&lt;&gt;"Withdrawn"),(10-$AG90)*100000+IF(ISNUMBER($C90),$C90,0)+ROW()/10000,"")</f>
        <v/>
      </c>
    </row>
    <row r="91">
      <c r="A91" s="80" t="n"/>
      <c r="B91" s="81" t="n"/>
      <c r="C91" s="81" t="n"/>
      <c r="D91" s="82" t="n"/>
      <c r="E91" s="82" t="n"/>
      <c r="F91" s="82" t="n"/>
      <c r="G91" s="82" t="n"/>
      <c r="H91" s="82" t="n"/>
      <c r="I91" s="83" t="n"/>
      <c r="J91" s="82" t="n"/>
      <c r="K91" s="84" t="n"/>
      <c r="L91" s="85" t="n"/>
      <c r="M91" s="82" t="n"/>
      <c r="N91" s="86" t="n"/>
      <c r="O91" s="81" t="n"/>
      <c r="P91" s="82" t="n"/>
      <c r="Q91" s="83" t="n"/>
      <c r="R91" s="82" t="n"/>
      <c r="S91" s="84" t="n"/>
      <c r="T91" s="84" t="n"/>
      <c r="U91" s="82" t="n"/>
      <c r="V91" s="86" t="n"/>
      <c r="W91" s="86" t="n"/>
      <c r="X91" s="86" t="n"/>
      <c r="Y91" s="81" t="n"/>
      <c r="Z91" s="82" t="n"/>
      <c r="AA91" s="81" t="n"/>
      <c r="AB91" s="82" t="n"/>
      <c r="AC91" s="87">
        <f>IF(OR($D91="",$M91="Rejected",$M91="Withdrawn",$M91="Accepted"),"",IF(ISNUMBER($O91),IF(INT($O91)&lt;TODAY(),"FOLLOW UP REQUIRED",IF(INT($O91)=TODAY(),"ACTION DUE TODAY",IF(INT($O91)-TODAY()&lt;=Set_DueSoonDays,"DUE SOON",""))),IF(AND($M91="Applied",$AA91=""),IF(ISNUMBER($C91),IF(TODAY()-$C91&gt;=Set_FollowUpDays,"NO RESPONSE",""),""),"")))</f>
        <v/>
      </c>
      <c r="AD91" s="87">
        <f>IF(ISNUMBER($L91),IF($L91&gt;=90,"Excellent Match",IF($L91&gt;=75,"Strong Match",IF($L91&gt;=60,"Moderate Match","Low Match"))),"")</f>
        <v/>
      </c>
      <c r="AE91" s="87">
        <f>IF($D91="","",IF(OR($M91="Rejected",$M91="Withdrawn"),IF($AB91&lt;&gt;"",$AB91,IF(OR($M91="Rejected",ISNUMBER($C91)),"Applied","Wishlist")),IF($M91="",IF(ISNUMBER($C91),"Applied","Wishlist"),$M91)))</f>
        <v/>
      </c>
      <c r="AF91" s="88">
        <f>IF(AND(ISNUMBER($C91),ISNUMBER($AA91)),$AA91-$C91,"")</f>
        <v/>
      </c>
      <c r="AG91" s="87">
        <f>IF($AE91="","",IFERROR(MATCH($AE91,{"Wishlist","Applied","Screening","Interview 1","Interview 2","Final","Offer","Accepted"},0)-1,""))</f>
        <v/>
      </c>
      <c r="AH91" s="87">
        <f>IF($AC91="","",MATCH($AC91,{"FOLLOW UP REQUIRED","ACTION DUE TODAY","NO RESPONSE","DUE SOON"},0)*100000+IF(ISNUMBER($O91),$O91,IF(ISNUMBER($C91),$C91,0))+ROW()/10000)</f>
        <v/>
      </c>
      <c r="AI91" s="87">
        <f>IF(AND(ISNUMBER($AG91),$AG91&gt;=1,$AG91&lt;=6,$M91&lt;&gt;"Rejected",$M91&lt;&gt;"Withdrawn"),(10-$AG91)*100000+IF(ISNUMBER($C91),$C91,0)+ROW()/10000,"")</f>
        <v/>
      </c>
    </row>
    <row r="92">
      <c r="A92" s="80" t="n"/>
      <c r="B92" s="81" t="n"/>
      <c r="C92" s="81" t="n"/>
      <c r="D92" s="82" t="n"/>
      <c r="E92" s="82" t="n"/>
      <c r="F92" s="82" t="n"/>
      <c r="G92" s="82" t="n"/>
      <c r="H92" s="82" t="n"/>
      <c r="I92" s="83" t="n"/>
      <c r="J92" s="82" t="n"/>
      <c r="K92" s="84" t="n"/>
      <c r="L92" s="85" t="n"/>
      <c r="M92" s="82" t="n"/>
      <c r="N92" s="86" t="n"/>
      <c r="O92" s="81" t="n"/>
      <c r="P92" s="82" t="n"/>
      <c r="Q92" s="83" t="n"/>
      <c r="R92" s="82" t="n"/>
      <c r="S92" s="84" t="n"/>
      <c r="T92" s="84" t="n"/>
      <c r="U92" s="82" t="n"/>
      <c r="V92" s="86" t="n"/>
      <c r="W92" s="86" t="n"/>
      <c r="X92" s="86" t="n"/>
      <c r="Y92" s="81" t="n"/>
      <c r="Z92" s="82" t="n"/>
      <c r="AA92" s="81" t="n"/>
      <c r="AB92" s="82" t="n"/>
      <c r="AC92" s="87">
        <f>IF(OR($D92="",$M92="Rejected",$M92="Withdrawn",$M92="Accepted"),"",IF(ISNUMBER($O92),IF(INT($O92)&lt;TODAY(),"FOLLOW UP REQUIRED",IF(INT($O92)=TODAY(),"ACTION DUE TODAY",IF(INT($O92)-TODAY()&lt;=Set_DueSoonDays,"DUE SOON",""))),IF(AND($M92="Applied",$AA92=""),IF(ISNUMBER($C92),IF(TODAY()-$C92&gt;=Set_FollowUpDays,"NO RESPONSE",""),""),"")))</f>
        <v/>
      </c>
      <c r="AD92" s="87">
        <f>IF(ISNUMBER($L92),IF($L92&gt;=90,"Excellent Match",IF($L92&gt;=75,"Strong Match",IF($L92&gt;=60,"Moderate Match","Low Match"))),"")</f>
        <v/>
      </c>
      <c r="AE92" s="87">
        <f>IF($D92="","",IF(OR($M92="Rejected",$M92="Withdrawn"),IF($AB92&lt;&gt;"",$AB92,IF(OR($M92="Rejected",ISNUMBER($C92)),"Applied","Wishlist")),IF($M92="",IF(ISNUMBER($C92),"Applied","Wishlist"),$M92)))</f>
        <v/>
      </c>
      <c r="AF92" s="88">
        <f>IF(AND(ISNUMBER($C92),ISNUMBER($AA92)),$AA92-$C92,"")</f>
        <v/>
      </c>
      <c r="AG92" s="87">
        <f>IF($AE92="","",IFERROR(MATCH($AE92,{"Wishlist","Applied","Screening","Interview 1","Interview 2","Final","Offer","Accepted"},0)-1,""))</f>
        <v/>
      </c>
      <c r="AH92" s="87">
        <f>IF($AC92="","",MATCH($AC92,{"FOLLOW UP REQUIRED","ACTION DUE TODAY","NO RESPONSE","DUE SOON"},0)*100000+IF(ISNUMBER($O92),$O92,IF(ISNUMBER($C92),$C92,0))+ROW()/10000)</f>
        <v/>
      </c>
      <c r="AI92" s="87">
        <f>IF(AND(ISNUMBER($AG92),$AG92&gt;=1,$AG92&lt;=6,$M92&lt;&gt;"Rejected",$M92&lt;&gt;"Withdrawn"),(10-$AG92)*100000+IF(ISNUMBER($C92),$C92,0)+ROW()/10000,"")</f>
        <v/>
      </c>
    </row>
    <row r="93">
      <c r="A93" s="80" t="n"/>
      <c r="B93" s="81" t="n"/>
      <c r="C93" s="81" t="n"/>
      <c r="D93" s="82" t="n"/>
      <c r="E93" s="82" t="n"/>
      <c r="F93" s="82" t="n"/>
      <c r="G93" s="82" t="n"/>
      <c r="H93" s="82" t="n"/>
      <c r="I93" s="83" t="n"/>
      <c r="J93" s="82" t="n"/>
      <c r="K93" s="84" t="n"/>
      <c r="L93" s="85" t="n"/>
      <c r="M93" s="82" t="n"/>
      <c r="N93" s="86" t="n"/>
      <c r="O93" s="81" t="n"/>
      <c r="P93" s="82" t="n"/>
      <c r="Q93" s="83" t="n"/>
      <c r="R93" s="82" t="n"/>
      <c r="S93" s="84" t="n"/>
      <c r="T93" s="84" t="n"/>
      <c r="U93" s="82" t="n"/>
      <c r="V93" s="86" t="n"/>
      <c r="W93" s="86" t="n"/>
      <c r="X93" s="86" t="n"/>
      <c r="Y93" s="81" t="n"/>
      <c r="Z93" s="82" t="n"/>
      <c r="AA93" s="81" t="n"/>
      <c r="AB93" s="82" t="n"/>
      <c r="AC93" s="87">
        <f>IF(OR($D93="",$M93="Rejected",$M93="Withdrawn",$M93="Accepted"),"",IF(ISNUMBER($O93),IF(INT($O93)&lt;TODAY(),"FOLLOW UP REQUIRED",IF(INT($O93)=TODAY(),"ACTION DUE TODAY",IF(INT($O93)-TODAY()&lt;=Set_DueSoonDays,"DUE SOON",""))),IF(AND($M93="Applied",$AA93=""),IF(ISNUMBER($C93),IF(TODAY()-$C93&gt;=Set_FollowUpDays,"NO RESPONSE",""),""),"")))</f>
        <v/>
      </c>
      <c r="AD93" s="87">
        <f>IF(ISNUMBER($L93),IF($L93&gt;=90,"Excellent Match",IF($L93&gt;=75,"Strong Match",IF($L93&gt;=60,"Moderate Match","Low Match"))),"")</f>
        <v/>
      </c>
      <c r="AE93" s="87">
        <f>IF($D93="","",IF(OR($M93="Rejected",$M93="Withdrawn"),IF($AB93&lt;&gt;"",$AB93,IF(OR($M93="Rejected",ISNUMBER($C93)),"Applied","Wishlist")),IF($M93="",IF(ISNUMBER($C93),"Applied","Wishlist"),$M93)))</f>
        <v/>
      </c>
      <c r="AF93" s="88">
        <f>IF(AND(ISNUMBER($C93),ISNUMBER($AA93)),$AA93-$C93,"")</f>
        <v/>
      </c>
      <c r="AG93" s="87">
        <f>IF($AE93="","",IFERROR(MATCH($AE93,{"Wishlist","Applied","Screening","Interview 1","Interview 2","Final","Offer","Accepted"},0)-1,""))</f>
        <v/>
      </c>
      <c r="AH93" s="87">
        <f>IF($AC93="","",MATCH($AC93,{"FOLLOW UP REQUIRED","ACTION DUE TODAY","NO RESPONSE","DUE SOON"},0)*100000+IF(ISNUMBER($O93),$O93,IF(ISNUMBER($C93),$C93,0))+ROW()/10000)</f>
        <v/>
      </c>
      <c r="AI93" s="87">
        <f>IF(AND(ISNUMBER($AG93),$AG93&gt;=1,$AG93&lt;=6,$M93&lt;&gt;"Rejected",$M93&lt;&gt;"Withdrawn"),(10-$AG93)*100000+IF(ISNUMBER($C93),$C93,0)+ROW()/10000,"")</f>
        <v/>
      </c>
    </row>
    <row r="94">
      <c r="A94" s="80" t="n"/>
      <c r="B94" s="81" t="n"/>
      <c r="C94" s="81" t="n"/>
      <c r="D94" s="82" t="n"/>
      <c r="E94" s="82" t="n"/>
      <c r="F94" s="82" t="n"/>
      <c r="G94" s="82" t="n"/>
      <c r="H94" s="82" t="n"/>
      <c r="I94" s="83" t="n"/>
      <c r="J94" s="82" t="n"/>
      <c r="K94" s="84" t="n"/>
      <c r="L94" s="85" t="n"/>
      <c r="M94" s="82" t="n"/>
      <c r="N94" s="86" t="n"/>
      <c r="O94" s="81" t="n"/>
      <c r="P94" s="82" t="n"/>
      <c r="Q94" s="83" t="n"/>
      <c r="R94" s="82" t="n"/>
      <c r="S94" s="84" t="n"/>
      <c r="T94" s="84" t="n"/>
      <c r="U94" s="82" t="n"/>
      <c r="V94" s="86" t="n"/>
      <c r="W94" s="86" t="n"/>
      <c r="X94" s="86" t="n"/>
      <c r="Y94" s="81" t="n"/>
      <c r="Z94" s="82" t="n"/>
      <c r="AA94" s="81" t="n"/>
      <c r="AB94" s="82" t="n"/>
      <c r="AC94" s="87">
        <f>IF(OR($D94="",$M94="Rejected",$M94="Withdrawn",$M94="Accepted"),"",IF(ISNUMBER($O94),IF(INT($O94)&lt;TODAY(),"FOLLOW UP REQUIRED",IF(INT($O94)=TODAY(),"ACTION DUE TODAY",IF(INT($O94)-TODAY()&lt;=Set_DueSoonDays,"DUE SOON",""))),IF(AND($M94="Applied",$AA94=""),IF(ISNUMBER($C94),IF(TODAY()-$C94&gt;=Set_FollowUpDays,"NO RESPONSE",""),""),"")))</f>
        <v/>
      </c>
      <c r="AD94" s="87">
        <f>IF(ISNUMBER($L94),IF($L94&gt;=90,"Excellent Match",IF($L94&gt;=75,"Strong Match",IF($L94&gt;=60,"Moderate Match","Low Match"))),"")</f>
        <v/>
      </c>
      <c r="AE94" s="87">
        <f>IF($D94="","",IF(OR($M94="Rejected",$M94="Withdrawn"),IF($AB94&lt;&gt;"",$AB94,IF(OR($M94="Rejected",ISNUMBER($C94)),"Applied","Wishlist")),IF($M94="",IF(ISNUMBER($C94),"Applied","Wishlist"),$M94)))</f>
        <v/>
      </c>
      <c r="AF94" s="88">
        <f>IF(AND(ISNUMBER($C94),ISNUMBER($AA94)),$AA94-$C94,"")</f>
        <v/>
      </c>
      <c r="AG94" s="87">
        <f>IF($AE94="","",IFERROR(MATCH($AE94,{"Wishlist","Applied","Screening","Interview 1","Interview 2","Final","Offer","Accepted"},0)-1,""))</f>
        <v/>
      </c>
      <c r="AH94" s="87">
        <f>IF($AC94="","",MATCH($AC94,{"FOLLOW UP REQUIRED","ACTION DUE TODAY","NO RESPONSE","DUE SOON"},0)*100000+IF(ISNUMBER($O94),$O94,IF(ISNUMBER($C94),$C94,0))+ROW()/10000)</f>
        <v/>
      </c>
      <c r="AI94" s="87">
        <f>IF(AND(ISNUMBER($AG94),$AG94&gt;=1,$AG94&lt;=6,$M94&lt;&gt;"Rejected",$M94&lt;&gt;"Withdrawn"),(10-$AG94)*100000+IF(ISNUMBER($C94),$C94,0)+ROW()/10000,"")</f>
        <v/>
      </c>
    </row>
    <row r="95">
      <c r="A95" s="80" t="n"/>
      <c r="B95" s="81" t="n"/>
      <c r="C95" s="81" t="n"/>
      <c r="D95" s="82" t="n"/>
      <c r="E95" s="82" t="n"/>
      <c r="F95" s="82" t="n"/>
      <c r="G95" s="82" t="n"/>
      <c r="H95" s="82" t="n"/>
      <c r="I95" s="83" t="n"/>
      <c r="J95" s="82" t="n"/>
      <c r="K95" s="84" t="n"/>
      <c r="L95" s="85" t="n"/>
      <c r="M95" s="82" t="n"/>
      <c r="N95" s="86" t="n"/>
      <c r="O95" s="81" t="n"/>
      <c r="P95" s="82" t="n"/>
      <c r="Q95" s="83" t="n"/>
      <c r="R95" s="82" t="n"/>
      <c r="S95" s="84" t="n"/>
      <c r="T95" s="84" t="n"/>
      <c r="U95" s="82" t="n"/>
      <c r="V95" s="86" t="n"/>
      <c r="W95" s="86" t="n"/>
      <c r="X95" s="86" t="n"/>
      <c r="Y95" s="81" t="n"/>
      <c r="Z95" s="82" t="n"/>
      <c r="AA95" s="81" t="n"/>
      <c r="AB95" s="82" t="n"/>
      <c r="AC95" s="87">
        <f>IF(OR($D95="",$M95="Rejected",$M95="Withdrawn",$M95="Accepted"),"",IF(ISNUMBER($O95),IF(INT($O95)&lt;TODAY(),"FOLLOW UP REQUIRED",IF(INT($O95)=TODAY(),"ACTION DUE TODAY",IF(INT($O95)-TODAY()&lt;=Set_DueSoonDays,"DUE SOON",""))),IF(AND($M95="Applied",$AA95=""),IF(ISNUMBER($C95),IF(TODAY()-$C95&gt;=Set_FollowUpDays,"NO RESPONSE",""),""),"")))</f>
        <v/>
      </c>
      <c r="AD95" s="87">
        <f>IF(ISNUMBER($L95),IF($L95&gt;=90,"Excellent Match",IF($L95&gt;=75,"Strong Match",IF($L95&gt;=60,"Moderate Match","Low Match"))),"")</f>
        <v/>
      </c>
      <c r="AE95" s="87">
        <f>IF($D95="","",IF(OR($M95="Rejected",$M95="Withdrawn"),IF($AB95&lt;&gt;"",$AB95,IF(OR($M95="Rejected",ISNUMBER($C95)),"Applied","Wishlist")),IF($M95="",IF(ISNUMBER($C95),"Applied","Wishlist"),$M95)))</f>
        <v/>
      </c>
      <c r="AF95" s="88">
        <f>IF(AND(ISNUMBER($C95),ISNUMBER($AA95)),$AA95-$C95,"")</f>
        <v/>
      </c>
      <c r="AG95" s="87">
        <f>IF($AE95="","",IFERROR(MATCH($AE95,{"Wishlist","Applied","Screening","Interview 1","Interview 2","Final","Offer","Accepted"},0)-1,""))</f>
        <v/>
      </c>
      <c r="AH95" s="87">
        <f>IF($AC95="","",MATCH($AC95,{"FOLLOW UP REQUIRED","ACTION DUE TODAY","NO RESPONSE","DUE SOON"},0)*100000+IF(ISNUMBER($O95),$O95,IF(ISNUMBER($C95),$C95,0))+ROW()/10000)</f>
        <v/>
      </c>
      <c r="AI95" s="87">
        <f>IF(AND(ISNUMBER($AG95),$AG95&gt;=1,$AG95&lt;=6,$M95&lt;&gt;"Rejected",$M95&lt;&gt;"Withdrawn"),(10-$AG95)*100000+IF(ISNUMBER($C95),$C95,0)+ROW()/10000,"")</f>
        <v/>
      </c>
    </row>
    <row r="96">
      <c r="A96" s="80" t="n"/>
      <c r="B96" s="81" t="n"/>
      <c r="C96" s="81" t="n"/>
      <c r="D96" s="82" t="n"/>
      <c r="E96" s="82" t="n"/>
      <c r="F96" s="82" t="n"/>
      <c r="G96" s="82" t="n"/>
      <c r="H96" s="82" t="n"/>
      <c r="I96" s="83" t="n"/>
      <c r="J96" s="82" t="n"/>
      <c r="K96" s="84" t="n"/>
      <c r="L96" s="85" t="n"/>
      <c r="M96" s="82" t="n"/>
      <c r="N96" s="86" t="n"/>
      <c r="O96" s="81" t="n"/>
      <c r="P96" s="82" t="n"/>
      <c r="Q96" s="83" t="n"/>
      <c r="R96" s="82" t="n"/>
      <c r="S96" s="84" t="n"/>
      <c r="T96" s="84" t="n"/>
      <c r="U96" s="82" t="n"/>
      <c r="V96" s="86" t="n"/>
      <c r="W96" s="86" t="n"/>
      <c r="X96" s="86" t="n"/>
      <c r="Y96" s="81" t="n"/>
      <c r="Z96" s="82" t="n"/>
      <c r="AA96" s="81" t="n"/>
      <c r="AB96" s="82" t="n"/>
      <c r="AC96" s="87">
        <f>IF(OR($D96="",$M96="Rejected",$M96="Withdrawn",$M96="Accepted"),"",IF(ISNUMBER($O96),IF(INT($O96)&lt;TODAY(),"FOLLOW UP REQUIRED",IF(INT($O96)=TODAY(),"ACTION DUE TODAY",IF(INT($O96)-TODAY()&lt;=Set_DueSoonDays,"DUE SOON",""))),IF(AND($M96="Applied",$AA96=""),IF(ISNUMBER($C96),IF(TODAY()-$C96&gt;=Set_FollowUpDays,"NO RESPONSE",""),""),"")))</f>
        <v/>
      </c>
      <c r="AD96" s="87">
        <f>IF(ISNUMBER($L96),IF($L96&gt;=90,"Excellent Match",IF($L96&gt;=75,"Strong Match",IF($L96&gt;=60,"Moderate Match","Low Match"))),"")</f>
        <v/>
      </c>
      <c r="AE96" s="87">
        <f>IF($D96="","",IF(OR($M96="Rejected",$M96="Withdrawn"),IF($AB96&lt;&gt;"",$AB96,IF(OR($M96="Rejected",ISNUMBER($C96)),"Applied","Wishlist")),IF($M96="",IF(ISNUMBER($C96),"Applied","Wishlist"),$M96)))</f>
        <v/>
      </c>
      <c r="AF96" s="88">
        <f>IF(AND(ISNUMBER($C96),ISNUMBER($AA96)),$AA96-$C96,"")</f>
        <v/>
      </c>
      <c r="AG96" s="87">
        <f>IF($AE96="","",IFERROR(MATCH($AE96,{"Wishlist","Applied","Screening","Interview 1","Interview 2","Final","Offer","Accepted"},0)-1,""))</f>
        <v/>
      </c>
      <c r="AH96" s="87">
        <f>IF($AC96="","",MATCH($AC96,{"FOLLOW UP REQUIRED","ACTION DUE TODAY","NO RESPONSE","DUE SOON"},0)*100000+IF(ISNUMBER($O96),$O96,IF(ISNUMBER($C96),$C96,0))+ROW()/10000)</f>
        <v/>
      </c>
      <c r="AI96" s="87">
        <f>IF(AND(ISNUMBER($AG96),$AG96&gt;=1,$AG96&lt;=6,$M96&lt;&gt;"Rejected",$M96&lt;&gt;"Withdrawn"),(10-$AG96)*100000+IF(ISNUMBER($C96),$C96,0)+ROW()/10000,"")</f>
        <v/>
      </c>
    </row>
    <row r="97">
      <c r="A97" s="80" t="n"/>
      <c r="B97" s="81" t="n"/>
      <c r="C97" s="81" t="n"/>
      <c r="D97" s="82" t="n"/>
      <c r="E97" s="82" t="n"/>
      <c r="F97" s="82" t="n"/>
      <c r="G97" s="82" t="n"/>
      <c r="H97" s="82" t="n"/>
      <c r="I97" s="83" t="n"/>
      <c r="J97" s="82" t="n"/>
      <c r="K97" s="84" t="n"/>
      <c r="L97" s="85" t="n"/>
      <c r="M97" s="82" t="n"/>
      <c r="N97" s="86" t="n"/>
      <c r="O97" s="81" t="n"/>
      <c r="P97" s="82" t="n"/>
      <c r="Q97" s="83" t="n"/>
      <c r="R97" s="82" t="n"/>
      <c r="S97" s="84" t="n"/>
      <c r="T97" s="84" t="n"/>
      <c r="U97" s="82" t="n"/>
      <c r="V97" s="86" t="n"/>
      <c r="W97" s="86" t="n"/>
      <c r="X97" s="86" t="n"/>
      <c r="Y97" s="81" t="n"/>
      <c r="Z97" s="82" t="n"/>
      <c r="AA97" s="81" t="n"/>
      <c r="AB97" s="82" t="n"/>
      <c r="AC97" s="87">
        <f>IF(OR($D97="",$M97="Rejected",$M97="Withdrawn",$M97="Accepted"),"",IF(ISNUMBER($O97),IF(INT($O97)&lt;TODAY(),"FOLLOW UP REQUIRED",IF(INT($O97)=TODAY(),"ACTION DUE TODAY",IF(INT($O97)-TODAY()&lt;=Set_DueSoonDays,"DUE SOON",""))),IF(AND($M97="Applied",$AA97=""),IF(ISNUMBER($C97),IF(TODAY()-$C97&gt;=Set_FollowUpDays,"NO RESPONSE",""),""),"")))</f>
        <v/>
      </c>
      <c r="AD97" s="87">
        <f>IF(ISNUMBER($L97),IF($L97&gt;=90,"Excellent Match",IF($L97&gt;=75,"Strong Match",IF($L97&gt;=60,"Moderate Match","Low Match"))),"")</f>
        <v/>
      </c>
      <c r="AE97" s="87">
        <f>IF($D97="","",IF(OR($M97="Rejected",$M97="Withdrawn"),IF($AB97&lt;&gt;"",$AB97,IF(OR($M97="Rejected",ISNUMBER($C97)),"Applied","Wishlist")),IF($M97="",IF(ISNUMBER($C97),"Applied","Wishlist"),$M97)))</f>
        <v/>
      </c>
      <c r="AF97" s="88">
        <f>IF(AND(ISNUMBER($C97),ISNUMBER($AA97)),$AA97-$C97,"")</f>
        <v/>
      </c>
      <c r="AG97" s="87">
        <f>IF($AE97="","",IFERROR(MATCH($AE97,{"Wishlist","Applied","Screening","Interview 1","Interview 2","Final","Offer","Accepted"},0)-1,""))</f>
        <v/>
      </c>
      <c r="AH97" s="87">
        <f>IF($AC97="","",MATCH($AC97,{"FOLLOW UP REQUIRED","ACTION DUE TODAY","NO RESPONSE","DUE SOON"},0)*100000+IF(ISNUMBER($O97),$O97,IF(ISNUMBER($C97),$C97,0))+ROW()/10000)</f>
        <v/>
      </c>
      <c r="AI97" s="87">
        <f>IF(AND(ISNUMBER($AG97),$AG97&gt;=1,$AG97&lt;=6,$M97&lt;&gt;"Rejected",$M97&lt;&gt;"Withdrawn"),(10-$AG97)*100000+IF(ISNUMBER($C97),$C97,0)+ROW()/10000,"")</f>
        <v/>
      </c>
    </row>
    <row r="98">
      <c r="A98" s="80" t="n"/>
      <c r="B98" s="81" t="n"/>
      <c r="C98" s="81" t="n"/>
      <c r="D98" s="82" t="n"/>
      <c r="E98" s="82" t="n"/>
      <c r="F98" s="82" t="n"/>
      <c r="G98" s="82" t="n"/>
      <c r="H98" s="82" t="n"/>
      <c r="I98" s="83" t="n"/>
      <c r="J98" s="82" t="n"/>
      <c r="K98" s="84" t="n"/>
      <c r="L98" s="85" t="n"/>
      <c r="M98" s="82" t="n"/>
      <c r="N98" s="86" t="n"/>
      <c r="O98" s="81" t="n"/>
      <c r="P98" s="82" t="n"/>
      <c r="Q98" s="83" t="n"/>
      <c r="R98" s="82" t="n"/>
      <c r="S98" s="84" t="n"/>
      <c r="T98" s="84" t="n"/>
      <c r="U98" s="82" t="n"/>
      <c r="V98" s="86" t="n"/>
      <c r="W98" s="86" t="n"/>
      <c r="X98" s="86" t="n"/>
      <c r="Y98" s="81" t="n"/>
      <c r="Z98" s="82" t="n"/>
      <c r="AA98" s="81" t="n"/>
      <c r="AB98" s="82" t="n"/>
      <c r="AC98" s="87">
        <f>IF(OR($D98="",$M98="Rejected",$M98="Withdrawn",$M98="Accepted"),"",IF(ISNUMBER($O98),IF(INT($O98)&lt;TODAY(),"FOLLOW UP REQUIRED",IF(INT($O98)=TODAY(),"ACTION DUE TODAY",IF(INT($O98)-TODAY()&lt;=Set_DueSoonDays,"DUE SOON",""))),IF(AND($M98="Applied",$AA98=""),IF(ISNUMBER($C98),IF(TODAY()-$C98&gt;=Set_FollowUpDays,"NO RESPONSE",""),""),"")))</f>
        <v/>
      </c>
      <c r="AD98" s="87">
        <f>IF(ISNUMBER($L98),IF($L98&gt;=90,"Excellent Match",IF($L98&gt;=75,"Strong Match",IF($L98&gt;=60,"Moderate Match","Low Match"))),"")</f>
        <v/>
      </c>
      <c r="AE98" s="87">
        <f>IF($D98="","",IF(OR($M98="Rejected",$M98="Withdrawn"),IF($AB98&lt;&gt;"",$AB98,IF(OR($M98="Rejected",ISNUMBER($C98)),"Applied","Wishlist")),IF($M98="",IF(ISNUMBER($C98),"Applied","Wishlist"),$M98)))</f>
        <v/>
      </c>
      <c r="AF98" s="88">
        <f>IF(AND(ISNUMBER($C98),ISNUMBER($AA98)),$AA98-$C98,"")</f>
        <v/>
      </c>
      <c r="AG98" s="87">
        <f>IF($AE98="","",IFERROR(MATCH($AE98,{"Wishlist","Applied","Screening","Interview 1","Interview 2","Final","Offer","Accepted"},0)-1,""))</f>
        <v/>
      </c>
      <c r="AH98" s="87">
        <f>IF($AC98="","",MATCH($AC98,{"FOLLOW UP REQUIRED","ACTION DUE TODAY","NO RESPONSE","DUE SOON"},0)*100000+IF(ISNUMBER($O98),$O98,IF(ISNUMBER($C98),$C98,0))+ROW()/10000)</f>
        <v/>
      </c>
      <c r="AI98" s="87">
        <f>IF(AND(ISNUMBER($AG98),$AG98&gt;=1,$AG98&lt;=6,$M98&lt;&gt;"Rejected",$M98&lt;&gt;"Withdrawn"),(10-$AG98)*100000+IF(ISNUMBER($C98),$C98,0)+ROW()/10000,"")</f>
        <v/>
      </c>
    </row>
    <row r="99">
      <c r="A99" s="80" t="n"/>
      <c r="B99" s="81" t="n"/>
      <c r="C99" s="81" t="n"/>
      <c r="D99" s="82" t="n"/>
      <c r="E99" s="82" t="n"/>
      <c r="F99" s="82" t="n"/>
      <c r="G99" s="82" t="n"/>
      <c r="H99" s="82" t="n"/>
      <c r="I99" s="83" t="n"/>
      <c r="J99" s="82" t="n"/>
      <c r="K99" s="84" t="n"/>
      <c r="L99" s="85" t="n"/>
      <c r="M99" s="82" t="n"/>
      <c r="N99" s="86" t="n"/>
      <c r="O99" s="81" t="n"/>
      <c r="P99" s="82" t="n"/>
      <c r="Q99" s="83" t="n"/>
      <c r="R99" s="82" t="n"/>
      <c r="S99" s="84" t="n"/>
      <c r="T99" s="84" t="n"/>
      <c r="U99" s="82" t="n"/>
      <c r="V99" s="86" t="n"/>
      <c r="W99" s="86" t="n"/>
      <c r="X99" s="86" t="n"/>
      <c r="Y99" s="81" t="n"/>
      <c r="Z99" s="82" t="n"/>
      <c r="AA99" s="81" t="n"/>
      <c r="AB99" s="82" t="n"/>
      <c r="AC99" s="87">
        <f>IF(OR($D99="",$M99="Rejected",$M99="Withdrawn",$M99="Accepted"),"",IF(ISNUMBER($O99),IF(INT($O99)&lt;TODAY(),"FOLLOW UP REQUIRED",IF(INT($O99)=TODAY(),"ACTION DUE TODAY",IF(INT($O99)-TODAY()&lt;=Set_DueSoonDays,"DUE SOON",""))),IF(AND($M99="Applied",$AA99=""),IF(ISNUMBER($C99),IF(TODAY()-$C99&gt;=Set_FollowUpDays,"NO RESPONSE",""),""),"")))</f>
        <v/>
      </c>
      <c r="AD99" s="87">
        <f>IF(ISNUMBER($L99),IF($L99&gt;=90,"Excellent Match",IF($L99&gt;=75,"Strong Match",IF($L99&gt;=60,"Moderate Match","Low Match"))),"")</f>
        <v/>
      </c>
      <c r="AE99" s="87">
        <f>IF($D99="","",IF(OR($M99="Rejected",$M99="Withdrawn"),IF($AB99&lt;&gt;"",$AB99,IF(OR($M99="Rejected",ISNUMBER($C99)),"Applied","Wishlist")),IF($M99="",IF(ISNUMBER($C99),"Applied","Wishlist"),$M99)))</f>
        <v/>
      </c>
      <c r="AF99" s="88">
        <f>IF(AND(ISNUMBER($C99),ISNUMBER($AA99)),$AA99-$C99,"")</f>
        <v/>
      </c>
      <c r="AG99" s="87">
        <f>IF($AE99="","",IFERROR(MATCH($AE99,{"Wishlist","Applied","Screening","Interview 1","Interview 2","Final","Offer","Accepted"},0)-1,""))</f>
        <v/>
      </c>
      <c r="AH99" s="87">
        <f>IF($AC99="","",MATCH($AC99,{"FOLLOW UP REQUIRED","ACTION DUE TODAY","NO RESPONSE","DUE SOON"},0)*100000+IF(ISNUMBER($O99),$O99,IF(ISNUMBER($C99),$C99,0))+ROW()/10000)</f>
        <v/>
      </c>
      <c r="AI99" s="87">
        <f>IF(AND(ISNUMBER($AG99),$AG99&gt;=1,$AG99&lt;=6,$M99&lt;&gt;"Rejected",$M99&lt;&gt;"Withdrawn"),(10-$AG99)*100000+IF(ISNUMBER($C99),$C99,0)+ROW()/10000,"")</f>
        <v/>
      </c>
    </row>
    <row r="100">
      <c r="A100" s="80" t="n"/>
      <c r="B100" s="81" t="n"/>
      <c r="C100" s="81" t="n"/>
      <c r="D100" s="82" t="n"/>
      <c r="E100" s="82" t="n"/>
      <c r="F100" s="82" t="n"/>
      <c r="G100" s="82" t="n"/>
      <c r="H100" s="82" t="n"/>
      <c r="I100" s="83" t="n"/>
      <c r="J100" s="82" t="n"/>
      <c r="K100" s="84" t="n"/>
      <c r="L100" s="85" t="n"/>
      <c r="M100" s="82" t="n"/>
      <c r="N100" s="86" t="n"/>
      <c r="O100" s="81" t="n"/>
      <c r="P100" s="82" t="n"/>
      <c r="Q100" s="83" t="n"/>
      <c r="R100" s="82" t="n"/>
      <c r="S100" s="84" t="n"/>
      <c r="T100" s="84" t="n"/>
      <c r="U100" s="82" t="n"/>
      <c r="V100" s="86" t="n"/>
      <c r="W100" s="86" t="n"/>
      <c r="X100" s="86" t="n"/>
      <c r="Y100" s="81" t="n"/>
      <c r="Z100" s="82" t="n"/>
      <c r="AA100" s="81" t="n"/>
      <c r="AB100" s="82" t="n"/>
      <c r="AC100" s="87">
        <f>IF(OR($D100="",$M100="Rejected",$M100="Withdrawn",$M100="Accepted"),"",IF(ISNUMBER($O100),IF(INT($O100)&lt;TODAY(),"FOLLOW UP REQUIRED",IF(INT($O100)=TODAY(),"ACTION DUE TODAY",IF(INT($O100)-TODAY()&lt;=Set_DueSoonDays,"DUE SOON",""))),IF(AND($M100="Applied",$AA100=""),IF(ISNUMBER($C100),IF(TODAY()-$C100&gt;=Set_FollowUpDays,"NO RESPONSE",""),""),"")))</f>
        <v/>
      </c>
      <c r="AD100" s="87">
        <f>IF(ISNUMBER($L100),IF($L100&gt;=90,"Excellent Match",IF($L100&gt;=75,"Strong Match",IF($L100&gt;=60,"Moderate Match","Low Match"))),"")</f>
        <v/>
      </c>
      <c r="AE100" s="87">
        <f>IF($D100="","",IF(OR($M100="Rejected",$M100="Withdrawn"),IF($AB100&lt;&gt;"",$AB100,IF(OR($M100="Rejected",ISNUMBER($C100)),"Applied","Wishlist")),IF($M100="",IF(ISNUMBER($C100),"Applied","Wishlist"),$M100)))</f>
        <v/>
      </c>
      <c r="AF100" s="88">
        <f>IF(AND(ISNUMBER($C100),ISNUMBER($AA100)),$AA100-$C100,"")</f>
        <v/>
      </c>
      <c r="AG100" s="87">
        <f>IF($AE100="","",IFERROR(MATCH($AE100,{"Wishlist","Applied","Screening","Interview 1","Interview 2","Final","Offer","Accepted"},0)-1,""))</f>
        <v/>
      </c>
      <c r="AH100" s="87">
        <f>IF($AC100="","",MATCH($AC100,{"FOLLOW UP REQUIRED","ACTION DUE TODAY","NO RESPONSE","DUE SOON"},0)*100000+IF(ISNUMBER($O100),$O100,IF(ISNUMBER($C100),$C100,0))+ROW()/10000)</f>
        <v/>
      </c>
      <c r="AI100" s="87">
        <f>IF(AND(ISNUMBER($AG100),$AG100&gt;=1,$AG100&lt;=6,$M100&lt;&gt;"Rejected",$M100&lt;&gt;"Withdrawn"),(10-$AG100)*100000+IF(ISNUMBER($C100),$C100,0)+ROW()/10000,"")</f>
        <v/>
      </c>
    </row>
    <row r="101">
      <c r="A101" s="80" t="n"/>
      <c r="B101" s="81" t="n"/>
      <c r="C101" s="81" t="n"/>
      <c r="D101" s="82" t="n"/>
      <c r="E101" s="82" t="n"/>
      <c r="F101" s="82" t="n"/>
      <c r="G101" s="82" t="n"/>
      <c r="H101" s="82" t="n"/>
      <c r="I101" s="83" t="n"/>
      <c r="J101" s="82" t="n"/>
      <c r="K101" s="84" t="n"/>
      <c r="L101" s="85" t="n"/>
      <c r="M101" s="82" t="n"/>
      <c r="N101" s="86" t="n"/>
      <c r="O101" s="81" t="n"/>
      <c r="P101" s="82" t="n"/>
      <c r="Q101" s="83" t="n"/>
      <c r="R101" s="82" t="n"/>
      <c r="S101" s="84" t="n"/>
      <c r="T101" s="84" t="n"/>
      <c r="U101" s="82" t="n"/>
      <c r="V101" s="86" t="n"/>
      <c r="W101" s="86" t="n"/>
      <c r="X101" s="86" t="n"/>
      <c r="Y101" s="81" t="n"/>
      <c r="Z101" s="82" t="n"/>
      <c r="AA101" s="81" t="n"/>
      <c r="AB101" s="82" t="n"/>
      <c r="AC101" s="87">
        <f>IF(OR($D101="",$M101="Rejected",$M101="Withdrawn",$M101="Accepted"),"",IF(ISNUMBER($O101),IF(INT($O101)&lt;TODAY(),"FOLLOW UP REQUIRED",IF(INT($O101)=TODAY(),"ACTION DUE TODAY",IF(INT($O101)-TODAY()&lt;=Set_DueSoonDays,"DUE SOON",""))),IF(AND($M101="Applied",$AA101=""),IF(ISNUMBER($C101),IF(TODAY()-$C101&gt;=Set_FollowUpDays,"NO RESPONSE",""),""),"")))</f>
        <v/>
      </c>
      <c r="AD101" s="87">
        <f>IF(ISNUMBER($L101),IF($L101&gt;=90,"Excellent Match",IF($L101&gt;=75,"Strong Match",IF($L101&gt;=60,"Moderate Match","Low Match"))),"")</f>
        <v/>
      </c>
      <c r="AE101" s="87">
        <f>IF($D101="","",IF(OR($M101="Rejected",$M101="Withdrawn"),IF($AB101&lt;&gt;"",$AB101,IF(OR($M101="Rejected",ISNUMBER($C101)),"Applied","Wishlist")),IF($M101="",IF(ISNUMBER($C101),"Applied","Wishlist"),$M101)))</f>
        <v/>
      </c>
      <c r="AF101" s="88">
        <f>IF(AND(ISNUMBER($C101),ISNUMBER($AA101)),$AA101-$C101,"")</f>
        <v/>
      </c>
      <c r="AG101" s="87">
        <f>IF($AE101="","",IFERROR(MATCH($AE101,{"Wishlist","Applied","Screening","Interview 1","Interview 2","Final","Offer","Accepted"},0)-1,""))</f>
        <v/>
      </c>
      <c r="AH101" s="87">
        <f>IF($AC101="","",MATCH($AC101,{"FOLLOW UP REQUIRED","ACTION DUE TODAY","NO RESPONSE","DUE SOON"},0)*100000+IF(ISNUMBER($O101),$O101,IF(ISNUMBER($C101),$C101,0))+ROW()/10000)</f>
        <v/>
      </c>
      <c r="AI101" s="87">
        <f>IF(AND(ISNUMBER($AG101),$AG101&gt;=1,$AG101&lt;=6,$M101&lt;&gt;"Rejected",$M101&lt;&gt;"Withdrawn"),(10-$AG101)*100000+IF(ISNUMBER($C101),$C101,0)+ROW()/10000,"")</f>
        <v/>
      </c>
    </row>
    <row r="102">
      <c r="A102" s="80" t="n"/>
      <c r="B102" s="81" t="n"/>
      <c r="C102" s="81" t="n"/>
      <c r="D102" s="82" t="n"/>
      <c r="E102" s="82" t="n"/>
      <c r="F102" s="82" t="n"/>
      <c r="G102" s="82" t="n"/>
      <c r="H102" s="82" t="n"/>
      <c r="I102" s="83" t="n"/>
      <c r="J102" s="82" t="n"/>
      <c r="K102" s="84" t="n"/>
      <c r="L102" s="85" t="n"/>
      <c r="M102" s="82" t="n"/>
      <c r="N102" s="86" t="n"/>
      <c r="O102" s="81" t="n"/>
      <c r="P102" s="82" t="n"/>
      <c r="Q102" s="83" t="n"/>
      <c r="R102" s="82" t="n"/>
      <c r="S102" s="84" t="n"/>
      <c r="T102" s="84" t="n"/>
      <c r="U102" s="82" t="n"/>
      <c r="V102" s="86" t="n"/>
      <c r="W102" s="86" t="n"/>
      <c r="X102" s="86" t="n"/>
      <c r="Y102" s="81" t="n"/>
      <c r="Z102" s="82" t="n"/>
      <c r="AA102" s="81" t="n"/>
      <c r="AB102" s="82" t="n"/>
      <c r="AC102" s="87">
        <f>IF(OR($D102="",$M102="Rejected",$M102="Withdrawn",$M102="Accepted"),"",IF(ISNUMBER($O102),IF(INT($O102)&lt;TODAY(),"FOLLOW UP REQUIRED",IF(INT($O102)=TODAY(),"ACTION DUE TODAY",IF(INT($O102)-TODAY()&lt;=Set_DueSoonDays,"DUE SOON",""))),IF(AND($M102="Applied",$AA102=""),IF(ISNUMBER($C102),IF(TODAY()-$C102&gt;=Set_FollowUpDays,"NO RESPONSE",""),""),"")))</f>
        <v/>
      </c>
      <c r="AD102" s="87">
        <f>IF(ISNUMBER($L102),IF($L102&gt;=90,"Excellent Match",IF($L102&gt;=75,"Strong Match",IF($L102&gt;=60,"Moderate Match","Low Match"))),"")</f>
        <v/>
      </c>
      <c r="AE102" s="87">
        <f>IF($D102="","",IF(OR($M102="Rejected",$M102="Withdrawn"),IF($AB102&lt;&gt;"",$AB102,IF(OR($M102="Rejected",ISNUMBER($C102)),"Applied","Wishlist")),IF($M102="",IF(ISNUMBER($C102),"Applied","Wishlist"),$M102)))</f>
        <v/>
      </c>
      <c r="AF102" s="88">
        <f>IF(AND(ISNUMBER($C102),ISNUMBER($AA102)),$AA102-$C102,"")</f>
        <v/>
      </c>
      <c r="AG102" s="87">
        <f>IF($AE102="","",IFERROR(MATCH($AE102,{"Wishlist","Applied","Screening","Interview 1","Interview 2","Final","Offer","Accepted"},0)-1,""))</f>
        <v/>
      </c>
      <c r="AH102" s="87">
        <f>IF($AC102="","",MATCH($AC102,{"FOLLOW UP REQUIRED","ACTION DUE TODAY","NO RESPONSE","DUE SOON"},0)*100000+IF(ISNUMBER($O102),$O102,IF(ISNUMBER($C102),$C102,0))+ROW()/10000)</f>
        <v/>
      </c>
      <c r="AI102" s="87">
        <f>IF(AND(ISNUMBER($AG102),$AG102&gt;=1,$AG102&lt;=6,$M102&lt;&gt;"Rejected",$M102&lt;&gt;"Withdrawn"),(10-$AG102)*100000+IF(ISNUMBER($C102),$C102,0)+ROW()/10000,"")</f>
        <v/>
      </c>
    </row>
    <row r="103">
      <c r="A103" s="80" t="n"/>
      <c r="B103" s="81" t="n"/>
      <c r="C103" s="81" t="n"/>
      <c r="D103" s="82" t="n"/>
      <c r="E103" s="82" t="n"/>
      <c r="F103" s="82" t="n"/>
      <c r="G103" s="82" t="n"/>
      <c r="H103" s="82" t="n"/>
      <c r="I103" s="83" t="n"/>
      <c r="J103" s="82" t="n"/>
      <c r="K103" s="84" t="n"/>
      <c r="L103" s="85" t="n"/>
      <c r="M103" s="82" t="n"/>
      <c r="N103" s="86" t="n"/>
      <c r="O103" s="81" t="n"/>
      <c r="P103" s="82" t="n"/>
      <c r="Q103" s="83" t="n"/>
      <c r="R103" s="82" t="n"/>
      <c r="S103" s="84" t="n"/>
      <c r="T103" s="84" t="n"/>
      <c r="U103" s="82" t="n"/>
      <c r="V103" s="86" t="n"/>
      <c r="W103" s="86" t="n"/>
      <c r="X103" s="86" t="n"/>
      <c r="Y103" s="81" t="n"/>
      <c r="Z103" s="82" t="n"/>
      <c r="AA103" s="81" t="n"/>
      <c r="AB103" s="82" t="n"/>
      <c r="AC103" s="87">
        <f>IF(OR($D103="",$M103="Rejected",$M103="Withdrawn",$M103="Accepted"),"",IF(ISNUMBER($O103),IF(INT($O103)&lt;TODAY(),"FOLLOW UP REQUIRED",IF(INT($O103)=TODAY(),"ACTION DUE TODAY",IF(INT($O103)-TODAY()&lt;=Set_DueSoonDays,"DUE SOON",""))),IF(AND($M103="Applied",$AA103=""),IF(ISNUMBER($C103),IF(TODAY()-$C103&gt;=Set_FollowUpDays,"NO RESPONSE",""),""),"")))</f>
        <v/>
      </c>
      <c r="AD103" s="87">
        <f>IF(ISNUMBER($L103),IF($L103&gt;=90,"Excellent Match",IF($L103&gt;=75,"Strong Match",IF($L103&gt;=60,"Moderate Match","Low Match"))),"")</f>
        <v/>
      </c>
      <c r="AE103" s="87">
        <f>IF($D103="","",IF(OR($M103="Rejected",$M103="Withdrawn"),IF($AB103&lt;&gt;"",$AB103,IF(OR($M103="Rejected",ISNUMBER($C103)),"Applied","Wishlist")),IF($M103="",IF(ISNUMBER($C103),"Applied","Wishlist"),$M103)))</f>
        <v/>
      </c>
      <c r="AF103" s="88">
        <f>IF(AND(ISNUMBER($C103),ISNUMBER($AA103)),$AA103-$C103,"")</f>
        <v/>
      </c>
      <c r="AG103" s="87">
        <f>IF($AE103="","",IFERROR(MATCH($AE103,{"Wishlist","Applied","Screening","Interview 1","Interview 2","Final","Offer","Accepted"},0)-1,""))</f>
        <v/>
      </c>
      <c r="AH103" s="87">
        <f>IF($AC103="","",MATCH($AC103,{"FOLLOW UP REQUIRED","ACTION DUE TODAY","NO RESPONSE","DUE SOON"},0)*100000+IF(ISNUMBER($O103),$O103,IF(ISNUMBER($C103),$C103,0))+ROW()/10000)</f>
        <v/>
      </c>
      <c r="AI103" s="87">
        <f>IF(AND(ISNUMBER($AG103),$AG103&gt;=1,$AG103&lt;=6,$M103&lt;&gt;"Rejected",$M103&lt;&gt;"Withdrawn"),(10-$AG103)*100000+IF(ISNUMBER($C103),$C103,0)+ROW()/10000,"")</f>
        <v/>
      </c>
    </row>
    <row r="104">
      <c r="A104" s="80" t="n"/>
      <c r="B104" s="81" t="n"/>
      <c r="C104" s="81" t="n"/>
      <c r="D104" s="82" t="n"/>
      <c r="E104" s="82" t="n"/>
      <c r="F104" s="82" t="n"/>
      <c r="G104" s="82" t="n"/>
      <c r="H104" s="82" t="n"/>
      <c r="I104" s="83" t="n"/>
      <c r="J104" s="82" t="n"/>
      <c r="K104" s="84" t="n"/>
      <c r="L104" s="85" t="n"/>
      <c r="M104" s="82" t="n"/>
      <c r="N104" s="86" t="n"/>
      <c r="O104" s="81" t="n"/>
      <c r="P104" s="82" t="n"/>
      <c r="Q104" s="83" t="n"/>
      <c r="R104" s="82" t="n"/>
      <c r="S104" s="84" t="n"/>
      <c r="T104" s="84" t="n"/>
      <c r="U104" s="82" t="n"/>
      <c r="V104" s="86" t="n"/>
      <c r="W104" s="86" t="n"/>
      <c r="X104" s="86" t="n"/>
      <c r="Y104" s="81" t="n"/>
      <c r="Z104" s="82" t="n"/>
      <c r="AA104" s="81" t="n"/>
      <c r="AB104" s="82" t="n"/>
      <c r="AC104" s="87">
        <f>IF(OR($D104="",$M104="Rejected",$M104="Withdrawn",$M104="Accepted"),"",IF(ISNUMBER($O104),IF(INT($O104)&lt;TODAY(),"FOLLOW UP REQUIRED",IF(INT($O104)=TODAY(),"ACTION DUE TODAY",IF(INT($O104)-TODAY()&lt;=Set_DueSoonDays,"DUE SOON",""))),IF(AND($M104="Applied",$AA104=""),IF(ISNUMBER($C104),IF(TODAY()-$C104&gt;=Set_FollowUpDays,"NO RESPONSE",""),""),"")))</f>
        <v/>
      </c>
      <c r="AD104" s="87">
        <f>IF(ISNUMBER($L104),IF($L104&gt;=90,"Excellent Match",IF($L104&gt;=75,"Strong Match",IF($L104&gt;=60,"Moderate Match","Low Match"))),"")</f>
        <v/>
      </c>
      <c r="AE104" s="87">
        <f>IF($D104="","",IF(OR($M104="Rejected",$M104="Withdrawn"),IF($AB104&lt;&gt;"",$AB104,IF(OR($M104="Rejected",ISNUMBER($C104)),"Applied","Wishlist")),IF($M104="",IF(ISNUMBER($C104),"Applied","Wishlist"),$M104)))</f>
        <v/>
      </c>
      <c r="AF104" s="88">
        <f>IF(AND(ISNUMBER($C104),ISNUMBER($AA104)),$AA104-$C104,"")</f>
        <v/>
      </c>
      <c r="AG104" s="87">
        <f>IF($AE104="","",IFERROR(MATCH($AE104,{"Wishlist","Applied","Screening","Interview 1","Interview 2","Final","Offer","Accepted"},0)-1,""))</f>
        <v/>
      </c>
      <c r="AH104" s="87">
        <f>IF($AC104="","",MATCH($AC104,{"FOLLOW UP REQUIRED","ACTION DUE TODAY","NO RESPONSE","DUE SOON"},0)*100000+IF(ISNUMBER($O104),$O104,IF(ISNUMBER($C104),$C104,0))+ROW()/10000)</f>
        <v/>
      </c>
      <c r="AI104" s="87">
        <f>IF(AND(ISNUMBER($AG104),$AG104&gt;=1,$AG104&lt;=6,$M104&lt;&gt;"Rejected",$M104&lt;&gt;"Withdrawn"),(10-$AG104)*100000+IF(ISNUMBER($C104),$C104,0)+ROW()/10000,"")</f>
        <v/>
      </c>
    </row>
    <row r="105">
      <c r="A105" s="80" t="n"/>
      <c r="B105" s="81" t="n"/>
      <c r="C105" s="81" t="n"/>
      <c r="D105" s="82" t="n"/>
      <c r="E105" s="82" t="n"/>
      <c r="F105" s="82" t="n"/>
      <c r="G105" s="82" t="n"/>
      <c r="H105" s="82" t="n"/>
      <c r="I105" s="83" t="n"/>
      <c r="J105" s="82" t="n"/>
      <c r="K105" s="84" t="n"/>
      <c r="L105" s="85" t="n"/>
      <c r="M105" s="82" t="n"/>
      <c r="N105" s="86" t="n"/>
      <c r="O105" s="81" t="n"/>
      <c r="P105" s="82" t="n"/>
      <c r="Q105" s="83" t="n"/>
      <c r="R105" s="82" t="n"/>
      <c r="S105" s="84" t="n"/>
      <c r="T105" s="84" t="n"/>
      <c r="U105" s="82" t="n"/>
      <c r="V105" s="86" t="n"/>
      <c r="W105" s="86" t="n"/>
      <c r="X105" s="86" t="n"/>
      <c r="Y105" s="81" t="n"/>
      <c r="Z105" s="82" t="n"/>
      <c r="AA105" s="81" t="n"/>
      <c r="AB105" s="82" t="n"/>
      <c r="AC105" s="87">
        <f>IF(OR($D105="",$M105="Rejected",$M105="Withdrawn",$M105="Accepted"),"",IF(ISNUMBER($O105),IF(INT($O105)&lt;TODAY(),"FOLLOW UP REQUIRED",IF(INT($O105)=TODAY(),"ACTION DUE TODAY",IF(INT($O105)-TODAY()&lt;=Set_DueSoonDays,"DUE SOON",""))),IF(AND($M105="Applied",$AA105=""),IF(ISNUMBER($C105),IF(TODAY()-$C105&gt;=Set_FollowUpDays,"NO RESPONSE",""),""),"")))</f>
        <v/>
      </c>
      <c r="AD105" s="87">
        <f>IF(ISNUMBER($L105),IF($L105&gt;=90,"Excellent Match",IF($L105&gt;=75,"Strong Match",IF($L105&gt;=60,"Moderate Match","Low Match"))),"")</f>
        <v/>
      </c>
      <c r="AE105" s="87">
        <f>IF($D105="","",IF(OR($M105="Rejected",$M105="Withdrawn"),IF($AB105&lt;&gt;"",$AB105,IF(OR($M105="Rejected",ISNUMBER($C105)),"Applied","Wishlist")),IF($M105="",IF(ISNUMBER($C105),"Applied","Wishlist"),$M105)))</f>
        <v/>
      </c>
      <c r="AF105" s="88">
        <f>IF(AND(ISNUMBER($C105),ISNUMBER($AA105)),$AA105-$C105,"")</f>
        <v/>
      </c>
      <c r="AG105" s="87">
        <f>IF($AE105="","",IFERROR(MATCH($AE105,{"Wishlist","Applied","Screening","Interview 1","Interview 2","Final","Offer","Accepted"},0)-1,""))</f>
        <v/>
      </c>
      <c r="AH105" s="87">
        <f>IF($AC105="","",MATCH($AC105,{"FOLLOW UP REQUIRED","ACTION DUE TODAY","NO RESPONSE","DUE SOON"},0)*100000+IF(ISNUMBER($O105),$O105,IF(ISNUMBER($C105),$C105,0))+ROW()/10000)</f>
        <v/>
      </c>
      <c r="AI105" s="87">
        <f>IF(AND(ISNUMBER($AG105),$AG105&gt;=1,$AG105&lt;=6,$M105&lt;&gt;"Rejected",$M105&lt;&gt;"Withdrawn"),(10-$AG105)*100000+IF(ISNUMBER($C105),$C105,0)+ROW()/10000,"")</f>
        <v/>
      </c>
    </row>
    <row r="106">
      <c r="A106" s="80" t="n"/>
      <c r="B106" s="81" t="n"/>
      <c r="C106" s="81" t="n"/>
      <c r="D106" s="82" t="n"/>
      <c r="E106" s="82" t="n"/>
      <c r="F106" s="82" t="n"/>
      <c r="G106" s="82" t="n"/>
      <c r="H106" s="82" t="n"/>
      <c r="I106" s="83" t="n"/>
      <c r="J106" s="82" t="n"/>
      <c r="K106" s="84" t="n"/>
      <c r="L106" s="85" t="n"/>
      <c r="M106" s="82" t="n"/>
      <c r="N106" s="86" t="n"/>
      <c r="O106" s="81" t="n"/>
      <c r="P106" s="82" t="n"/>
      <c r="Q106" s="83" t="n"/>
      <c r="R106" s="82" t="n"/>
      <c r="S106" s="84" t="n"/>
      <c r="T106" s="84" t="n"/>
      <c r="U106" s="82" t="n"/>
      <c r="V106" s="86" t="n"/>
      <c r="W106" s="86" t="n"/>
      <c r="X106" s="86" t="n"/>
      <c r="Y106" s="81" t="n"/>
      <c r="Z106" s="82" t="n"/>
      <c r="AA106" s="81" t="n"/>
      <c r="AB106" s="82" t="n"/>
      <c r="AC106" s="87">
        <f>IF(OR($D106="",$M106="Rejected",$M106="Withdrawn",$M106="Accepted"),"",IF(ISNUMBER($O106),IF(INT($O106)&lt;TODAY(),"FOLLOW UP REQUIRED",IF(INT($O106)=TODAY(),"ACTION DUE TODAY",IF(INT($O106)-TODAY()&lt;=Set_DueSoonDays,"DUE SOON",""))),IF(AND($M106="Applied",$AA106=""),IF(ISNUMBER($C106),IF(TODAY()-$C106&gt;=Set_FollowUpDays,"NO RESPONSE",""),""),"")))</f>
        <v/>
      </c>
      <c r="AD106" s="87">
        <f>IF(ISNUMBER($L106),IF($L106&gt;=90,"Excellent Match",IF($L106&gt;=75,"Strong Match",IF($L106&gt;=60,"Moderate Match","Low Match"))),"")</f>
        <v/>
      </c>
      <c r="AE106" s="87">
        <f>IF($D106="","",IF(OR($M106="Rejected",$M106="Withdrawn"),IF($AB106&lt;&gt;"",$AB106,IF(OR($M106="Rejected",ISNUMBER($C106)),"Applied","Wishlist")),IF($M106="",IF(ISNUMBER($C106),"Applied","Wishlist"),$M106)))</f>
        <v/>
      </c>
      <c r="AF106" s="88">
        <f>IF(AND(ISNUMBER($C106),ISNUMBER($AA106)),$AA106-$C106,"")</f>
        <v/>
      </c>
      <c r="AG106" s="87">
        <f>IF($AE106="","",IFERROR(MATCH($AE106,{"Wishlist","Applied","Screening","Interview 1","Interview 2","Final","Offer","Accepted"},0)-1,""))</f>
        <v/>
      </c>
      <c r="AH106" s="87">
        <f>IF($AC106="","",MATCH($AC106,{"FOLLOW UP REQUIRED","ACTION DUE TODAY","NO RESPONSE","DUE SOON"},0)*100000+IF(ISNUMBER($O106),$O106,IF(ISNUMBER($C106),$C106,0))+ROW()/10000)</f>
        <v/>
      </c>
      <c r="AI106" s="87">
        <f>IF(AND(ISNUMBER($AG106),$AG106&gt;=1,$AG106&lt;=6,$M106&lt;&gt;"Rejected",$M106&lt;&gt;"Withdrawn"),(10-$AG106)*100000+IF(ISNUMBER($C106),$C106,0)+ROW()/10000,"")</f>
        <v/>
      </c>
    </row>
    <row r="107">
      <c r="A107" s="80" t="n"/>
      <c r="B107" s="81" t="n"/>
      <c r="C107" s="81" t="n"/>
      <c r="D107" s="82" t="n"/>
      <c r="E107" s="82" t="n"/>
      <c r="F107" s="82" t="n"/>
      <c r="G107" s="82" t="n"/>
      <c r="H107" s="82" t="n"/>
      <c r="I107" s="83" t="n"/>
      <c r="J107" s="82" t="n"/>
      <c r="K107" s="84" t="n"/>
      <c r="L107" s="85" t="n"/>
      <c r="M107" s="82" t="n"/>
      <c r="N107" s="86" t="n"/>
      <c r="O107" s="81" t="n"/>
      <c r="P107" s="82" t="n"/>
      <c r="Q107" s="83" t="n"/>
      <c r="R107" s="82" t="n"/>
      <c r="S107" s="84" t="n"/>
      <c r="T107" s="84" t="n"/>
      <c r="U107" s="82" t="n"/>
      <c r="V107" s="86" t="n"/>
      <c r="W107" s="86" t="n"/>
      <c r="X107" s="86" t="n"/>
      <c r="Y107" s="81" t="n"/>
      <c r="Z107" s="82" t="n"/>
      <c r="AA107" s="81" t="n"/>
      <c r="AB107" s="82" t="n"/>
      <c r="AC107" s="87">
        <f>IF(OR($D107="",$M107="Rejected",$M107="Withdrawn",$M107="Accepted"),"",IF(ISNUMBER($O107),IF(INT($O107)&lt;TODAY(),"FOLLOW UP REQUIRED",IF(INT($O107)=TODAY(),"ACTION DUE TODAY",IF(INT($O107)-TODAY()&lt;=Set_DueSoonDays,"DUE SOON",""))),IF(AND($M107="Applied",$AA107=""),IF(ISNUMBER($C107),IF(TODAY()-$C107&gt;=Set_FollowUpDays,"NO RESPONSE",""),""),"")))</f>
        <v/>
      </c>
      <c r="AD107" s="87">
        <f>IF(ISNUMBER($L107),IF($L107&gt;=90,"Excellent Match",IF($L107&gt;=75,"Strong Match",IF($L107&gt;=60,"Moderate Match","Low Match"))),"")</f>
        <v/>
      </c>
      <c r="AE107" s="87">
        <f>IF($D107="","",IF(OR($M107="Rejected",$M107="Withdrawn"),IF($AB107&lt;&gt;"",$AB107,IF(OR($M107="Rejected",ISNUMBER($C107)),"Applied","Wishlist")),IF($M107="",IF(ISNUMBER($C107),"Applied","Wishlist"),$M107)))</f>
        <v/>
      </c>
      <c r="AF107" s="88">
        <f>IF(AND(ISNUMBER($C107),ISNUMBER($AA107)),$AA107-$C107,"")</f>
        <v/>
      </c>
      <c r="AG107" s="87">
        <f>IF($AE107="","",IFERROR(MATCH($AE107,{"Wishlist","Applied","Screening","Interview 1","Interview 2","Final","Offer","Accepted"},0)-1,""))</f>
        <v/>
      </c>
      <c r="AH107" s="87">
        <f>IF($AC107="","",MATCH($AC107,{"FOLLOW UP REQUIRED","ACTION DUE TODAY","NO RESPONSE","DUE SOON"},0)*100000+IF(ISNUMBER($O107),$O107,IF(ISNUMBER($C107),$C107,0))+ROW()/10000)</f>
        <v/>
      </c>
      <c r="AI107" s="87">
        <f>IF(AND(ISNUMBER($AG107),$AG107&gt;=1,$AG107&lt;=6,$M107&lt;&gt;"Rejected",$M107&lt;&gt;"Withdrawn"),(10-$AG107)*100000+IF(ISNUMBER($C107),$C107,0)+ROW()/10000,"")</f>
        <v/>
      </c>
    </row>
    <row r="108">
      <c r="A108" s="80" t="n"/>
      <c r="B108" s="81" t="n"/>
      <c r="C108" s="81" t="n"/>
      <c r="D108" s="82" t="n"/>
      <c r="E108" s="82" t="n"/>
      <c r="F108" s="82" t="n"/>
      <c r="G108" s="82" t="n"/>
      <c r="H108" s="82" t="n"/>
      <c r="I108" s="83" t="n"/>
      <c r="J108" s="82" t="n"/>
      <c r="K108" s="84" t="n"/>
      <c r="L108" s="85" t="n"/>
      <c r="M108" s="82" t="n"/>
      <c r="N108" s="86" t="n"/>
      <c r="O108" s="81" t="n"/>
      <c r="P108" s="82" t="n"/>
      <c r="Q108" s="83" t="n"/>
      <c r="R108" s="82" t="n"/>
      <c r="S108" s="84" t="n"/>
      <c r="T108" s="84" t="n"/>
      <c r="U108" s="82" t="n"/>
      <c r="V108" s="86" t="n"/>
      <c r="W108" s="86" t="n"/>
      <c r="X108" s="86" t="n"/>
      <c r="Y108" s="81" t="n"/>
      <c r="Z108" s="82" t="n"/>
      <c r="AA108" s="81" t="n"/>
      <c r="AB108" s="82" t="n"/>
      <c r="AC108" s="87">
        <f>IF(OR($D108="",$M108="Rejected",$M108="Withdrawn",$M108="Accepted"),"",IF(ISNUMBER($O108),IF(INT($O108)&lt;TODAY(),"FOLLOW UP REQUIRED",IF(INT($O108)=TODAY(),"ACTION DUE TODAY",IF(INT($O108)-TODAY()&lt;=Set_DueSoonDays,"DUE SOON",""))),IF(AND($M108="Applied",$AA108=""),IF(ISNUMBER($C108),IF(TODAY()-$C108&gt;=Set_FollowUpDays,"NO RESPONSE",""),""),"")))</f>
        <v/>
      </c>
      <c r="AD108" s="87">
        <f>IF(ISNUMBER($L108),IF($L108&gt;=90,"Excellent Match",IF($L108&gt;=75,"Strong Match",IF($L108&gt;=60,"Moderate Match","Low Match"))),"")</f>
        <v/>
      </c>
      <c r="AE108" s="87">
        <f>IF($D108="","",IF(OR($M108="Rejected",$M108="Withdrawn"),IF($AB108&lt;&gt;"",$AB108,IF(OR($M108="Rejected",ISNUMBER($C108)),"Applied","Wishlist")),IF($M108="",IF(ISNUMBER($C108),"Applied","Wishlist"),$M108)))</f>
        <v/>
      </c>
      <c r="AF108" s="88">
        <f>IF(AND(ISNUMBER($C108),ISNUMBER($AA108)),$AA108-$C108,"")</f>
        <v/>
      </c>
      <c r="AG108" s="87">
        <f>IF($AE108="","",IFERROR(MATCH($AE108,{"Wishlist","Applied","Screening","Interview 1","Interview 2","Final","Offer","Accepted"},0)-1,""))</f>
        <v/>
      </c>
      <c r="AH108" s="87">
        <f>IF($AC108="","",MATCH($AC108,{"FOLLOW UP REQUIRED","ACTION DUE TODAY","NO RESPONSE","DUE SOON"},0)*100000+IF(ISNUMBER($O108),$O108,IF(ISNUMBER($C108),$C108,0))+ROW()/10000)</f>
        <v/>
      </c>
      <c r="AI108" s="87">
        <f>IF(AND(ISNUMBER($AG108),$AG108&gt;=1,$AG108&lt;=6,$M108&lt;&gt;"Rejected",$M108&lt;&gt;"Withdrawn"),(10-$AG108)*100000+IF(ISNUMBER($C108),$C108,0)+ROW()/10000,"")</f>
        <v/>
      </c>
    </row>
    <row r="109">
      <c r="A109" s="80" t="n"/>
      <c r="B109" s="81" t="n"/>
      <c r="C109" s="81" t="n"/>
      <c r="D109" s="82" t="n"/>
      <c r="E109" s="82" t="n"/>
      <c r="F109" s="82" t="n"/>
      <c r="G109" s="82" t="n"/>
      <c r="H109" s="82" t="n"/>
      <c r="I109" s="83" t="n"/>
      <c r="J109" s="82" t="n"/>
      <c r="K109" s="84" t="n"/>
      <c r="L109" s="85" t="n"/>
      <c r="M109" s="82" t="n"/>
      <c r="N109" s="86" t="n"/>
      <c r="O109" s="81" t="n"/>
      <c r="P109" s="82" t="n"/>
      <c r="Q109" s="83" t="n"/>
      <c r="R109" s="82" t="n"/>
      <c r="S109" s="84" t="n"/>
      <c r="T109" s="84" t="n"/>
      <c r="U109" s="82" t="n"/>
      <c r="V109" s="86" t="n"/>
      <c r="W109" s="86" t="n"/>
      <c r="X109" s="86" t="n"/>
      <c r="Y109" s="81" t="n"/>
      <c r="Z109" s="82" t="n"/>
      <c r="AA109" s="81" t="n"/>
      <c r="AB109" s="82" t="n"/>
      <c r="AC109" s="87">
        <f>IF(OR($D109="",$M109="Rejected",$M109="Withdrawn",$M109="Accepted"),"",IF(ISNUMBER($O109),IF(INT($O109)&lt;TODAY(),"FOLLOW UP REQUIRED",IF(INT($O109)=TODAY(),"ACTION DUE TODAY",IF(INT($O109)-TODAY()&lt;=Set_DueSoonDays,"DUE SOON",""))),IF(AND($M109="Applied",$AA109=""),IF(ISNUMBER($C109),IF(TODAY()-$C109&gt;=Set_FollowUpDays,"NO RESPONSE",""),""),"")))</f>
        <v/>
      </c>
      <c r="AD109" s="87">
        <f>IF(ISNUMBER($L109),IF($L109&gt;=90,"Excellent Match",IF($L109&gt;=75,"Strong Match",IF($L109&gt;=60,"Moderate Match","Low Match"))),"")</f>
        <v/>
      </c>
      <c r="AE109" s="87">
        <f>IF($D109="","",IF(OR($M109="Rejected",$M109="Withdrawn"),IF($AB109&lt;&gt;"",$AB109,IF(OR($M109="Rejected",ISNUMBER($C109)),"Applied","Wishlist")),IF($M109="",IF(ISNUMBER($C109),"Applied","Wishlist"),$M109)))</f>
        <v/>
      </c>
      <c r="AF109" s="88">
        <f>IF(AND(ISNUMBER($C109),ISNUMBER($AA109)),$AA109-$C109,"")</f>
        <v/>
      </c>
      <c r="AG109" s="87">
        <f>IF($AE109="","",IFERROR(MATCH($AE109,{"Wishlist","Applied","Screening","Interview 1","Interview 2","Final","Offer","Accepted"},0)-1,""))</f>
        <v/>
      </c>
      <c r="AH109" s="87">
        <f>IF($AC109="","",MATCH($AC109,{"FOLLOW UP REQUIRED","ACTION DUE TODAY","NO RESPONSE","DUE SOON"},0)*100000+IF(ISNUMBER($O109),$O109,IF(ISNUMBER($C109),$C109,0))+ROW()/10000)</f>
        <v/>
      </c>
      <c r="AI109" s="87">
        <f>IF(AND(ISNUMBER($AG109),$AG109&gt;=1,$AG109&lt;=6,$M109&lt;&gt;"Rejected",$M109&lt;&gt;"Withdrawn"),(10-$AG109)*100000+IF(ISNUMBER($C109),$C109,0)+ROW()/10000,"")</f>
        <v/>
      </c>
    </row>
    <row r="110">
      <c r="A110" s="80" t="n"/>
      <c r="B110" s="81" t="n"/>
      <c r="C110" s="81" t="n"/>
      <c r="D110" s="82" t="n"/>
      <c r="E110" s="82" t="n"/>
      <c r="F110" s="82" t="n"/>
      <c r="G110" s="82" t="n"/>
      <c r="H110" s="82" t="n"/>
      <c r="I110" s="83" t="n"/>
      <c r="J110" s="82" t="n"/>
      <c r="K110" s="84" t="n"/>
      <c r="L110" s="85" t="n"/>
      <c r="M110" s="82" t="n"/>
      <c r="N110" s="86" t="n"/>
      <c r="O110" s="81" t="n"/>
      <c r="P110" s="82" t="n"/>
      <c r="Q110" s="83" t="n"/>
      <c r="R110" s="82" t="n"/>
      <c r="S110" s="84" t="n"/>
      <c r="T110" s="84" t="n"/>
      <c r="U110" s="82" t="n"/>
      <c r="V110" s="86" t="n"/>
      <c r="W110" s="86" t="n"/>
      <c r="X110" s="86" t="n"/>
      <c r="Y110" s="81" t="n"/>
      <c r="Z110" s="82" t="n"/>
      <c r="AA110" s="81" t="n"/>
      <c r="AB110" s="82" t="n"/>
      <c r="AC110" s="87">
        <f>IF(OR($D110="",$M110="Rejected",$M110="Withdrawn",$M110="Accepted"),"",IF(ISNUMBER($O110),IF(INT($O110)&lt;TODAY(),"FOLLOW UP REQUIRED",IF(INT($O110)=TODAY(),"ACTION DUE TODAY",IF(INT($O110)-TODAY()&lt;=Set_DueSoonDays,"DUE SOON",""))),IF(AND($M110="Applied",$AA110=""),IF(ISNUMBER($C110),IF(TODAY()-$C110&gt;=Set_FollowUpDays,"NO RESPONSE",""),""),"")))</f>
        <v/>
      </c>
      <c r="AD110" s="87">
        <f>IF(ISNUMBER($L110),IF($L110&gt;=90,"Excellent Match",IF($L110&gt;=75,"Strong Match",IF($L110&gt;=60,"Moderate Match","Low Match"))),"")</f>
        <v/>
      </c>
      <c r="AE110" s="87">
        <f>IF($D110="","",IF(OR($M110="Rejected",$M110="Withdrawn"),IF($AB110&lt;&gt;"",$AB110,IF(OR($M110="Rejected",ISNUMBER($C110)),"Applied","Wishlist")),IF($M110="",IF(ISNUMBER($C110),"Applied","Wishlist"),$M110)))</f>
        <v/>
      </c>
      <c r="AF110" s="88">
        <f>IF(AND(ISNUMBER($C110),ISNUMBER($AA110)),$AA110-$C110,"")</f>
        <v/>
      </c>
      <c r="AG110" s="87">
        <f>IF($AE110="","",IFERROR(MATCH($AE110,{"Wishlist","Applied","Screening","Interview 1","Interview 2","Final","Offer","Accepted"},0)-1,""))</f>
        <v/>
      </c>
      <c r="AH110" s="87">
        <f>IF($AC110="","",MATCH($AC110,{"FOLLOW UP REQUIRED","ACTION DUE TODAY","NO RESPONSE","DUE SOON"},0)*100000+IF(ISNUMBER($O110),$O110,IF(ISNUMBER($C110),$C110,0))+ROW()/10000)</f>
        <v/>
      </c>
      <c r="AI110" s="87">
        <f>IF(AND(ISNUMBER($AG110),$AG110&gt;=1,$AG110&lt;=6,$M110&lt;&gt;"Rejected",$M110&lt;&gt;"Withdrawn"),(10-$AG110)*100000+IF(ISNUMBER($C110),$C110,0)+ROW()/10000,"")</f>
        <v/>
      </c>
    </row>
    <row r="111">
      <c r="A111" s="80" t="n"/>
      <c r="B111" s="81" t="n"/>
      <c r="C111" s="81" t="n"/>
      <c r="D111" s="82" t="n"/>
      <c r="E111" s="82" t="n"/>
      <c r="F111" s="82" t="n"/>
      <c r="G111" s="82" t="n"/>
      <c r="H111" s="82" t="n"/>
      <c r="I111" s="83" t="n"/>
      <c r="J111" s="82" t="n"/>
      <c r="K111" s="84" t="n"/>
      <c r="L111" s="85" t="n"/>
      <c r="M111" s="82" t="n"/>
      <c r="N111" s="86" t="n"/>
      <c r="O111" s="81" t="n"/>
      <c r="P111" s="82" t="n"/>
      <c r="Q111" s="83" t="n"/>
      <c r="R111" s="82" t="n"/>
      <c r="S111" s="84" t="n"/>
      <c r="T111" s="84" t="n"/>
      <c r="U111" s="82" t="n"/>
      <c r="V111" s="86" t="n"/>
      <c r="W111" s="86" t="n"/>
      <c r="X111" s="86" t="n"/>
      <c r="Y111" s="81" t="n"/>
      <c r="Z111" s="82" t="n"/>
      <c r="AA111" s="81" t="n"/>
      <c r="AB111" s="82" t="n"/>
      <c r="AC111" s="87">
        <f>IF(OR($D111="",$M111="Rejected",$M111="Withdrawn",$M111="Accepted"),"",IF(ISNUMBER($O111),IF(INT($O111)&lt;TODAY(),"FOLLOW UP REQUIRED",IF(INT($O111)=TODAY(),"ACTION DUE TODAY",IF(INT($O111)-TODAY()&lt;=Set_DueSoonDays,"DUE SOON",""))),IF(AND($M111="Applied",$AA111=""),IF(ISNUMBER($C111),IF(TODAY()-$C111&gt;=Set_FollowUpDays,"NO RESPONSE",""),""),"")))</f>
        <v/>
      </c>
      <c r="AD111" s="87">
        <f>IF(ISNUMBER($L111),IF($L111&gt;=90,"Excellent Match",IF($L111&gt;=75,"Strong Match",IF($L111&gt;=60,"Moderate Match","Low Match"))),"")</f>
        <v/>
      </c>
      <c r="AE111" s="87">
        <f>IF($D111="","",IF(OR($M111="Rejected",$M111="Withdrawn"),IF($AB111&lt;&gt;"",$AB111,IF(OR($M111="Rejected",ISNUMBER($C111)),"Applied","Wishlist")),IF($M111="",IF(ISNUMBER($C111),"Applied","Wishlist"),$M111)))</f>
        <v/>
      </c>
      <c r="AF111" s="88">
        <f>IF(AND(ISNUMBER($C111),ISNUMBER($AA111)),$AA111-$C111,"")</f>
        <v/>
      </c>
      <c r="AG111" s="87">
        <f>IF($AE111="","",IFERROR(MATCH($AE111,{"Wishlist","Applied","Screening","Interview 1","Interview 2","Final","Offer","Accepted"},0)-1,""))</f>
        <v/>
      </c>
      <c r="AH111" s="87">
        <f>IF($AC111="","",MATCH($AC111,{"FOLLOW UP REQUIRED","ACTION DUE TODAY","NO RESPONSE","DUE SOON"},0)*100000+IF(ISNUMBER($O111),$O111,IF(ISNUMBER($C111),$C111,0))+ROW()/10000)</f>
        <v/>
      </c>
      <c r="AI111" s="87">
        <f>IF(AND(ISNUMBER($AG111),$AG111&gt;=1,$AG111&lt;=6,$M111&lt;&gt;"Rejected",$M111&lt;&gt;"Withdrawn"),(10-$AG111)*100000+IF(ISNUMBER($C111),$C111,0)+ROW()/10000,"")</f>
        <v/>
      </c>
    </row>
    <row r="112">
      <c r="A112" s="80" t="n"/>
      <c r="B112" s="81" t="n"/>
      <c r="C112" s="81" t="n"/>
      <c r="D112" s="82" t="n"/>
      <c r="E112" s="82" t="n"/>
      <c r="F112" s="82" t="n"/>
      <c r="G112" s="82" t="n"/>
      <c r="H112" s="82" t="n"/>
      <c r="I112" s="83" t="n"/>
      <c r="J112" s="82" t="n"/>
      <c r="K112" s="84" t="n"/>
      <c r="L112" s="85" t="n"/>
      <c r="M112" s="82" t="n"/>
      <c r="N112" s="86" t="n"/>
      <c r="O112" s="81" t="n"/>
      <c r="P112" s="82" t="n"/>
      <c r="Q112" s="83" t="n"/>
      <c r="R112" s="82" t="n"/>
      <c r="S112" s="84" t="n"/>
      <c r="T112" s="84" t="n"/>
      <c r="U112" s="82" t="n"/>
      <c r="V112" s="86" t="n"/>
      <c r="W112" s="86" t="n"/>
      <c r="X112" s="86" t="n"/>
      <c r="Y112" s="81" t="n"/>
      <c r="Z112" s="82" t="n"/>
      <c r="AA112" s="81" t="n"/>
      <c r="AB112" s="82" t="n"/>
      <c r="AC112" s="87">
        <f>IF(OR($D112="",$M112="Rejected",$M112="Withdrawn",$M112="Accepted"),"",IF(ISNUMBER($O112),IF(INT($O112)&lt;TODAY(),"FOLLOW UP REQUIRED",IF(INT($O112)=TODAY(),"ACTION DUE TODAY",IF(INT($O112)-TODAY()&lt;=Set_DueSoonDays,"DUE SOON",""))),IF(AND($M112="Applied",$AA112=""),IF(ISNUMBER($C112),IF(TODAY()-$C112&gt;=Set_FollowUpDays,"NO RESPONSE",""),""),"")))</f>
        <v/>
      </c>
      <c r="AD112" s="87">
        <f>IF(ISNUMBER($L112),IF($L112&gt;=90,"Excellent Match",IF($L112&gt;=75,"Strong Match",IF($L112&gt;=60,"Moderate Match","Low Match"))),"")</f>
        <v/>
      </c>
      <c r="AE112" s="87">
        <f>IF($D112="","",IF(OR($M112="Rejected",$M112="Withdrawn"),IF($AB112&lt;&gt;"",$AB112,IF(OR($M112="Rejected",ISNUMBER($C112)),"Applied","Wishlist")),IF($M112="",IF(ISNUMBER($C112),"Applied","Wishlist"),$M112)))</f>
        <v/>
      </c>
      <c r="AF112" s="88">
        <f>IF(AND(ISNUMBER($C112),ISNUMBER($AA112)),$AA112-$C112,"")</f>
        <v/>
      </c>
      <c r="AG112" s="87">
        <f>IF($AE112="","",IFERROR(MATCH($AE112,{"Wishlist","Applied","Screening","Interview 1","Interview 2","Final","Offer","Accepted"},0)-1,""))</f>
        <v/>
      </c>
      <c r="AH112" s="87">
        <f>IF($AC112="","",MATCH($AC112,{"FOLLOW UP REQUIRED","ACTION DUE TODAY","NO RESPONSE","DUE SOON"},0)*100000+IF(ISNUMBER($O112),$O112,IF(ISNUMBER($C112),$C112,0))+ROW()/10000)</f>
        <v/>
      </c>
      <c r="AI112" s="87">
        <f>IF(AND(ISNUMBER($AG112),$AG112&gt;=1,$AG112&lt;=6,$M112&lt;&gt;"Rejected",$M112&lt;&gt;"Withdrawn"),(10-$AG112)*100000+IF(ISNUMBER($C112),$C112,0)+ROW()/10000,"")</f>
        <v/>
      </c>
    </row>
    <row r="113">
      <c r="A113" s="80" t="n"/>
      <c r="B113" s="81" t="n"/>
      <c r="C113" s="81" t="n"/>
      <c r="D113" s="82" t="n"/>
      <c r="E113" s="82" t="n"/>
      <c r="F113" s="82" t="n"/>
      <c r="G113" s="82" t="n"/>
      <c r="H113" s="82" t="n"/>
      <c r="I113" s="83" t="n"/>
      <c r="J113" s="82" t="n"/>
      <c r="K113" s="84" t="n"/>
      <c r="L113" s="85" t="n"/>
      <c r="M113" s="82" t="n"/>
      <c r="N113" s="86" t="n"/>
      <c r="O113" s="81" t="n"/>
      <c r="P113" s="82" t="n"/>
      <c r="Q113" s="83" t="n"/>
      <c r="R113" s="82" t="n"/>
      <c r="S113" s="84" t="n"/>
      <c r="T113" s="84" t="n"/>
      <c r="U113" s="82" t="n"/>
      <c r="V113" s="86" t="n"/>
      <c r="W113" s="86" t="n"/>
      <c r="X113" s="86" t="n"/>
      <c r="Y113" s="81" t="n"/>
      <c r="Z113" s="82" t="n"/>
      <c r="AA113" s="81" t="n"/>
      <c r="AB113" s="82" t="n"/>
      <c r="AC113" s="87">
        <f>IF(OR($D113="",$M113="Rejected",$M113="Withdrawn",$M113="Accepted"),"",IF(ISNUMBER($O113),IF(INT($O113)&lt;TODAY(),"FOLLOW UP REQUIRED",IF(INT($O113)=TODAY(),"ACTION DUE TODAY",IF(INT($O113)-TODAY()&lt;=Set_DueSoonDays,"DUE SOON",""))),IF(AND($M113="Applied",$AA113=""),IF(ISNUMBER($C113),IF(TODAY()-$C113&gt;=Set_FollowUpDays,"NO RESPONSE",""),""),"")))</f>
        <v/>
      </c>
      <c r="AD113" s="87">
        <f>IF(ISNUMBER($L113),IF($L113&gt;=90,"Excellent Match",IF($L113&gt;=75,"Strong Match",IF($L113&gt;=60,"Moderate Match","Low Match"))),"")</f>
        <v/>
      </c>
      <c r="AE113" s="87">
        <f>IF($D113="","",IF(OR($M113="Rejected",$M113="Withdrawn"),IF($AB113&lt;&gt;"",$AB113,IF(OR($M113="Rejected",ISNUMBER($C113)),"Applied","Wishlist")),IF($M113="",IF(ISNUMBER($C113),"Applied","Wishlist"),$M113)))</f>
        <v/>
      </c>
      <c r="AF113" s="88">
        <f>IF(AND(ISNUMBER($C113),ISNUMBER($AA113)),$AA113-$C113,"")</f>
        <v/>
      </c>
      <c r="AG113" s="87">
        <f>IF($AE113="","",IFERROR(MATCH($AE113,{"Wishlist","Applied","Screening","Interview 1","Interview 2","Final","Offer","Accepted"},0)-1,""))</f>
        <v/>
      </c>
      <c r="AH113" s="87">
        <f>IF($AC113="","",MATCH($AC113,{"FOLLOW UP REQUIRED","ACTION DUE TODAY","NO RESPONSE","DUE SOON"},0)*100000+IF(ISNUMBER($O113),$O113,IF(ISNUMBER($C113),$C113,0))+ROW()/10000)</f>
        <v/>
      </c>
      <c r="AI113" s="87">
        <f>IF(AND(ISNUMBER($AG113),$AG113&gt;=1,$AG113&lt;=6,$M113&lt;&gt;"Rejected",$M113&lt;&gt;"Withdrawn"),(10-$AG113)*100000+IF(ISNUMBER($C113),$C113,0)+ROW()/10000,"")</f>
        <v/>
      </c>
    </row>
    <row r="114">
      <c r="A114" s="80" t="n"/>
      <c r="B114" s="81" t="n"/>
      <c r="C114" s="81" t="n"/>
      <c r="D114" s="82" t="n"/>
      <c r="E114" s="82" t="n"/>
      <c r="F114" s="82" t="n"/>
      <c r="G114" s="82" t="n"/>
      <c r="H114" s="82" t="n"/>
      <c r="I114" s="83" t="n"/>
      <c r="J114" s="82" t="n"/>
      <c r="K114" s="84" t="n"/>
      <c r="L114" s="85" t="n"/>
      <c r="M114" s="82" t="n"/>
      <c r="N114" s="86" t="n"/>
      <c r="O114" s="81" t="n"/>
      <c r="P114" s="82" t="n"/>
      <c r="Q114" s="83" t="n"/>
      <c r="R114" s="82" t="n"/>
      <c r="S114" s="84" t="n"/>
      <c r="T114" s="84" t="n"/>
      <c r="U114" s="82" t="n"/>
      <c r="V114" s="86" t="n"/>
      <c r="W114" s="86" t="n"/>
      <c r="X114" s="86" t="n"/>
      <c r="Y114" s="81" t="n"/>
      <c r="Z114" s="82" t="n"/>
      <c r="AA114" s="81" t="n"/>
      <c r="AB114" s="82" t="n"/>
      <c r="AC114" s="87">
        <f>IF(OR($D114="",$M114="Rejected",$M114="Withdrawn",$M114="Accepted"),"",IF(ISNUMBER($O114),IF(INT($O114)&lt;TODAY(),"FOLLOW UP REQUIRED",IF(INT($O114)=TODAY(),"ACTION DUE TODAY",IF(INT($O114)-TODAY()&lt;=Set_DueSoonDays,"DUE SOON",""))),IF(AND($M114="Applied",$AA114=""),IF(ISNUMBER($C114),IF(TODAY()-$C114&gt;=Set_FollowUpDays,"NO RESPONSE",""),""),"")))</f>
        <v/>
      </c>
      <c r="AD114" s="87">
        <f>IF(ISNUMBER($L114),IF($L114&gt;=90,"Excellent Match",IF($L114&gt;=75,"Strong Match",IF($L114&gt;=60,"Moderate Match","Low Match"))),"")</f>
        <v/>
      </c>
      <c r="AE114" s="87">
        <f>IF($D114="","",IF(OR($M114="Rejected",$M114="Withdrawn"),IF($AB114&lt;&gt;"",$AB114,IF(OR($M114="Rejected",ISNUMBER($C114)),"Applied","Wishlist")),IF($M114="",IF(ISNUMBER($C114),"Applied","Wishlist"),$M114)))</f>
        <v/>
      </c>
      <c r="AF114" s="88">
        <f>IF(AND(ISNUMBER($C114),ISNUMBER($AA114)),$AA114-$C114,"")</f>
        <v/>
      </c>
      <c r="AG114" s="87">
        <f>IF($AE114="","",IFERROR(MATCH($AE114,{"Wishlist","Applied","Screening","Interview 1","Interview 2","Final","Offer","Accepted"},0)-1,""))</f>
        <v/>
      </c>
      <c r="AH114" s="87">
        <f>IF($AC114="","",MATCH($AC114,{"FOLLOW UP REQUIRED","ACTION DUE TODAY","NO RESPONSE","DUE SOON"},0)*100000+IF(ISNUMBER($O114),$O114,IF(ISNUMBER($C114),$C114,0))+ROW()/10000)</f>
        <v/>
      </c>
      <c r="AI114" s="87">
        <f>IF(AND(ISNUMBER($AG114),$AG114&gt;=1,$AG114&lt;=6,$M114&lt;&gt;"Rejected",$M114&lt;&gt;"Withdrawn"),(10-$AG114)*100000+IF(ISNUMBER($C114),$C114,0)+ROW()/10000,"")</f>
        <v/>
      </c>
    </row>
    <row r="115">
      <c r="A115" s="80" t="n"/>
      <c r="B115" s="81" t="n"/>
      <c r="C115" s="81" t="n"/>
      <c r="D115" s="82" t="n"/>
      <c r="E115" s="82" t="n"/>
      <c r="F115" s="82" t="n"/>
      <c r="G115" s="82" t="n"/>
      <c r="H115" s="82" t="n"/>
      <c r="I115" s="83" t="n"/>
      <c r="J115" s="82" t="n"/>
      <c r="K115" s="84" t="n"/>
      <c r="L115" s="85" t="n"/>
      <c r="M115" s="82" t="n"/>
      <c r="N115" s="86" t="n"/>
      <c r="O115" s="81" t="n"/>
      <c r="P115" s="82" t="n"/>
      <c r="Q115" s="83" t="n"/>
      <c r="R115" s="82" t="n"/>
      <c r="S115" s="84" t="n"/>
      <c r="T115" s="84" t="n"/>
      <c r="U115" s="82" t="n"/>
      <c r="V115" s="86" t="n"/>
      <c r="W115" s="86" t="n"/>
      <c r="X115" s="86" t="n"/>
      <c r="Y115" s="81" t="n"/>
      <c r="Z115" s="82" t="n"/>
      <c r="AA115" s="81" t="n"/>
      <c r="AB115" s="82" t="n"/>
      <c r="AC115" s="87">
        <f>IF(OR($D115="",$M115="Rejected",$M115="Withdrawn",$M115="Accepted"),"",IF(ISNUMBER($O115),IF(INT($O115)&lt;TODAY(),"FOLLOW UP REQUIRED",IF(INT($O115)=TODAY(),"ACTION DUE TODAY",IF(INT($O115)-TODAY()&lt;=Set_DueSoonDays,"DUE SOON",""))),IF(AND($M115="Applied",$AA115=""),IF(ISNUMBER($C115),IF(TODAY()-$C115&gt;=Set_FollowUpDays,"NO RESPONSE",""),""),"")))</f>
        <v/>
      </c>
      <c r="AD115" s="87">
        <f>IF(ISNUMBER($L115),IF($L115&gt;=90,"Excellent Match",IF($L115&gt;=75,"Strong Match",IF($L115&gt;=60,"Moderate Match","Low Match"))),"")</f>
        <v/>
      </c>
      <c r="AE115" s="87">
        <f>IF($D115="","",IF(OR($M115="Rejected",$M115="Withdrawn"),IF($AB115&lt;&gt;"",$AB115,IF(OR($M115="Rejected",ISNUMBER($C115)),"Applied","Wishlist")),IF($M115="",IF(ISNUMBER($C115),"Applied","Wishlist"),$M115)))</f>
        <v/>
      </c>
      <c r="AF115" s="88">
        <f>IF(AND(ISNUMBER($C115),ISNUMBER($AA115)),$AA115-$C115,"")</f>
        <v/>
      </c>
      <c r="AG115" s="87">
        <f>IF($AE115="","",IFERROR(MATCH($AE115,{"Wishlist","Applied","Screening","Interview 1","Interview 2","Final","Offer","Accepted"},0)-1,""))</f>
        <v/>
      </c>
      <c r="AH115" s="87">
        <f>IF($AC115="","",MATCH($AC115,{"FOLLOW UP REQUIRED","ACTION DUE TODAY","NO RESPONSE","DUE SOON"},0)*100000+IF(ISNUMBER($O115),$O115,IF(ISNUMBER($C115),$C115,0))+ROW()/10000)</f>
        <v/>
      </c>
      <c r="AI115" s="87">
        <f>IF(AND(ISNUMBER($AG115),$AG115&gt;=1,$AG115&lt;=6,$M115&lt;&gt;"Rejected",$M115&lt;&gt;"Withdrawn"),(10-$AG115)*100000+IF(ISNUMBER($C115),$C115,0)+ROW()/10000,"")</f>
        <v/>
      </c>
    </row>
    <row r="116">
      <c r="A116" s="80" t="n"/>
      <c r="B116" s="81" t="n"/>
      <c r="C116" s="81" t="n"/>
      <c r="D116" s="82" t="n"/>
      <c r="E116" s="82" t="n"/>
      <c r="F116" s="82" t="n"/>
      <c r="G116" s="82" t="n"/>
      <c r="H116" s="82" t="n"/>
      <c r="I116" s="83" t="n"/>
      <c r="J116" s="82" t="n"/>
      <c r="K116" s="84" t="n"/>
      <c r="L116" s="85" t="n"/>
      <c r="M116" s="82" t="n"/>
      <c r="N116" s="86" t="n"/>
      <c r="O116" s="81" t="n"/>
      <c r="P116" s="82" t="n"/>
      <c r="Q116" s="83" t="n"/>
      <c r="R116" s="82" t="n"/>
      <c r="S116" s="84" t="n"/>
      <c r="T116" s="84" t="n"/>
      <c r="U116" s="82" t="n"/>
      <c r="V116" s="86" t="n"/>
      <c r="W116" s="86" t="n"/>
      <c r="X116" s="86" t="n"/>
      <c r="Y116" s="81" t="n"/>
      <c r="Z116" s="82" t="n"/>
      <c r="AA116" s="81" t="n"/>
      <c r="AB116" s="82" t="n"/>
      <c r="AC116" s="87">
        <f>IF(OR($D116="",$M116="Rejected",$M116="Withdrawn",$M116="Accepted"),"",IF(ISNUMBER($O116),IF(INT($O116)&lt;TODAY(),"FOLLOW UP REQUIRED",IF(INT($O116)=TODAY(),"ACTION DUE TODAY",IF(INT($O116)-TODAY()&lt;=Set_DueSoonDays,"DUE SOON",""))),IF(AND($M116="Applied",$AA116=""),IF(ISNUMBER($C116),IF(TODAY()-$C116&gt;=Set_FollowUpDays,"NO RESPONSE",""),""),"")))</f>
        <v/>
      </c>
      <c r="AD116" s="87">
        <f>IF(ISNUMBER($L116),IF($L116&gt;=90,"Excellent Match",IF($L116&gt;=75,"Strong Match",IF($L116&gt;=60,"Moderate Match","Low Match"))),"")</f>
        <v/>
      </c>
      <c r="AE116" s="87">
        <f>IF($D116="","",IF(OR($M116="Rejected",$M116="Withdrawn"),IF($AB116&lt;&gt;"",$AB116,IF(OR($M116="Rejected",ISNUMBER($C116)),"Applied","Wishlist")),IF($M116="",IF(ISNUMBER($C116),"Applied","Wishlist"),$M116)))</f>
        <v/>
      </c>
      <c r="AF116" s="88">
        <f>IF(AND(ISNUMBER($C116),ISNUMBER($AA116)),$AA116-$C116,"")</f>
        <v/>
      </c>
      <c r="AG116" s="87">
        <f>IF($AE116="","",IFERROR(MATCH($AE116,{"Wishlist","Applied","Screening","Interview 1","Interview 2","Final","Offer","Accepted"},0)-1,""))</f>
        <v/>
      </c>
      <c r="AH116" s="87">
        <f>IF($AC116="","",MATCH($AC116,{"FOLLOW UP REQUIRED","ACTION DUE TODAY","NO RESPONSE","DUE SOON"},0)*100000+IF(ISNUMBER($O116),$O116,IF(ISNUMBER($C116),$C116,0))+ROW()/10000)</f>
        <v/>
      </c>
      <c r="AI116" s="87">
        <f>IF(AND(ISNUMBER($AG116),$AG116&gt;=1,$AG116&lt;=6,$M116&lt;&gt;"Rejected",$M116&lt;&gt;"Withdrawn"),(10-$AG116)*100000+IF(ISNUMBER($C116),$C116,0)+ROW()/10000,"")</f>
        <v/>
      </c>
    </row>
    <row r="117">
      <c r="A117" s="80" t="n"/>
      <c r="B117" s="81" t="n"/>
      <c r="C117" s="81" t="n"/>
      <c r="D117" s="82" t="n"/>
      <c r="E117" s="82" t="n"/>
      <c r="F117" s="82" t="n"/>
      <c r="G117" s="82" t="n"/>
      <c r="H117" s="82" t="n"/>
      <c r="I117" s="83" t="n"/>
      <c r="J117" s="82" t="n"/>
      <c r="K117" s="84" t="n"/>
      <c r="L117" s="85" t="n"/>
      <c r="M117" s="82" t="n"/>
      <c r="N117" s="86" t="n"/>
      <c r="O117" s="81" t="n"/>
      <c r="P117" s="82" t="n"/>
      <c r="Q117" s="83" t="n"/>
      <c r="R117" s="82" t="n"/>
      <c r="S117" s="84" t="n"/>
      <c r="T117" s="84" t="n"/>
      <c r="U117" s="82" t="n"/>
      <c r="V117" s="86" t="n"/>
      <c r="W117" s="86" t="n"/>
      <c r="X117" s="86" t="n"/>
      <c r="Y117" s="81" t="n"/>
      <c r="Z117" s="82" t="n"/>
      <c r="AA117" s="81" t="n"/>
      <c r="AB117" s="82" t="n"/>
      <c r="AC117" s="87">
        <f>IF(OR($D117="",$M117="Rejected",$M117="Withdrawn",$M117="Accepted"),"",IF(ISNUMBER($O117),IF(INT($O117)&lt;TODAY(),"FOLLOW UP REQUIRED",IF(INT($O117)=TODAY(),"ACTION DUE TODAY",IF(INT($O117)-TODAY()&lt;=Set_DueSoonDays,"DUE SOON",""))),IF(AND($M117="Applied",$AA117=""),IF(ISNUMBER($C117),IF(TODAY()-$C117&gt;=Set_FollowUpDays,"NO RESPONSE",""),""),"")))</f>
        <v/>
      </c>
      <c r="AD117" s="87">
        <f>IF(ISNUMBER($L117),IF($L117&gt;=90,"Excellent Match",IF($L117&gt;=75,"Strong Match",IF($L117&gt;=60,"Moderate Match","Low Match"))),"")</f>
        <v/>
      </c>
      <c r="AE117" s="87">
        <f>IF($D117="","",IF(OR($M117="Rejected",$M117="Withdrawn"),IF($AB117&lt;&gt;"",$AB117,IF(OR($M117="Rejected",ISNUMBER($C117)),"Applied","Wishlist")),IF($M117="",IF(ISNUMBER($C117),"Applied","Wishlist"),$M117)))</f>
        <v/>
      </c>
      <c r="AF117" s="88">
        <f>IF(AND(ISNUMBER($C117),ISNUMBER($AA117)),$AA117-$C117,"")</f>
        <v/>
      </c>
      <c r="AG117" s="87">
        <f>IF($AE117="","",IFERROR(MATCH($AE117,{"Wishlist","Applied","Screening","Interview 1","Interview 2","Final","Offer","Accepted"},0)-1,""))</f>
        <v/>
      </c>
      <c r="AH117" s="87">
        <f>IF($AC117="","",MATCH($AC117,{"FOLLOW UP REQUIRED","ACTION DUE TODAY","NO RESPONSE","DUE SOON"},0)*100000+IF(ISNUMBER($O117),$O117,IF(ISNUMBER($C117),$C117,0))+ROW()/10000)</f>
        <v/>
      </c>
      <c r="AI117" s="87">
        <f>IF(AND(ISNUMBER($AG117),$AG117&gt;=1,$AG117&lt;=6,$M117&lt;&gt;"Rejected",$M117&lt;&gt;"Withdrawn"),(10-$AG117)*100000+IF(ISNUMBER($C117),$C117,0)+ROW()/10000,"")</f>
        <v/>
      </c>
    </row>
    <row r="118">
      <c r="A118" s="80" t="n"/>
      <c r="B118" s="81" t="n"/>
      <c r="C118" s="81" t="n"/>
      <c r="D118" s="82" t="n"/>
      <c r="E118" s="82" t="n"/>
      <c r="F118" s="82" t="n"/>
      <c r="G118" s="82" t="n"/>
      <c r="H118" s="82" t="n"/>
      <c r="I118" s="83" t="n"/>
      <c r="J118" s="82" t="n"/>
      <c r="K118" s="84" t="n"/>
      <c r="L118" s="85" t="n"/>
      <c r="M118" s="82" t="n"/>
      <c r="N118" s="86" t="n"/>
      <c r="O118" s="81" t="n"/>
      <c r="P118" s="82" t="n"/>
      <c r="Q118" s="83" t="n"/>
      <c r="R118" s="82" t="n"/>
      <c r="S118" s="84" t="n"/>
      <c r="T118" s="84" t="n"/>
      <c r="U118" s="82" t="n"/>
      <c r="V118" s="86" t="n"/>
      <c r="W118" s="86" t="n"/>
      <c r="X118" s="86" t="n"/>
      <c r="Y118" s="81" t="n"/>
      <c r="Z118" s="82" t="n"/>
      <c r="AA118" s="81" t="n"/>
      <c r="AB118" s="82" t="n"/>
      <c r="AC118" s="87">
        <f>IF(OR($D118="",$M118="Rejected",$M118="Withdrawn",$M118="Accepted"),"",IF(ISNUMBER($O118),IF(INT($O118)&lt;TODAY(),"FOLLOW UP REQUIRED",IF(INT($O118)=TODAY(),"ACTION DUE TODAY",IF(INT($O118)-TODAY()&lt;=Set_DueSoonDays,"DUE SOON",""))),IF(AND($M118="Applied",$AA118=""),IF(ISNUMBER($C118),IF(TODAY()-$C118&gt;=Set_FollowUpDays,"NO RESPONSE",""),""),"")))</f>
        <v/>
      </c>
      <c r="AD118" s="87">
        <f>IF(ISNUMBER($L118),IF($L118&gt;=90,"Excellent Match",IF($L118&gt;=75,"Strong Match",IF($L118&gt;=60,"Moderate Match","Low Match"))),"")</f>
        <v/>
      </c>
      <c r="AE118" s="87">
        <f>IF($D118="","",IF(OR($M118="Rejected",$M118="Withdrawn"),IF($AB118&lt;&gt;"",$AB118,IF(OR($M118="Rejected",ISNUMBER($C118)),"Applied","Wishlist")),IF($M118="",IF(ISNUMBER($C118),"Applied","Wishlist"),$M118)))</f>
        <v/>
      </c>
      <c r="AF118" s="88">
        <f>IF(AND(ISNUMBER($C118),ISNUMBER($AA118)),$AA118-$C118,"")</f>
        <v/>
      </c>
      <c r="AG118" s="87">
        <f>IF($AE118="","",IFERROR(MATCH($AE118,{"Wishlist","Applied","Screening","Interview 1","Interview 2","Final","Offer","Accepted"},0)-1,""))</f>
        <v/>
      </c>
      <c r="AH118" s="87">
        <f>IF($AC118="","",MATCH($AC118,{"FOLLOW UP REQUIRED","ACTION DUE TODAY","NO RESPONSE","DUE SOON"},0)*100000+IF(ISNUMBER($O118),$O118,IF(ISNUMBER($C118),$C118,0))+ROW()/10000)</f>
        <v/>
      </c>
      <c r="AI118" s="87">
        <f>IF(AND(ISNUMBER($AG118),$AG118&gt;=1,$AG118&lt;=6,$M118&lt;&gt;"Rejected",$M118&lt;&gt;"Withdrawn"),(10-$AG118)*100000+IF(ISNUMBER($C118),$C118,0)+ROW()/10000,"")</f>
        <v/>
      </c>
    </row>
    <row r="119">
      <c r="A119" s="80" t="n"/>
      <c r="B119" s="81" t="n"/>
      <c r="C119" s="81" t="n"/>
      <c r="D119" s="82" t="n"/>
      <c r="E119" s="82" t="n"/>
      <c r="F119" s="82" t="n"/>
      <c r="G119" s="82" t="n"/>
      <c r="H119" s="82" t="n"/>
      <c r="I119" s="83" t="n"/>
      <c r="J119" s="82" t="n"/>
      <c r="K119" s="84" t="n"/>
      <c r="L119" s="85" t="n"/>
      <c r="M119" s="82" t="n"/>
      <c r="N119" s="86" t="n"/>
      <c r="O119" s="81" t="n"/>
      <c r="P119" s="82" t="n"/>
      <c r="Q119" s="83" t="n"/>
      <c r="R119" s="82" t="n"/>
      <c r="S119" s="84" t="n"/>
      <c r="T119" s="84" t="n"/>
      <c r="U119" s="82" t="n"/>
      <c r="V119" s="86" t="n"/>
      <c r="W119" s="86" t="n"/>
      <c r="X119" s="86" t="n"/>
      <c r="Y119" s="81" t="n"/>
      <c r="Z119" s="82" t="n"/>
      <c r="AA119" s="81" t="n"/>
      <c r="AB119" s="82" t="n"/>
      <c r="AC119" s="87">
        <f>IF(OR($D119="",$M119="Rejected",$M119="Withdrawn",$M119="Accepted"),"",IF(ISNUMBER($O119),IF(INT($O119)&lt;TODAY(),"FOLLOW UP REQUIRED",IF(INT($O119)=TODAY(),"ACTION DUE TODAY",IF(INT($O119)-TODAY()&lt;=Set_DueSoonDays,"DUE SOON",""))),IF(AND($M119="Applied",$AA119=""),IF(ISNUMBER($C119),IF(TODAY()-$C119&gt;=Set_FollowUpDays,"NO RESPONSE",""),""),"")))</f>
        <v/>
      </c>
      <c r="AD119" s="87">
        <f>IF(ISNUMBER($L119),IF($L119&gt;=90,"Excellent Match",IF($L119&gt;=75,"Strong Match",IF($L119&gt;=60,"Moderate Match","Low Match"))),"")</f>
        <v/>
      </c>
      <c r="AE119" s="87">
        <f>IF($D119="","",IF(OR($M119="Rejected",$M119="Withdrawn"),IF($AB119&lt;&gt;"",$AB119,IF(OR($M119="Rejected",ISNUMBER($C119)),"Applied","Wishlist")),IF($M119="",IF(ISNUMBER($C119),"Applied","Wishlist"),$M119)))</f>
        <v/>
      </c>
      <c r="AF119" s="88">
        <f>IF(AND(ISNUMBER($C119),ISNUMBER($AA119)),$AA119-$C119,"")</f>
        <v/>
      </c>
      <c r="AG119" s="87">
        <f>IF($AE119="","",IFERROR(MATCH($AE119,{"Wishlist","Applied","Screening","Interview 1","Interview 2","Final","Offer","Accepted"},0)-1,""))</f>
        <v/>
      </c>
      <c r="AH119" s="87">
        <f>IF($AC119="","",MATCH($AC119,{"FOLLOW UP REQUIRED","ACTION DUE TODAY","NO RESPONSE","DUE SOON"},0)*100000+IF(ISNUMBER($O119),$O119,IF(ISNUMBER($C119),$C119,0))+ROW()/10000)</f>
        <v/>
      </c>
      <c r="AI119" s="87">
        <f>IF(AND(ISNUMBER($AG119),$AG119&gt;=1,$AG119&lt;=6,$M119&lt;&gt;"Rejected",$M119&lt;&gt;"Withdrawn"),(10-$AG119)*100000+IF(ISNUMBER($C119),$C119,0)+ROW()/10000,"")</f>
        <v/>
      </c>
    </row>
    <row r="120">
      <c r="A120" s="80" t="n"/>
      <c r="B120" s="81" t="n"/>
      <c r="C120" s="81" t="n"/>
      <c r="D120" s="82" t="n"/>
      <c r="E120" s="82" t="n"/>
      <c r="F120" s="82" t="n"/>
      <c r="G120" s="82" t="n"/>
      <c r="H120" s="82" t="n"/>
      <c r="I120" s="83" t="n"/>
      <c r="J120" s="82" t="n"/>
      <c r="K120" s="84" t="n"/>
      <c r="L120" s="85" t="n"/>
      <c r="M120" s="82" t="n"/>
      <c r="N120" s="86" t="n"/>
      <c r="O120" s="81" t="n"/>
      <c r="P120" s="82" t="n"/>
      <c r="Q120" s="83" t="n"/>
      <c r="R120" s="82" t="n"/>
      <c r="S120" s="84" t="n"/>
      <c r="T120" s="84" t="n"/>
      <c r="U120" s="82" t="n"/>
      <c r="V120" s="86" t="n"/>
      <c r="W120" s="86" t="n"/>
      <c r="X120" s="86" t="n"/>
      <c r="Y120" s="81" t="n"/>
      <c r="Z120" s="82" t="n"/>
      <c r="AA120" s="81" t="n"/>
      <c r="AB120" s="82" t="n"/>
      <c r="AC120" s="87">
        <f>IF(OR($D120="",$M120="Rejected",$M120="Withdrawn",$M120="Accepted"),"",IF(ISNUMBER($O120),IF(INT($O120)&lt;TODAY(),"FOLLOW UP REQUIRED",IF(INT($O120)=TODAY(),"ACTION DUE TODAY",IF(INT($O120)-TODAY()&lt;=Set_DueSoonDays,"DUE SOON",""))),IF(AND($M120="Applied",$AA120=""),IF(ISNUMBER($C120),IF(TODAY()-$C120&gt;=Set_FollowUpDays,"NO RESPONSE",""),""),"")))</f>
        <v/>
      </c>
      <c r="AD120" s="87">
        <f>IF(ISNUMBER($L120),IF($L120&gt;=90,"Excellent Match",IF($L120&gt;=75,"Strong Match",IF($L120&gt;=60,"Moderate Match","Low Match"))),"")</f>
        <v/>
      </c>
      <c r="AE120" s="87">
        <f>IF($D120="","",IF(OR($M120="Rejected",$M120="Withdrawn"),IF($AB120&lt;&gt;"",$AB120,IF(OR($M120="Rejected",ISNUMBER($C120)),"Applied","Wishlist")),IF($M120="",IF(ISNUMBER($C120),"Applied","Wishlist"),$M120)))</f>
        <v/>
      </c>
      <c r="AF120" s="88">
        <f>IF(AND(ISNUMBER($C120),ISNUMBER($AA120)),$AA120-$C120,"")</f>
        <v/>
      </c>
      <c r="AG120" s="87">
        <f>IF($AE120="","",IFERROR(MATCH($AE120,{"Wishlist","Applied","Screening","Interview 1","Interview 2","Final","Offer","Accepted"},0)-1,""))</f>
        <v/>
      </c>
      <c r="AH120" s="87">
        <f>IF($AC120="","",MATCH($AC120,{"FOLLOW UP REQUIRED","ACTION DUE TODAY","NO RESPONSE","DUE SOON"},0)*100000+IF(ISNUMBER($O120),$O120,IF(ISNUMBER($C120),$C120,0))+ROW()/10000)</f>
        <v/>
      </c>
      <c r="AI120" s="87">
        <f>IF(AND(ISNUMBER($AG120),$AG120&gt;=1,$AG120&lt;=6,$M120&lt;&gt;"Rejected",$M120&lt;&gt;"Withdrawn"),(10-$AG120)*100000+IF(ISNUMBER($C120),$C120,0)+ROW()/10000,"")</f>
        <v/>
      </c>
    </row>
    <row r="121">
      <c r="A121" s="80" t="n"/>
      <c r="B121" s="81" t="n"/>
      <c r="C121" s="81" t="n"/>
      <c r="D121" s="82" t="n"/>
      <c r="E121" s="82" t="n"/>
      <c r="F121" s="82" t="n"/>
      <c r="G121" s="82" t="n"/>
      <c r="H121" s="82" t="n"/>
      <c r="I121" s="83" t="n"/>
      <c r="J121" s="82" t="n"/>
      <c r="K121" s="84" t="n"/>
      <c r="L121" s="85" t="n"/>
      <c r="M121" s="82" t="n"/>
      <c r="N121" s="86" t="n"/>
      <c r="O121" s="81" t="n"/>
      <c r="P121" s="82" t="n"/>
      <c r="Q121" s="83" t="n"/>
      <c r="R121" s="82" t="n"/>
      <c r="S121" s="84" t="n"/>
      <c r="T121" s="84" t="n"/>
      <c r="U121" s="82" t="n"/>
      <c r="V121" s="86" t="n"/>
      <c r="W121" s="86" t="n"/>
      <c r="X121" s="86" t="n"/>
      <c r="Y121" s="81" t="n"/>
      <c r="Z121" s="82" t="n"/>
      <c r="AA121" s="81" t="n"/>
      <c r="AB121" s="82" t="n"/>
      <c r="AC121" s="87">
        <f>IF(OR($D121="",$M121="Rejected",$M121="Withdrawn",$M121="Accepted"),"",IF(ISNUMBER($O121),IF(INT($O121)&lt;TODAY(),"FOLLOW UP REQUIRED",IF(INT($O121)=TODAY(),"ACTION DUE TODAY",IF(INT($O121)-TODAY()&lt;=Set_DueSoonDays,"DUE SOON",""))),IF(AND($M121="Applied",$AA121=""),IF(ISNUMBER($C121),IF(TODAY()-$C121&gt;=Set_FollowUpDays,"NO RESPONSE",""),""),"")))</f>
        <v/>
      </c>
      <c r="AD121" s="87">
        <f>IF(ISNUMBER($L121),IF($L121&gt;=90,"Excellent Match",IF($L121&gt;=75,"Strong Match",IF($L121&gt;=60,"Moderate Match","Low Match"))),"")</f>
        <v/>
      </c>
      <c r="AE121" s="87">
        <f>IF($D121="","",IF(OR($M121="Rejected",$M121="Withdrawn"),IF($AB121&lt;&gt;"",$AB121,IF(OR($M121="Rejected",ISNUMBER($C121)),"Applied","Wishlist")),IF($M121="",IF(ISNUMBER($C121),"Applied","Wishlist"),$M121)))</f>
        <v/>
      </c>
      <c r="AF121" s="88">
        <f>IF(AND(ISNUMBER($C121),ISNUMBER($AA121)),$AA121-$C121,"")</f>
        <v/>
      </c>
      <c r="AG121" s="87">
        <f>IF($AE121="","",IFERROR(MATCH($AE121,{"Wishlist","Applied","Screening","Interview 1","Interview 2","Final","Offer","Accepted"},0)-1,""))</f>
        <v/>
      </c>
      <c r="AH121" s="87">
        <f>IF($AC121="","",MATCH($AC121,{"FOLLOW UP REQUIRED","ACTION DUE TODAY","NO RESPONSE","DUE SOON"},0)*100000+IF(ISNUMBER($O121),$O121,IF(ISNUMBER($C121),$C121,0))+ROW()/10000)</f>
        <v/>
      </c>
      <c r="AI121" s="87">
        <f>IF(AND(ISNUMBER($AG121),$AG121&gt;=1,$AG121&lt;=6,$M121&lt;&gt;"Rejected",$M121&lt;&gt;"Withdrawn"),(10-$AG121)*100000+IF(ISNUMBER($C121),$C121,0)+ROW()/10000,"")</f>
        <v/>
      </c>
    </row>
    <row r="122">
      <c r="A122" s="80" t="n"/>
      <c r="B122" s="81" t="n"/>
      <c r="C122" s="81" t="n"/>
      <c r="D122" s="82" t="n"/>
      <c r="E122" s="82" t="n"/>
      <c r="F122" s="82" t="n"/>
      <c r="G122" s="82" t="n"/>
      <c r="H122" s="82" t="n"/>
      <c r="I122" s="83" t="n"/>
      <c r="J122" s="82" t="n"/>
      <c r="K122" s="84" t="n"/>
      <c r="L122" s="85" t="n"/>
      <c r="M122" s="82" t="n"/>
      <c r="N122" s="86" t="n"/>
      <c r="O122" s="81" t="n"/>
      <c r="P122" s="82" t="n"/>
      <c r="Q122" s="83" t="n"/>
      <c r="R122" s="82" t="n"/>
      <c r="S122" s="84" t="n"/>
      <c r="T122" s="84" t="n"/>
      <c r="U122" s="82" t="n"/>
      <c r="V122" s="86" t="n"/>
      <c r="W122" s="86" t="n"/>
      <c r="X122" s="86" t="n"/>
      <c r="Y122" s="81" t="n"/>
      <c r="Z122" s="82" t="n"/>
      <c r="AA122" s="81" t="n"/>
      <c r="AB122" s="82" t="n"/>
      <c r="AC122" s="87">
        <f>IF(OR($D122="",$M122="Rejected",$M122="Withdrawn",$M122="Accepted"),"",IF(ISNUMBER($O122),IF(INT($O122)&lt;TODAY(),"FOLLOW UP REQUIRED",IF(INT($O122)=TODAY(),"ACTION DUE TODAY",IF(INT($O122)-TODAY()&lt;=Set_DueSoonDays,"DUE SOON",""))),IF(AND($M122="Applied",$AA122=""),IF(ISNUMBER($C122),IF(TODAY()-$C122&gt;=Set_FollowUpDays,"NO RESPONSE",""),""),"")))</f>
        <v/>
      </c>
      <c r="AD122" s="87">
        <f>IF(ISNUMBER($L122),IF($L122&gt;=90,"Excellent Match",IF($L122&gt;=75,"Strong Match",IF($L122&gt;=60,"Moderate Match","Low Match"))),"")</f>
        <v/>
      </c>
      <c r="AE122" s="87">
        <f>IF($D122="","",IF(OR($M122="Rejected",$M122="Withdrawn"),IF($AB122&lt;&gt;"",$AB122,IF(OR($M122="Rejected",ISNUMBER($C122)),"Applied","Wishlist")),IF($M122="",IF(ISNUMBER($C122),"Applied","Wishlist"),$M122)))</f>
        <v/>
      </c>
      <c r="AF122" s="88">
        <f>IF(AND(ISNUMBER($C122),ISNUMBER($AA122)),$AA122-$C122,"")</f>
        <v/>
      </c>
      <c r="AG122" s="87">
        <f>IF($AE122="","",IFERROR(MATCH($AE122,{"Wishlist","Applied","Screening","Interview 1","Interview 2","Final","Offer","Accepted"},0)-1,""))</f>
        <v/>
      </c>
      <c r="AH122" s="87">
        <f>IF($AC122="","",MATCH($AC122,{"FOLLOW UP REQUIRED","ACTION DUE TODAY","NO RESPONSE","DUE SOON"},0)*100000+IF(ISNUMBER($O122),$O122,IF(ISNUMBER($C122),$C122,0))+ROW()/10000)</f>
        <v/>
      </c>
      <c r="AI122" s="87">
        <f>IF(AND(ISNUMBER($AG122),$AG122&gt;=1,$AG122&lt;=6,$M122&lt;&gt;"Rejected",$M122&lt;&gt;"Withdrawn"),(10-$AG122)*100000+IF(ISNUMBER($C122),$C122,0)+ROW()/10000,"")</f>
        <v/>
      </c>
    </row>
    <row r="123">
      <c r="A123" s="80" t="n"/>
      <c r="B123" s="81" t="n"/>
      <c r="C123" s="81" t="n"/>
      <c r="D123" s="82" t="n"/>
      <c r="E123" s="82" t="n"/>
      <c r="F123" s="82" t="n"/>
      <c r="G123" s="82" t="n"/>
      <c r="H123" s="82" t="n"/>
      <c r="I123" s="83" t="n"/>
      <c r="J123" s="82" t="n"/>
      <c r="K123" s="84" t="n"/>
      <c r="L123" s="85" t="n"/>
      <c r="M123" s="82" t="n"/>
      <c r="N123" s="86" t="n"/>
      <c r="O123" s="81" t="n"/>
      <c r="P123" s="82" t="n"/>
      <c r="Q123" s="83" t="n"/>
      <c r="R123" s="82" t="n"/>
      <c r="S123" s="84" t="n"/>
      <c r="T123" s="84" t="n"/>
      <c r="U123" s="82" t="n"/>
      <c r="V123" s="86" t="n"/>
      <c r="W123" s="86" t="n"/>
      <c r="X123" s="86" t="n"/>
      <c r="Y123" s="81" t="n"/>
      <c r="Z123" s="82" t="n"/>
      <c r="AA123" s="81" t="n"/>
      <c r="AB123" s="82" t="n"/>
      <c r="AC123" s="87">
        <f>IF(OR($D123="",$M123="Rejected",$M123="Withdrawn",$M123="Accepted"),"",IF(ISNUMBER($O123),IF(INT($O123)&lt;TODAY(),"FOLLOW UP REQUIRED",IF(INT($O123)=TODAY(),"ACTION DUE TODAY",IF(INT($O123)-TODAY()&lt;=Set_DueSoonDays,"DUE SOON",""))),IF(AND($M123="Applied",$AA123=""),IF(ISNUMBER($C123),IF(TODAY()-$C123&gt;=Set_FollowUpDays,"NO RESPONSE",""),""),"")))</f>
        <v/>
      </c>
      <c r="AD123" s="87">
        <f>IF(ISNUMBER($L123),IF($L123&gt;=90,"Excellent Match",IF($L123&gt;=75,"Strong Match",IF($L123&gt;=60,"Moderate Match","Low Match"))),"")</f>
        <v/>
      </c>
      <c r="AE123" s="87">
        <f>IF($D123="","",IF(OR($M123="Rejected",$M123="Withdrawn"),IF($AB123&lt;&gt;"",$AB123,IF(OR($M123="Rejected",ISNUMBER($C123)),"Applied","Wishlist")),IF($M123="",IF(ISNUMBER($C123),"Applied","Wishlist"),$M123)))</f>
        <v/>
      </c>
      <c r="AF123" s="88">
        <f>IF(AND(ISNUMBER($C123),ISNUMBER($AA123)),$AA123-$C123,"")</f>
        <v/>
      </c>
      <c r="AG123" s="87">
        <f>IF($AE123="","",IFERROR(MATCH($AE123,{"Wishlist","Applied","Screening","Interview 1","Interview 2","Final","Offer","Accepted"},0)-1,""))</f>
        <v/>
      </c>
      <c r="AH123" s="87">
        <f>IF($AC123="","",MATCH($AC123,{"FOLLOW UP REQUIRED","ACTION DUE TODAY","NO RESPONSE","DUE SOON"},0)*100000+IF(ISNUMBER($O123),$O123,IF(ISNUMBER($C123),$C123,0))+ROW()/10000)</f>
        <v/>
      </c>
      <c r="AI123" s="87">
        <f>IF(AND(ISNUMBER($AG123),$AG123&gt;=1,$AG123&lt;=6,$M123&lt;&gt;"Rejected",$M123&lt;&gt;"Withdrawn"),(10-$AG123)*100000+IF(ISNUMBER($C123),$C123,0)+ROW()/10000,"")</f>
        <v/>
      </c>
    </row>
    <row r="124">
      <c r="A124" s="80" t="n"/>
      <c r="B124" s="81" t="n"/>
      <c r="C124" s="81" t="n"/>
      <c r="D124" s="82" t="n"/>
      <c r="E124" s="82" t="n"/>
      <c r="F124" s="82" t="n"/>
      <c r="G124" s="82" t="n"/>
      <c r="H124" s="82" t="n"/>
      <c r="I124" s="83" t="n"/>
      <c r="J124" s="82" t="n"/>
      <c r="K124" s="84" t="n"/>
      <c r="L124" s="85" t="n"/>
      <c r="M124" s="82" t="n"/>
      <c r="N124" s="86" t="n"/>
      <c r="O124" s="81" t="n"/>
      <c r="P124" s="82" t="n"/>
      <c r="Q124" s="83" t="n"/>
      <c r="R124" s="82" t="n"/>
      <c r="S124" s="84" t="n"/>
      <c r="T124" s="84" t="n"/>
      <c r="U124" s="82" t="n"/>
      <c r="V124" s="86" t="n"/>
      <c r="W124" s="86" t="n"/>
      <c r="X124" s="86" t="n"/>
      <c r="Y124" s="81" t="n"/>
      <c r="Z124" s="82" t="n"/>
      <c r="AA124" s="81" t="n"/>
      <c r="AB124" s="82" t="n"/>
      <c r="AC124" s="87">
        <f>IF(OR($D124="",$M124="Rejected",$M124="Withdrawn",$M124="Accepted"),"",IF(ISNUMBER($O124),IF(INT($O124)&lt;TODAY(),"FOLLOW UP REQUIRED",IF(INT($O124)=TODAY(),"ACTION DUE TODAY",IF(INT($O124)-TODAY()&lt;=Set_DueSoonDays,"DUE SOON",""))),IF(AND($M124="Applied",$AA124=""),IF(ISNUMBER($C124),IF(TODAY()-$C124&gt;=Set_FollowUpDays,"NO RESPONSE",""),""),"")))</f>
        <v/>
      </c>
      <c r="AD124" s="87">
        <f>IF(ISNUMBER($L124),IF($L124&gt;=90,"Excellent Match",IF($L124&gt;=75,"Strong Match",IF($L124&gt;=60,"Moderate Match","Low Match"))),"")</f>
        <v/>
      </c>
      <c r="AE124" s="87">
        <f>IF($D124="","",IF(OR($M124="Rejected",$M124="Withdrawn"),IF($AB124&lt;&gt;"",$AB124,IF(OR($M124="Rejected",ISNUMBER($C124)),"Applied","Wishlist")),IF($M124="",IF(ISNUMBER($C124),"Applied","Wishlist"),$M124)))</f>
        <v/>
      </c>
      <c r="AF124" s="88">
        <f>IF(AND(ISNUMBER($C124),ISNUMBER($AA124)),$AA124-$C124,"")</f>
        <v/>
      </c>
      <c r="AG124" s="87">
        <f>IF($AE124="","",IFERROR(MATCH($AE124,{"Wishlist","Applied","Screening","Interview 1","Interview 2","Final","Offer","Accepted"},0)-1,""))</f>
        <v/>
      </c>
      <c r="AH124" s="87">
        <f>IF($AC124="","",MATCH($AC124,{"FOLLOW UP REQUIRED","ACTION DUE TODAY","NO RESPONSE","DUE SOON"},0)*100000+IF(ISNUMBER($O124),$O124,IF(ISNUMBER($C124),$C124,0))+ROW()/10000)</f>
        <v/>
      </c>
      <c r="AI124" s="87">
        <f>IF(AND(ISNUMBER($AG124),$AG124&gt;=1,$AG124&lt;=6,$M124&lt;&gt;"Rejected",$M124&lt;&gt;"Withdrawn"),(10-$AG124)*100000+IF(ISNUMBER($C124),$C124,0)+ROW()/10000,"")</f>
        <v/>
      </c>
    </row>
    <row r="125">
      <c r="A125" s="80" t="n"/>
      <c r="B125" s="81" t="n"/>
      <c r="C125" s="81" t="n"/>
      <c r="D125" s="82" t="n"/>
      <c r="E125" s="82" t="n"/>
      <c r="F125" s="82" t="n"/>
      <c r="G125" s="82" t="n"/>
      <c r="H125" s="82" t="n"/>
      <c r="I125" s="83" t="n"/>
      <c r="J125" s="82" t="n"/>
      <c r="K125" s="84" t="n"/>
      <c r="L125" s="85" t="n"/>
      <c r="M125" s="82" t="n"/>
      <c r="N125" s="86" t="n"/>
      <c r="O125" s="81" t="n"/>
      <c r="P125" s="82" t="n"/>
      <c r="Q125" s="83" t="n"/>
      <c r="R125" s="82" t="n"/>
      <c r="S125" s="84" t="n"/>
      <c r="T125" s="84" t="n"/>
      <c r="U125" s="82" t="n"/>
      <c r="V125" s="86" t="n"/>
      <c r="W125" s="86" t="n"/>
      <c r="X125" s="86" t="n"/>
      <c r="Y125" s="81" t="n"/>
      <c r="Z125" s="82" t="n"/>
      <c r="AA125" s="81" t="n"/>
      <c r="AB125" s="82" t="n"/>
      <c r="AC125" s="87">
        <f>IF(OR($D125="",$M125="Rejected",$M125="Withdrawn",$M125="Accepted"),"",IF(ISNUMBER($O125),IF(INT($O125)&lt;TODAY(),"FOLLOW UP REQUIRED",IF(INT($O125)=TODAY(),"ACTION DUE TODAY",IF(INT($O125)-TODAY()&lt;=Set_DueSoonDays,"DUE SOON",""))),IF(AND($M125="Applied",$AA125=""),IF(ISNUMBER($C125),IF(TODAY()-$C125&gt;=Set_FollowUpDays,"NO RESPONSE",""),""),"")))</f>
        <v/>
      </c>
      <c r="AD125" s="87">
        <f>IF(ISNUMBER($L125),IF($L125&gt;=90,"Excellent Match",IF($L125&gt;=75,"Strong Match",IF($L125&gt;=60,"Moderate Match","Low Match"))),"")</f>
        <v/>
      </c>
      <c r="AE125" s="87">
        <f>IF($D125="","",IF(OR($M125="Rejected",$M125="Withdrawn"),IF($AB125&lt;&gt;"",$AB125,IF(OR($M125="Rejected",ISNUMBER($C125)),"Applied","Wishlist")),IF($M125="",IF(ISNUMBER($C125),"Applied","Wishlist"),$M125)))</f>
        <v/>
      </c>
      <c r="AF125" s="88">
        <f>IF(AND(ISNUMBER($C125),ISNUMBER($AA125)),$AA125-$C125,"")</f>
        <v/>
      </c>
      <c r="AG125" s="87">
        <f>IF($AE125="","",IFERROR(MATCH($AE125,{"Wishlist","Applied","Screening","Interview 1","Interview 2","Final","Offer","Accepted"},0)-1,""))</f>
        <v/>
      </c>
      <c r="AH125" s="87">
        <f>IF($AC125="","",MATCH($AC125,{"FOLLOW UP REQUIRED","ACTION DUE TODAY","NO RESPONSE","DUE SOON"},0)*100000+IF(ISNUMBER($O125),$O125,IF(ISNUMBER($C125),$C125,0))+ROW()/10000)</f>
        <v/>
      </c>
      <c r="AI125" s="87">
        <f>IF(AND(ISNUMBER($AG125),$AG125&gt;=1,$AG125&lt;=6,$M125&lt;&gt;"Rejected",$M125&lt;&gt;"Withdrawn"),(10-$AG125)*100000+IF(ISNUMBER($C125),$C125,0)+ROW()/10000,"")</f>
        <v/>
      </c>
    </row>
    <row r="126">
      <c r="A126" s="80" t="n"/>
      <c r="B126" s="81" t="n"/>
      <c r="C126" s="81" t="n"/>
      <c r="D126" s="82" t="n"/>
      <c r="E126" s="82" t="n"/>
      <c r="F126" s="82" t="n"/>
      <c r="G126" s="82" t="n"/>
      <c r="H126" s="82" t="n"/>
      <c r="I126" s="83" t="n"/>
      <c r="J126" s="82" t="n"/>
      <c r="K126" s="84" t="n"/>
      <c r="L126" s="85" t="n"/>
      <c r="M126" s="82" t="n"/>
      <c r="N126" s="86" t="n"/>
      <c r="O126" s="81" t="n"/>
      <c r="P126" s="82" t="n"/>
      <c r="Q126" s="83" t="n"/>
      <c r="R126" s="82" t="n"/>
      <c r="S126" s="84" t="n"/>
      <c r="T126" s="84" t="n"/>
      <c r="U126" s="82" t="n"/>
      <c r="V126" s="86" t="n"/>
      <c r="W126" s="86" t="n"/>
      <c r="X126" s="86" t="n"/>
      <c r="Y126" s="81" t="n"/>
      <c r="Z126" s="82" t="n"/>
      <c r="AA126" s="81" t="n"/>
      <c r="AB126" s="82" t="n"/>
      <c r="AC126" s="87">
        <f>IF(OR($D126="",$M126="Rejected",$M126="Withdrawn",$M126="Accepted"),"",IF(ISNUMBER($O126),IF(INT($O126)&lt;TODAY(),"FOLLOW UP REQUIRED",IF(INT($O126)=TODAY(),"ACTION DUE TODAY",IF(INT($O126)-TODAY()&lt;=Set_DueSoonDays,"DUE SOON",""))),IF(AND($M126="Applied",$AA126=""),IF(ISNUMBER($C126),IF(TODAY()-$C126&gt;=Set_FollowUpDays,"NO RESPONSE",""),""),"")))</f>
        <v/>
      </c>
      <c r="AD126" s="87">
        <f>IF(ISNUMBER($L126),IF($L126&gt;=90,"Excellent Match",IF($L126&gt;=75,"Strong Match",IF($L126&gt;=60,"Moderate Match","Low Match"))),"")</f>
        <v/>
      </c>
      <c r="AE126" s="87">
        <f>IF($D126="","",IF(OR($M126="Rejected",$M126="Withdrawn"),IF($AB126&lt;&gt;"",$AB126,IF(OR($M126="Rejected",ISNUMBER($C126)),"Applied","Wishlist")),IF($M126="",IF(ISNUMBER($C126),"Applied","Wishlist"),$M126)))</f>
        <v/>
      </c>
      <c r="AF126" s="88">
        <f>IF(AND(ISNUMBER($C126),ISNUMBER($AA126)),$AA126-$C126,"")</f>
        <v/>
      </c>
      <c r="AG126" s="87">
        <f>IF($AE126="","",IFERROR(MATCH($AE126,{"Wishlist","Applied","Screening","Interview 1","Interview 2","Final","Offer","Accepted"},0)-1,""))</f>
        <v/>
      </c>
      <c r="AH126" s="87">
        <f>IF($AC126="","",MATCH($AC126,{"FOLLOW UP REQUIRED","ACTION DUE TODAY","NO RESPONSE","DUE SOON"},0)*100000+IF(ISNUMBER($O126),$O126,IF(ISNUMBER($C126),$C126,0))+ROW()/10000)</f>
        <v/>
      </c>
      <c r="AI126" s="87">
        <f>IF(AND(ISNUMBER($AG126),$AG126&gt;=1,$AG126&lt;=6,$M126&lt;&gt;"Rejected",$M126&lt;&gt;"Withdrawn"),(10-$AG126)*100000+IF(ISNUMBER($C126),$C126,0)+ROW()/10000,"")</f>
        <v/>
      </c>
    </row>
    <row r="127">
      <c r="A127" s="80" t="n"/>
      <c r="B127" s="81" t="n"/>
      <c r="C127" s="81" t="n"/>
      <c r="D127" s="82" t="n"/>
      <c r="E127" s="82" t="n"/>
      <c r="F127" s="82" t="n"/>
      <c r="G127" s="82" t="n"/>
      <c r="H127" s="82" t="n"/>
      <c r="I127" s="83" t="n"/>
      <c r="J127" s="82" t="n"/>
      <c r="K127" s="84" t="n"/>
      <c r="L127" s="85" t="n"/>
      <c r="M127" s="82" t="n"/>
      <c r="N127" s="86" t="n"/>
      <c r="O127" s="81" t="n"/>
      <c r="P127" s="82" t="n"/>
      <c r="Q127" s="83" t="n"/>
      <c r="R127" s="82" t="n"/>
      <c r="S127" s="84" t="n"/>
      <c r="T127" s="84" t="n"/>
      <c r="U127" s="82" t="n"/>
      <c r="V127" s="86" t="n"/>
      <c r="W127" s="86" t="n"/>
      <c r="X127" s="86" t="n"/>
      <c r="Y127" s="81" t="n"/>
      <c r="Z127" s="82" t="n"/>
      <c r="AA127" s="81" t="n"/>
      <c r="AB127" s="82" t="n"/>
      <c r="AC127" s="87">
        <f>IF(OR($D127="",$M127="Rejected",$M127="Withdrawn",$M127="Accepted"),"",IF(ISNUMBER($O127),IF(INT($O127)&lt;TODAY(),"FOLLOW UP REQUIRED",IF(INT($O127)=TODAY(),"ACTION DUE TODAY",IF(INT($O127)-TODAY()&lt;=Set_DueSoonDays,"DUE SOON",""))),IF(AND($M127="Applied",$AA127=""),IF(ISNUMBER($C127),IF(TODAY()-$C127&gt;=Set_FollowUpDays,"NO RESPONSE",""),""),"")))</f>
        <v/>
      </c>
      <c r="AD127" s="87">
        <f>IF(ISNUMBER($L127),IF($L127&gt;=90,"Excellent Match",IF($L127&gt;=75,"Strong Match",IF($L127&gt;=60,"Moderate Match","Low Match"))),"")</f>
        <v/>
      </c>
      <c r="AE127" s="87">
        <f>IF($D127="","",IF(OR($M127="Rejected",$M127="Withdrawn"),IF($AB127&lt;&gt;"",$AB127,IF(OR($M127="Rejected",ISNUMBER($C127)),"Applied","Wishlist")),IF($M127="",IF(ISNUMBER($C127),"Applied","Wishlist"),$M127)))</f>
        <v/>
      </c>
      <c r="AF127" s="88">
        <f>IF(AND(ISNUMBER($C127),ISNUMBER($AA127)),$AA127-$C127,"")</f>
        <v/>
      </c>
      <c r="AG127" s="87">
        <f>IF($AE127="","",IFERROR(MATCH($AE127,{"Wishlist","Applied","Screening","Interview 1","Interview 2","Final","Offer","Accepted"},0)-1,""))</f>
        <v/>
      </c>
      <c r="AH127" s="87">
        <f>IF($AC127="","",MATCH($AC127,{"FOLLOW UP REQUIRED","ACTION DUE TODAY","NO RESPONSE","DUE SOON"},0)*100000+IF(ISNUMBER($O127),$O127,IF(ISNUMBER($C127),$C127,0))+ROW()/10000)</f>
        <v/>
      </c>
      <c r="AI127" s="87">
        <f>IF(AND(ISNUMBER($AG127),$AG127&gt;=1,$AG127&lt;=6,$M127&lt;&gt;"Rejected",$M127&lt;&gt;"Withdrawn"),(10-$AG127)*100000+IF(ISNUMBER($C127),$C127,0)+ROW()/10000,"")</f>
        <v/>
      </c>
    </row>
    <row r="128">
      <c r="A128" s="80" t="n"/>
      <c r="B128" s="81" t="n"/>
      <c r="C128" s="81" t="n"/>
      <c r="D128" s="82" t="n"/>
      <c r="E128" s="82" t="n"/>
      <c r="F128" s="82" t="n"/>
      <c r="G128" s="82" t="n"/>
      <c r="H128" s="82" t="n"/>
      <c r="I128" s="83" t="n"/>
      <c r="J128" s="82" t="n"/>
      <c r="K128" s="84" t="n"/>
      <c r="L128" s="85" t="n"/>
      <c r="M128" s="82" t="n"/>
      <c r="N128" s="86" t="n"/>
      <c r="O128" s="81" t="n"/>
      <c r="P128" s="82" t="n"/>
      <c r="Q128" s="83" t="n"/>
      <c r="R128" s="82" t="n"/>
      <c r="S128" s="84" t="n"/>
      <c r="T128" s="84" t="n"/>
      <c r="U128" s="82" t="n"/>
      <c r="V128" s="86" t="n"/>
      <c r="W128" s="86" t="n"/>
      <c r="X128" s="86" t="n"/>
      <c r="Y128" s="81" t="n"/>
      <c r="Z128" s="82" t="n"/>
      <c r="AA128" s="81" t="n"/>
      <c r="AB128" s="82" t="n"/>
      <c r="AC128" s="87">
        <f>IF(OR($D128="",$M128="Rejected",$M128="Withdrawn",$M128="Accepted"),"",IF(ISNUMBER($O128),IF(INT($O128)&lt;TODAY(),"FOLLOW UP REQUIRED",IF(INT($O128)=TODAY(),"ACTION DUE TODAY",IF(INT($O128)-TODAY()&lt;=Set_DueSoonDays,"DUE SOON",""))),IF(AND($M128="Applied",$AA128=""),IF(ISNUMBER($C128),IF(TODAY()-$C128&gt;=Set_FollowUpDays,"NO RESPONSE",""),""),"")))</f>
        <v/>
      </c>
      <c r="AD128" s="87">
        <f>IF(ISNUMBER($L128),IF($L128&gt;=90,"Excellent Match",IF($L128&gt;=75,"Strong Match",IF($L128&gt;=60,"Moderate Match","Low Match"))),"")</f>
        <v/>
      </c>
      <c r="AE128" s="87">
        <f>IF($D128="","",IF(OR($M128="Rejected",$M128="Withdrawn"),IF($AB128&lt;&gt;"",$AB128,IF(OR($M128="Rejected",ISNUMBER($C128)),"Applied","Wishlist")),IF($M128="",IF(ISNUMBER($C128),"Applied","Wishlist"),$M128)))</f>
        <v/>
      </c>
      <c r="AF128" s="88">
        <f>IF(AND(ISNUMBER($C128),ISNUMBER($AA128)),$AA128-$C128,"")</f>
        <v/>
      </c>
      <c r="AG128" s="87">
        <f>IF($AE128="","",IFERROR(MATCH($AE128,{"Wishlist","Applied","Screening","Interview 1","Interview 2","Final","Offer","Accepted"},0)-1,""))</f>
        <v/>
      </c>
      <c r="AH128" s="87">
        <f>IF($AC128="","",MATCH($AC128,{"FOLLOW UP REQUIRED","ACTION DUE TODAY","NO RESPONSE","DUE SOON"},0)*100000+IF(ISNUMBER($O128),$O128,IF(ISNUMBER($C128),$C128,0))+ROW()/10000)</f>
        <v/>
      </c>
      <c r="AI128" s="87">
        <f>IF(AND(ISNUMBER($AG128),$AG128&gt;=1,$AG128&lt;=6,$M128&lt;&gt;"Rejected",$M128&lt;&gt;"Withdrawn"),(10-$AG128)*100000+IF(ISNUMBER($C128),$C128,0)+ROW()/10000,"")</f>
        <v/>
      </c>
    </row>
    <row r="129">
      <c r="A129" s="80" t="n"/>
      <c r="B129" s="81" t="n"/>
      <c r="C129" s="81" t="n"/>
      <c r="D129" s="82" t="n"/>
      <c r="E129" s="82" t="n"/>
      <c r="F129" s="82" t="n"/>
      <c r="G129" s="82" t="n"/>
      <c r="H129" s="82" t="n"/>
      <c r="I129" s="83" t="n"/>
      <c r="J129" s="82" t="n"/>
      <c r="K129" s="84" t="n"/>
      <c r="L129" s="85" t="n"/>
      <c r="M129" s="82" t="n"/>
      <c r="N129" s="86" t="n"/>
      <c r="O129" s="81" t="n"/>
      <c r="P129" s="82" t="n"/>
      <c r="Q129" s="83" t="n"/>
      <c r="R129" s="82" t="n"/>
      <c r="S129" s="84" t="n"/>
      <c r="T129" s="84" t="n"/>
      <c r="U129" s="82" t="n"/>
      <c r="V129" s="86" t="n"/>
      <c r="W129" s="86" t="n"/>
      <c r="X129" s="86" t="n"/>
      <c r="Y129" s="81" t="n"/>
      <c r="Z129" s="82" t="n"/>
      <c r="AA129" s="81" t="n"/>
      <c r="AB129" s="82" t="n"/>
      <c r="AC129" s="87">
        <f>IF(OR($D129="",$M129="Rejected",$M129="Withdrawn",$M129="Accepted"),"",IF(ISNUMBER($O129),IF(INT($O129)&lt;TODAY(),"FOLLOW UP REQUIRED",IF(INT($O129)=TODAY(),"ACTION DUE TODAY",IF(INT($O129)-TODAY()&lt;=Set_DueSoonDays,"DUE SOON",""))),IF(AND($M129="Applied",$AA129=""),IF(ISNUMBER($C129),IF(TODAY()-$C129&gt;=Set_FollowUpDays,"NO RESPONSE",""),""),"")))</f>
        <v/>
      </c>
      <c r="AD129" s="87">
        <f>IF(ISNUMBER($L129),IF($L129&gt;=90,"Excellent Match",IF($L129&gt;=75,"Strong Match",IF($L129&gt;=60,"Moderate Match","Low Match"))),"")</f>
        <v/>
      </c>
      <c r="AE129" s="87">
        <f>IF($D129="","",IF(OR($M129="Rejected",$M129="Withdrawn"),IF($AB129&lt;&gt;"",$AB129,IF(OR($M129="Rejected",ISNUMBER($C129)),"Applied","Wishlist")),IF($M129="",IF(ISNUMBER($C129),"Applied","Wishlist"),$M129)))</f>
        <v/>
      </c>
      <c r="AF129" s="88">
        <f>IF(AND(ISNUMBER($C129),ISNUMBER($AA129)),$AA129-$C129,"")</f>
        <v/>
      </c>
      <c r="AG129" s="87">
        <f>IF($AE129="","",IFERROR(MATCH($AE129,{"Wishlist","Applied","Screening","Interview 1","Interview 2","Final","Offer","Accepted"},0)-1,""))</f>
        <v/>
      </c>
      <c r="AH129" s="87">
        <f>IF($AC129="","",MATCH($AC129,{"FOLLOW UP REQUIRED","ACTION DUE TODAY","NO RESPONSE","DUE SOON"},0)*100000+IF(ISNUMBER($O129),$O129,IF(ISNUMBER($C129),$C129,0))+ROW()/10000)</f>
        <v/>
      </c>
      <c r="AI129" s="87">
        <f>IF(AND(ISNUMBER($AG129),$AG129&gt;=1,$AG129&lt;=6,$M129&lt;&gt;"Rejected",$M129&lt;&gt;"Withdrawn"),(10-$AG129)*100000+IF(ISNUMBER($C129),$C129,0)+ROW()/10000,"")</f>
        <v/>
      </c>
    </row>
    <row r="130">
      <c r="A130" s="80" t="n"/>
      <c r="B130" s="81" t="n"/>
      <c r="C130" s="81" t="n"/>
      <c r="D130" s="82" t="n"/>
      <c r="E130" s="82" t="n"/>
      <c r="F130" s="82" t="n"/>
      <c r="G130" s="82" t="n"/>
      <c r="H130" s="82" t="n"/>
      <c r="I130" s="83" t="n"/>
      <c r="J130" s="82" t="n"/>
      <c r="K130" s="84" t="n"/>
      <c r="L130" s="85" t="n"/>
      <c r="M130" s="82" t="n"/>
      <c r="N130" s="86" t="n"/>
      <c r="O130" s="81" t="n"/>
      <c r="P130" s="82" t="n"/>
      <c r="Q130" s="83" t="n"/>
      <c r="R130" s="82" t="n"/>
      <c r="S130" s="84" t="n"/>
      <c r="T130" s="84" t="n"/>
      <c r="U130" s="82" t="n"/>
      <c r="V130" s="86" t="n"/>
      <c r="W130" s="86" t="n"/>
      <c r="X130" s="86" t="n"/>
      <c r="Y130" s="81" t="n"/>
      <c r="Z130" s="82" t="n"/>
      <c r="AA130" s="81" t="n"/>
      <c r="AB130" s="82" t="n"/>
      <c r="AC130" s="87">
        <f>IF(OR($D130="",$M130="Rejected",$M130="Withdrawn",$M130="Accepted"),"",IF(ISNUMBER($O130),IF(INT($O130)&lt;TODAY(),"FOLLOW UP REQUIRED",IF(INT($O130)=TODAY(),"ACTION DUE TODAY",IF(INT($O130)-TODAY()&lt;=Set_DueSoonDays,"DUE SOON",""))),IF(AND($M130="Applied",$AA130=""),IF(ISNUMBER($C130),IF(TODAY()-$C130&gt;=Set_FollowUpDays,"NO RESPONSE",""),""),"")))</f>
        <v/>
      </c>
      <c r="AD130" s="87">
        <f>IF(ISNUMBER($L130),IF($L130&gt;=90,"Excellent Match",IF($L130&gt;=75,"Strong Match",IF($L130&gt;=60,"Moderate Match","Low Match"))),"")</f>
        <v/>
      </c>
      <c r="AE130" s="87">
        <f>IF($D130="","",IF(OR($M130="Rejected",$M130="Withdrawn"),IF($AB130&lt;&gt;"",$AB130,IF(OR($M130="Rejected",ISNUMBER($C130)),"Applied","Wishlist")),IF($M130="",IF(ISNUMBER($C130),"Applied","Wishlist"),$M130)))</f>
        <v/>
      </c>
      <c r="AF130" s="88">
        <f>IF(AND(ISNUMBER($C130),ISNUMBER($AA130)),$AA130-$C130,"")</f>
        <v/>
      </c>
      <c r="AG130" s="87">
        <f>IF($AE130="","",IFERROR(MATCH($AE130,{"Wishlist","Applied","Screening","Interview 1","Interview 2","Final","Offer","Accepted"},0)-1,""))</f>
        <v/>
      </c>
      <c r="AH130" s="87">
        <f>IF($AC130="","",MATCH($AC130,{"FOLLOW UP REQUIRED","ACTION DUE TODAY","NO RESPONSE","DUE SOON"},0)*100000+IF(ISNUMBER($O130),$O130,IF(ISNUMBER($C130),$C130,0))+ROW()/10000)</f>
        <v/>
      </c>
      <c r="AI130" s="87">
        <f>IF(AND(ISNUMBER($AG130),$AG130&gt;=1,$AG130&lt;=6,$M130&lt;&gt;"Rejected",$M130&lt;&gt;"Withdrawn"),(10-$AG130)*100000+IF(ISNUMBER($C130),$C130,0)+ROW()/10000,"")</f>
        <v/>
      </c>
    </row>
    <row r="131">
      <c r="A131" s="80" t="n"/>
      <c r="B131" s="81" t="n"/>
      <c r="C131" s="81" t="n"/>
      <c r="D131" s="82" t="n"/>
      <c r="E131" s="82" t="n"/>
      <c r="F131" s="82" t="n"/>
      <c r="G131" s="82" t="n"/>
      <c r="H131" s="82" t="n"/>
      <c r="I131" s="83" t="n"/>
      <c r="J131" s="82" t="n"/>
      <c r="K131" s="84" t="n"/>
      <c r="L131" s="85" t="n"/>
      <c r="M131" s="82" t="n"/>
      <c r="N131" s="86" t="n"/>
      <c r="O131" s="81" t="n"/>
      <c r="P131" s="82" t="n"/>
      <c r="Q131" s="83" t="n"/>
      <c r="R131" s="82" t="n"/>
      <c r="S131" s="84" t="n"/>
      <c r="T131" s="84" t="n"/>
      <c r="U131" s="82" t="n"/>
      <c r="V131" s="86" t="n"/>
      <c r="W131" s="86" t="n"/>
      <c r="X131" s="86" t="n"/>
      <c r="Y131" s="81" t="n"/>
      <c r="Z131" s="82" t="n"/>
      <c r="AA131" s="81" t="n"/>
      <c r="AB131" s="82" t="n"/>
      <c r="AC131" s="87">
        <f>IF(OR($D131="",$M131="Rejected",$M131="Withdrawn",$M131="Accepted"),"",IF(ISNUMBER($O131),IF(INT($O131)&lt;TODAY(),"FOLLOW UP REQUIRED",IF(INT($O131)=TODAY(),"ACTION DUE TODAY",IF(INT($O131)-TODAY()&lt;=Set_DueSoonDays,"DUE SOON",""))),IF(AND($M131="Applied",$AA131=""),IF(ISNUMBER($C131),IF(TODAY()-$C131&gt;=Set_FollowUpDays,"NO RESPONSE",""),""),"")))</f>
        <v/>
      </c>
      <c r="AD131" s="87">
        <f>IF(ISNUMBER($L131),IF($L131&gt;=90,"Excellent Match",IF($L131&gt;=75,"Strong Match",IF($L131&gt;=60,"Moderate Match","Low Match"))),"")</f>
        <v/>
      </c>
      <c r="AE131" s="87">
        <f>IF($D131="","",IF(OR($M131="Rejected",$M131="Withdrawn"),IF($AB131&lt;&gt;"",$AB131,IF(OR($M131="Rejected",ISNUMBER($C131)),"Applied","Wishlist")),IF($M131="",IF(ISNUMBER($C131),"Applied","Wishlist"),$M131)))</f>
        <v/>
      </c>
      <c r="AF131" s="88">
        <f>IF(AND(ISNUMBER($C131),ISNUMBER($AA131)),$AA131-$C131,"")</f>
        <v/>
      </c>
      <c r="AG131" s="87">
        <f>IF($AE131="","",IFERROR(MATCH($AE131,{"Wishlist","Applied","Screening","Interview 1","Interview 2","Final","Offer","Accepted"},0)-1,""))</f>
        <v/>
      </c>
      <c r="AH131" s="87">
        <f>IF($AC131="","",MATCH($AC131,{"FOLLOW UP REQUIRED","ACTION DUE TODAY","NO RESPONSE","DUE SOON"},0)*100000+IF(ISNUMBER($O131),$O131,IF(ISNUMBER($C131),$C131,0))+ROW()/10000)</f>
        <v/>
      </c>
      <c r="AI131" s="87">
        <f>IF(AND(ISNUMBER($AG131),$AG131&gt;=1,$AG131&lt;=6,$M131&lt;&gt;"Rejected",$M131&lt;&gt;"Withdrawn"),(10-$AG131)*100000+IF(ISNUMBER($C131),$C131,0)+ROW()/10000,"")</f>
        <v/>
      </c>
    </row>
    <row r="132">
      <c r="A132" s="80" t="n"/>
      <c r="B132" s="81" t="n"/>
      <c r="C132" s="81" t="n"/>
      <c r="D132" s="82" t="n"/>
      <c r="E132" s="82" t="n"/>
      <c r="F132" s="82" t="n"/>
      <c r="G132" s="82" t="n"/>
      <c r="H132" s="82" t="n"/>
      <c r="I132" s="83" t="n"/>
      <c r="J132" s="82" t="n"/>
      <c r="K132" s="84" t="n"/>
      <c r="L132" s="85" t="n"/>
      <c r="M132" s="82" t="n"/>
      <c r="N132" s="86" t="n"/>
      <c r="O132" s="81" t="n"/>
      <c r="P132" s="82" t="n"/>
      <c r="Q132" s="83" t="n"/>
      <c r="R132" s="82" t="n"/>
      <c r="S132" s="84" t="n"/>
      <c r="T132" s="84" t="n"/>
      <c r="U132" s="82" t="n"/>
      <c r="V132" s="86" t="n"/>
      <c r="W132" s="86" t="n"/>
      <c r="X132" s="86" t="n"/>
      <c r="Y132" s="81" t="n"/>
      <c r="Z132" s="82" t="n"/>
      <c r="AA132" s="81" t="n"/>
      <c r="AB132" s="82" t="n"/>
      <c r="AC132" s="87">
        <f>IF(OR($D132="",$M132="Rejected",$M132="Withdrawn",$M132="Accepted"),"",IF(ISNUMBER($O132),IF(INT($O132)&lt;TODAY(),"FOLLOW UP REQUIRED",IF(INT($O132)=TODAY(),"ACTION DUE TODAY",IF(INT($O132)-TODAY()&lt;=Set_DueSoonDays,"DUE SOON",""))),IF(AND($M132="Applied",$AA132=""),IF(ISNUMBER($C132),IF(TODAY()-$C132&gt;=Set_FollowUpDays,"NO RESPONSE",""),""),"")))</f>
        <v/>
      </c>
      <c r="AD132" s="87">
        <f>IF(ISNUMBER($L132),IF($L132&gt;=90,"Excellent Match",IF($L132&gt;=75,"Strong Match",IF($L132&gt;=60,"Moderate Match","Low Match"))),"")</f>
        <v/>
      </c>
      <c r="AE132" s="87">
        <f>IF($D132="","",IF(OR($M132="Rejected",$M132="Withdrawn"),IF($AB132&lt;&gt;"",$AB132,IF(OR($M132="Rejected",ISNUMBER($C132)),"Applied","Wishlist")),IF($M132="",IF(ISNUMBER($C132),"Applied","Wishlist"),$M132)))</f>
        <v/>
      </c>
      <c r="AF132" s="88">
        <f>IF(AND(ISNUMBER($C132),ISNUMBER($AA132)),$AA132-$C132,"")</f>
        <v/>
      </c>
      <c r="AG132" s="87">
        <f>IF($AE132="","",IFERROR(MATCH($AE132,{"Wishlist","Applied","Screening","Interview 1","Interview 2","Final","Offer","Accepted"},0)-1,""))</f>
        <v/>
      </c>
      <c r="AH132" s="87">
        <f>IF($AC132="","",MATCH($AC132,{"FOLLOW UP REQUIRED","ACTION DUE TODAY","NO RESPONSE","DUE SOON"},0)*100000+IF(ISNUMBER($O132),$O132,IF(ISNUMBER($C132),$C132,0))+ROW()/10000)</f>
        <v/>
      </c>
      <c r="AI132" s="87">
        <f>IF(AND(ISNUMBER($AG132),$AG132&gt;=1,$AG132&lt;=6,$M132&lt;&gt;"Rejected",$M132&lt;&gt;"Withdrawn"),(10-$AG132)*100000+IF(ISNUMBER($C132),$C132,0)+ROW()/10000,"")</f>
        <v/>
      </c>
    </row>
    <row r="133">
      <c r="A133" s="80" t="n"/>
      <c r="B133" s="81" t="n"/>
      <c r="C133" s="81" t="n"/>
      <c r="D133" s="82" t="n"/>
      <c r="E133" s="82" t="n"/>
      <c r="F133" s="82" t="n"/>
      <c r="G133" s="82" t="n"/>
      <c r="H133" s="82" t="n"/>
      <c r="I133" s="83" t="n"/>
      <c r="J133" s="82" t="n"/>
      <c r="K133" s="84" t="n"/>
      <c r="L133" s="85" t="n"/>
      <c r="M133" s="82" t="n"/>
      <c r="N133" s="86" t="n"/>
      <c r="O133" s="81" t="n"/>
      <c r="P133" s="82" t="n"/>
      <c r="Q133" s="83" t="n"/>
      <c r="R133" s="82" t="n"/>
      <c r="S133" s="84" t="n"/>
      <c r="T133" s="84" t="n"/>
      <c r="U133" s="82" t="n"/>
      <c r="V133" s="86" t="n"/>
      <c r="W133" s="86" t="n"/>
      <c r="X133" s="86" t="n"/>
      <c r="Y133" s="81" t="n"/>
      <c r="Z133" s="82" t="n"/>
      <c r="AA133" s="81" t="n"/>
      <c r="AB133" s="82" t="n"/>
      <c r="AC133" s="87">
        <f>IF(OR($D133="",$M133="Rejected",$M133="Withdrawn",$M133="Accepted"),"",IF(ISNUMBER($O133),IF(INT($O133)&lt;TODAY(),"FOLLOW UP REQUIRED",IF(INT($O133)=TODAY(),"ACTION DUE TODAY",IF(INT($O133)-TODAY()&lt;=Set_DueSoonDays,"DUE SOON",""))),IF(AND($M133="Applied",$AA133=""),IF(ISNUMBER($C133),IF(TODAY()-$C133&gt;=Set_FollowUpDays,"NO RESPONSE",""),""),"")))</f>
        <v/>
      </c>
      <c r="AD133" s="87">
        <f>IF(ISNUMBER($L133),IF($L133&gt;=90,"Excellent Match",IF($L133&gt;=75,"Strong Match",IF($L133&gt;=60,"Moderate Match","Low Match"))),"")</f>
        <v/>
      </c>
      <c r="AE133" s="87">
        <f>IF($D133="","",IF(OR($M133="Rejected",$M133="Withdrawn"),IF($AB133&lt;&gt;"",$AB133,IF(OR($M133="Rejected",ISNUMBER($C133)),"Applied","Wishlist")),IF($M133="",IF(ISNUMBER($C133),"Applied","Wishlist"),$M133)))</f>
        <v/>
      </c>
      <c r="AF133" s="88">
        <f>IF(AND(ISNUMBER($C133),ISNUMBER($AA133)),$AA133-$C133,"")</f>
        <v/>
      </c>
      <c r="AG133" s="87">
        <f>IF($AE133="","",IFERROR(MATCH($AE133,{"Wishlist","Applied","Screening","Interview 1","Interview 2","Final","Offer","Accepted"},0)-1,""))</f>
        <v/>
      </c>
      <c r="AH133" s="87">
        <f>IF($AC133="","",MATCH($AC133,{"FOLLOW UP REQUIRED","ACTION DUE TODAY","NO RESPONSE","DUE SOON"},0)*100000+IF(ISNUMBER($O133),$O133,IF(ISNUMBER($C133),$C133,0))+ROW()/10000)</f>
        <v/>
      </c>
      <c r="AI133" s="87">
        <f>IF(AND(ISNUMBER($AG133),$AG133&gt;=1,$AG133&lt;=6,$M133&lt;&gt;"Rejected",$M133&lt;&gt;"Withdrawn"),(10-$AG133)*100000+IF(ISNUMBER($C133),$C133,0)+ROW()/10000,"")</f>
        <v/>
      </c>
    </row>
    <row r="134">
      <c r="A134" s="80" t="n"/>
      <c r="B134" s="81" t="n"/>
      <c r="C134" s="81" t="n"/>
      <c r="D134" s="82" t="n"/>
      <c r="E134" s="82" t="n"/>
      <c r="F134" s="82" t="n"/>
      <c r="G134" s="82" t="n"/>
      <c r="H134" s="82" t="n"/>
      <c r="I134" s="83" t="n"/>
      <c r="J134" s="82" t="n"/>
      <c r="K134" s="84" t="n"/>
      <c r="L134" s="85" t="n"/>
      <c r="M134" s="82" t="n"/>
      <c r="N134" s="86" t="n"/>
      <c r="O134" s="81" t="n"/>
      <c r="P134" s="82" t="n"/>
      <c r="Q134" s="83" t="n"/>
      <c r="R134" s="82" t="n"/>
      <c r="S134" s="84" t="n"/>
      <c r="T134" s="84" t="n"/>
      <c r="U134" s="82" t="n"/>
      <c r="V134" s="86" t="n"/>
      <c r="W134" s="86" t="n"/>
      <c r="X134" s="86" t="n"/>
      <c r="Y134" s="81" t="n"/>
      <c r="Z134" s="82" t="n"/>
      <c r="AA134" s="81" t="n"/>
      <c r="AB134" s="82" t="n"/>
      <c r="AC134" s="87">
        <f>IF(OR($D134="",$M134="Rejected",$M134="Withdrawn",$M134="Accepted"),"",IF(ISNUMBER($O134),IF(INT($O134)&lt;TODAY(),"FOLLOW UP REQUIRED",IF(INT($O134)=TODAY(),"ACTION DUE TODAY",IF(INT($O134)-TODAY()&lt;=Set_DueSoonDays,"DUE SOON",""))),IF(AND($M134="Applied",$AA134=""),IF(ISNUMBER($C134),IF(TODAY()-$C134&gt;=Set_FollowUpDays,"NO RESPONSE",""),""),"")))</f>
        <v/>
      </c>
      <c r="AD134" s="87">
        <f>IF(ISNUMBER($L134),IF($L134&gt;=90,"Excellent Match",IF($L134&gt;=75,"Strong Match",IF($L134&gt;=60,"Moderate Match","Low Match"))),"")</f>
        <v/>
      </c>
      <c r="AE134" s="87">
        <f>IF($D134="","",IF(OR($M134="Rejected",$M134="Withdrawn"),IF($AB134&lt;&gt;"",$AB134,IF(OR($M134="Rejected",ISNUMBER($C134)),"Applied","Wishlist")),IF($M134="",IF(ISNUMBER($C134),"Applied","Wishlist"),$M134)))</f>
        <v/>
      </c>
      <c r="AF134" s="88">
        <f>IF(AND(ISNUMBER($C134),ISNUMBER($AA134)),$AA134-$C134,"")</f>
        <v/>
      </c>
      <c r="AG134" s="87">
        <f>IF($AE134="","",IFERROR(MATCH($AE134,{"Wishlist","Applied","Screening","Interview 1","Interview 2","Final","Offer","Accepted"},0)-1,""))</f>
        <v/>
      </c>
      <c r="AH134" s="87">
        <f>IF($AC134="","",MATCH($AC134,{"FOLLOW UP REQUIRED","ACTION DUE TODAY","NO RESPONSE","DUE SOON"},0)*100000+IF(ISNUMBER($O134),$O134,IF(ISNUMBER($C134),$C134,0))+ROW()/10000)</f>
        <v/>
      </c>
      <c r="AI134" s="87">
        <f>IF(AND(ISNUMBER($AG134),$AG134&gt;=1,$AG134&lt;=6,$M134&lt;&gt;"Rejected",$M134&lt;&gt;"Withdrawn"),(10-$AG134)*100000+IF(ISNUMBER($C134),$C134,0)+ROW()/10000,"")</f>
        <v/>
      </c>
    </row>
    <row r="135">
      <c r="A135" s="80" t="n"/>
      <c r="B135" s="81" t="n"/>
      <c r="C135" s="81" t="n"/>
      <c r="D135" s="82" t="n"/>
      <c r="E135" s="82" t="n"/>
      <c r="F135" s="82" t="n"/>
      <c r="G135" s="82" t="n"/>
      <c r="H135" s="82" t="n"/>
      <c r="I135" s="83" t="n"/>
      <c r="J135" s="82" t="n"/>
      <c r="K135" s="84" t="n"/>
      <c r="L135" s="85" t="n"/>
      <c r="M135" s="82" t="n"/>
      <c r="N135" s="86" t="n"/>
      <c r="O135" s="81" t="n"/>
      <c r="P135" s="82" t="n"/>
      <c r="Q135" s="83" t="n"/>
      <c r="R135" s="82" t="n"/>
      <c r="S135" s="84" t="n"/>
      <c r="T135" s="84" t="n"/>
      <c r="U135" s="82" t="n"/>
      <c r="V135" s="86" t="n"/>
      <c r="W135" s="86" t="n"/>
      <c r="X135" s="86" t="n"/>
      <c r="Y135" s="81" t="n"/>
      <c r="Z135" s="82" t="n"/>
      <c r="AA135" s="81" t="n"/>
      <c r="AB135" s="82" t="n"/>
      <c r="AC135" s="87">
        <f>IF(OR($D135="",$M135="Rejected",$M135="Withdrawn",$M135="Accepted"),"",IF(ISNUMBER($O135),IF(INT($O135)&lt;TODAY(),"FOLLOW UP REQUIRED",IF(INT($O135)=TODAY(),"ACTION DUE TODAY",IF(INT($O135)-TODAY()&lt;=Set_DueSoonDays,"DUE SOON",""))),IF(AND($M135="Applied",$AA135=""),IF(ISNUMBER($C135),IF(TODAY()-$C135&gt;=Set_FollowUpDays,"NO RESPONSE",""),""),"")))</f>
        <v/>
      </c>
      <c r="AD135" s="87">
        <f>IF(ISNUMBER($L135),IF($L135&gt;=90,"Excellent Match",IF($L135&gt;=75,"Strong Match",IF($L135&gt;=60,"Moderate Match","Low Match"))),"")</f>
        <v/>
      </c>
      <c r="AE135" s="87">
        <f>IF($D135="","",IF(OR($M135="Rejected",$M135="Withdrawn"),IF($AB135&lt;&gt;"",$AB135,IF(OR($M135="Rejected",ISNUMBER($C135)),"Applied","Wishlist")),IF($M135="",IF(ISNUMBER($C135),"Applied","Wishlist"),$M135)))</f>
        <v/>
      </c>
      <c r="AF135" s="88">
        <f>IF(AND(ISNUMBER($C135),ISNUMBER($AA135)),$AA135-$C135,"")</f>
        <v/>
      </c>
      <c r="AG135" s="87">
        <f>IF($AE135="","",IFERROR(MATCH($AE135,{"Wishlist","Applied","Screening","Interview 1","Interview 2","Final","Offer","Accepted"},0)-1,""))</f>
        <v/>
      </c>
      <c r="AH135" s="87">
        <f>IF($AC135="","",MATCH($AC135,{"FOLLOW UP REQUIRED","ACTION DUE TODAY","NO RESPONSE","DUE SOON"},0)*100000+IF(ISNUMBER($O135),$O135,IF(ISNUMBER($C135),$C135,0))+ROW()/10000)</f>
        <v/>
      </c>
      <c r="AI135" s="87">
        <f>IF(AND(ISNUMBER($AG135),$AG135&gt;=1,$AG135&lt;=6,$M135&lt;&gt;"Rejected",$M135&lt;&gt;"Withdrawn"),(10-$AG135)*100000+IF(ISNUMBER($C135),$C135,0)+ROW()/10000,"")</f>
        <v/>
      </c>
    </row>
    <row r="136">
      <c r="A136" s="80" t="n"/>
      <c r="B136" s="81" t="n"/>
      <c r="C136" s="81" t="n"/>
      <c r="D136" s="82" t="n"/>
      <c r="E136" s="82" t="n"/>
      <c r="F136" s="82" t="n"/>
      <c r="G136" s="82" t="n"/>
      <c r="H136" s="82" t="n"/>
      <c r="I136" s="83" t="n"/>
      <c r="J136" s="82" t="n"/>
      <c r="K136" s="84" t="n"/>
      <c r="L136" s="85" t="n"/>
      <c r="M136" s="82" t="n"/>
      <c r="N136" s="86" t="n"/>
      <c r="O136" s="81" t="n"/>
      <c r="P136" s="82" t="n"/>
      <c r="Q136" s="83" t="n"/>
      <c r="R136" s="82" t="n"/>
      <c r="S136" s="84" t="n"/>
      <c r="T136" s="84" t="n"/>
      <c r="U136" s="82" t="n"/>
      <c r="V136" s="86" t="n"/>
      <c r="W136" s="86" t="n"/>
      <c r="X136" s="86" t="n"/>
      <c r="Y136" s="81" t="n"/>
      <c r="Z136" s="82" t="n"/>
      <c r="AA136" s="81" t="n"/>
      <c r="AB136" s="82" t="n"/>
      <c r="AC136" s="87">
        <f>IF(OR($D136="",$M136="Rejected",$M136="Withdrawn",$M136="Accepted"),"",IF(ISNUMBER($O136),IF(INT($O136)&lt;TODAY(),"FOLLOW UP REQUIRED",IF(INT($O136)=TODAY(),"ACTION DUE TODAY",IF(INT($O136)-TODAY()&lt;=Set_DueSoonDays,"DUE SOON",""))),IF(AND($M136="Applied",$AA136=""),IF(ISNUMBER($C136),IF(TODAY()-$C136&gt;=Set_FollowUpDays,"NO RESPONSE",""),""),"")))</f>
        <v/>
      </c>
      <c r="AD136" s="87">
        <f>IF(ISNUMBER($L136),IF($L136&gt;=90,"Excellent Match",IF($L136&gt;=75,"Strong Match",IF($L136&gt;=60,"Moderate Match","Low Match"))),"")</f>
        <v/>
      </c>
      <c r="AE136" s="87">
        <f>IF($D136="","",IF(OR($M136="Rejected",$M136="Withdrawn"),IF($AB136&lt;&gt;"",$AB136,IF(OR($M136="Rejected",ISNUMBER($C136)),"Applied","Wishlist")),IF($M136="",IF(ISNUMBER($C136),"Applied","Wishlist"),$M136)))</f>
        <v/>
      </c>
      <c r="AF136" s="88">
        <f>IF(AND(ISNUMBER($C136),ISNUMBER($AA136)),$AA136-$C136,"")</f>
        <v/>
      </c>
      <c r="AG136" s="87">
        <f>IF($AE136="","",IFERROR(MATCH($AE136,{"Wishlist","Applied","Screening","Interview 1","Interview 2","Final","Offer","Accepted"},0)-1,""))</f>
        <v/>
      </c>
      <c r="AH136" s="87">
        <f>IF($AC136="","",MATCH($AC136,{"FOLLOW UP REQUIRED","ACTION DUE TODAY","NO RESPONSE","DUE SOON"},0)*100000+IF(ISNUMBER($O136),$O136,IF(ISNUMBER($C136),$C136,0))+ROW()/10000)</f>
        <v/>
      </c>
      <c r="AI136" s="87">
        <f>IF(AND(ISNUMBER($AG136),$AG136&gt;=1,$AG136&lt;=6,$M136&lt;&gt;"Rejected",$M136&lt;&gt;"Withdrawn"),(10-$AG136)*100000+IF(ISNUMBER($C136),$C136,0)+ROW()/10000,"")</f>
        <v/>
      </c>
    </row>
    <row r="137">
      <c r="A137" s="80" t="n"/>
      <c r="B137" s="81" t="n"/>
      <c r="C137" s="81" t="n"/>
      <c r="D137" s="82" t="n"/>
      <c r="E137" s="82" t="n"/>
      <c r="F137" s="82" t="n"/>
      <c r="G137" s="82" t="n"/>
      <c r="H137" s="82" t="n"/>
      <c r="I137" s="83" t="n"/>
      <c r="J137" s="82" t="n"/>
      <c r="K137" s="84" t="n"/>
      <c r="L137" s="85" t="n"/>
      <c r="M137" s="82" t="n"/>
      <c r="N137" s="86" t="n"/>
      <c r="O137" s="81" t="n"/>
      <c r="P137" s="82" t="n"/>
      <c r="Q137" s="83" t="n"/>
      <c r="R137" s="82" t="n"/>
      <c r="S137" s="84" t="n"/>
      <c r="T137" s="84" t="n"/>
      <c r="U137" s="82" t="n"/>
      <c r="V137" s="86" t="n"/>
      <c r="W137" s="86" t="n"/>
      <c r="X137" s="86" t="n"/>
      <c r="Y137" s="81" t="n"/>
      <c r="Z137" s="82" t="n"/>
      <c r="AA137" s="81" t="n"/>
      <c r="AB137" s="82" t="n"/>
      <c r="AC137" s="87">
        <f>IF(OR($D137="",$M137="Rejected",$M137="Withdrawn",$M137="Accepted"),"",IF(ISNUMBER($O137),IF(INT($O137)&lt;TODAY(),"FOLLOW UP REQUIRED",IF(INT($O137)=TODAY(),"ACTION DUE TODAY",IF(INT($O137)-TODAY()&lt;=Set_DueSoonDays,"DUE SOON",""))),IF(AND($M137="Applied",$AA137=""),IF(ISNUMBER($C137),IF(TODAY()-$C137&gt;=Set_FollowUpDays,"NO RESPONSE",""),""),"")))</f>
        <v/>
      </c>
      <c r="AD137" s="87">
        <f>IF(ISNUMBER($L137),IF($L137&gt;=90,"Excellent Match",IF($L137&gt;=75,"Strong Match",IF($L137&gt;=60,"Moderate Match","Low Match"))),"")</f>
        <v/>
      </c>
      <c r="AE137" s="87">
        <f>IF($D137="","",IF(OR($M137="Rejected",$M137="Withdrawn"),IF($AB137&lt;&gt;"",$AB137,IF(OR($M137="Rejected",ISNUMBER($C137)),"Applied","Wishlist")),IF($M137="",IF(ISNUMBER($C137),"Applied","Wishlist"),$M137)))</f>
        <v/>
      </c>
      <c r="AF137" s="88">
        <f>IF(AND(ISNUMBER($C137),ISNUMBER($AA137)),$AA137-$C137,"")</f>
        <v/>
      </c>
      <c r="AG137" s="87">
        <f>IF($AE137="","",IFERROR(MATCH($AE137,{"Wishlist","Applied","Screening","Interview 1","Interview 2","Final","Offer","Accepted"},0)-1,""))</f>
        <v/>
      </c>
      <c r="AH137" s="87">
        <f>IF($AC137="","",MATCH($AC137,{"FOLLOW UP REQUIRED","ACTION DUE TODAY","NO RESPONSE","DUE SOON"},0)*100000+IF(ISNUMBER($O137),$O137,IF(ISNUMBER($C137),$C137,0))+ROW()/10000)</f>
        <v/>
      </c>
      <c r="AI137" s="87">
        <f>IF(AND(ISNUMBER($AG137),$AG137&gt;=1,$AG137&lt;=6,$M137&lt;&gt;"Rejected",$M137&lt;&gt;"Withdrawn"),(10-$AG137)*100000+IF(ISNUMBER($C137),$C137,0)+ROW()/10000,"")</f>
        <v/>
      </c>
    </row>
    <row r="138">
      <c r="A138" s="80" t="n"/>
      <c r="B138" s="81" t="n"/>
      <c r="C138" s="81" t="n"/>
      <c r="D138" s="82" t="n"/>
      <c r="E138" s="82" t="n"/>
      <c r="F138" s="82" t="n"/>
      <c r="G138" s="82" t="n"/>
      <c r="H138" s="82" t="n"/>
      <c r="I138" s="83" t="n"/>
      <c r="J138" s="82" t="n"/>
      <c r="K138" s="84" t="n"/>
      <c r="L138" s="85" t="n"/>
      <c r="M138" s="82" t="n"/>
      <c r="N138" s="86" t="n"/>
      <c r="O138" s="81" t="n"/>
      <c r="P138" s="82" t="n"/>
      <c r="Q138" s="83" t="n"/>
      <c r="R138" s="82" t="n"/>
      <c r="S138" s="84" t="n"/>
      <c r="T138" s="84" t="n"/>
      <c r="U138" s="82" t="n"/>
      <c r="V138" s="86" t="n"/>
      <c r="W138" s="86" t="n"/>
      <c r="X138" s="86" t="n"/>
      <c r="Y138" s="81" t="n"/>
      <c r="Z138" s="82" t="n"/>
      <c r="AA138" s="81" t="n"/>
      <c r="AB138" s="82" t="n"/>
      <c r="AC138" s="87">
        <f>IF(OR($D138="",$M138="Rejected",$M138="Withdrawn",$M138="Accepted"),"",IF(ISNUMBER($O138),IF(INT($O138)&lt;TODAY(),"FOLLOW UP REQUIRED",IF(INT($O138)=TODAY(),"ACTION DUE TODAY",IF(INT($O138)-TODAY()&lt;=Set_DueSoonDays,"DUE SOON",""))),IF(AND($M138="Applied",$AA138=""),IF(ISNUMBER($C138),IF(TODAY()-$C138&gt;=Set_FollowUpDays,"NO RESPONSE",""),""),"")))</f>
        <v/>
      </c>
      <c r="AD138" s="87">
        <f>IF(ISNUMBER($L138),IF($L138&gt;=90,"Excellent Match",IF($L138&gt;=75,"Strong Match",IF($L138&gt;=60,"Moderate Match","Low Match"))),"")</f>
        <v/>
      </c>
      <c r="AE138" s="87">
        <f>IF($D138="","",IF(OR($M138="Rejected",$M138="Withdrawn"),IF($AB138&lt;&gt;"",$AB138,IF(OR($M138="Rejected",ISNUMBER($C138)),"Applied","Wishlist")),IF($M138="",IF(ISNUMBER($C138),"Applied","Wishlist"),$M138)))</f>
        <v/>
      </c>
      <c r="AF138" s="88">
        <f>IF(AND(ISNUMBER($C138),ISNUMBER($AA138)),$AA138-$C138,"")</f>
        <v/>
      </c>
      <c r="AG138" s="87">
        <f>IF($AE138="","",IFERROR(MATCH($AE138,{"Wishlist","Applied","Screening","Interview 1","Interview 2","Final","Offer","Accepted"},0)-1,""))</f>
        <v/>
      </c>
      <c r="AH138" s="87">
        <f>IF($AC138="","",MATCH($AC138,{"FOLLOW UP REQUIRED","ACTION DUE TODAY","NO RESPONSE","DUE SOON"},0)*100000+IF(ISNUMBER($O138),$O138,IF(ISNUMBER($C138),$C138,0))+ROW()/10000)</f>
        <v/>
      </c>
      <c r="AI138" s="87">
        <f>IF(AND(ISNUMBER($AG138),$AG138&gt;=1,$AG138&lt;=6,$M138&lt;&gt;"Rejected",$M138&lt;&gt;"Withdrawn"),(10-$AG138)*100000+IF(ISNUMBER($C138),$C138,0)+ROW()/10000,"")</f>
        <v/>
      </c>
    </row>
    <row r="139">
      <c r="A139" s="80" t="n"/>
      <c r="B139" s="81" t="n"/>
      <c r="C139" s="81" t="n"/>
      <c r="D139" s="82" t="n"/>
      <c r="E139" s="82" t="n"/>
      <c r="F139" s="82" t="n"/>
      <c r="G139" s="82" t="n"/>
      <c r="H139" s="82" t="n"/>
      <c r="I139" s="83" t="n"/>
      <c r="J139" s="82" t="n"/>
      <c r="K139" s="84" t="n"/>
      <c r="L139" s="85" t="n"/>
      <c r="M139" s="82" t="n"/>
      <c r="N139" s="86" t="n"/>
      <c r="O139" s="81" t="n"/>
      <c r="P139" s="82" t="n"/>
      <c r="Q139" s="83" t="n"/>
      <c r="R139" s="82" t="n"/>
      <c r="S139" s="84" t="n"/>
      <c r="T139" s="84" t="n"/>
      <c r="U139" s="82" t="n"/>
      <c r="V139" s="86" t="n"/>
      <c r="W139" s="86" t="n"/>
      <c r="X139" s="86" t="n"/>
      <c r="Y139" s="81" t="n"/>
      <c r="Z139" s="82" t="n"/>
      <c r="AA139" s="81" t="n"/>
      <c r="AB139" s="82" t="n"/>
      <c r="AC139" s="87">
        <f>IF(OR($D139="",$M139="Rejected",$M139="Withdrawn",$M139="Accepted"),"",IF(ISNUMBER($O139),IF(INT($O139)&lt;TODAY(),"FOLLOW UP REQUIRED",IF(INT($O139)=TODAY(),"ACTION DUE TODAY",IF(INT($O139)-TODAY()&lt;=Set_DueSoonDays,"DUE SOON",""))),IF(AND($M139="Applied",$AA139=""),IF(ISNUMBER($C139),IF(TODAY()-$C139&gt;=Set_FollowUpDays,"NO RESPONSE",""),""),"")))</f>
        <v/>
      </c>
      <c r="AD139" s="87">
        <f>IF(ISNUMBER($L139),IF($L139&gt;=90,"Excellent Match",IF($L139&gt;=75,"Strong Match",IF($L139&gt;=60,"Moderate Match","Low Match"))),"")</f>
        <v/>
      </c>
      <c r="AE139" s="87">
        <f>IF($D139="","",IF(OR($M139="Rejected",$M139="Withdrawn"),IF($AB139&lt;&gt;"",$AB139,IF(OR($M139="Rejected",ISNUMBER($C139)),"Applied","Wishlist")),IF($M139="",IF(ISNUMBER($C139),"Applied","Wishlist"),$M139)))</f>
        <v/>
      </c>
      <c r="AF139" s="88">
        <f>IF(AND(ISNUMBER($C139),ISNUMBER($AA139)),$AA139-$C139,"")</f>
        <v/>
      </c>
      <c r="AG139" s="87">
        <f>IF($AE139="","",IFERROR(MATCH($AE139,{"Wishlist","Applied","Screening","Interview 1","Interview 2","Final","Offer","Accepted"},0)-1,""))</f>
        <v/>
      </c>
      <c r="AH139" s="87">
        <f>IF($AC139="","",MATCH($AC139,{"FOLLOW UP REQUIRED","ACTION DUE TODAY","NO RESPONSE","DUE SOON"},0)*100000+IF(ISNUMBER($O139),$O139,IF(ISNUMBER($C139),$C139,0))+ROW()/10000)</f>
        <v/>
      </c>
      <c r="AI139" s="87">
        <f>IF(AND(ISNUMBER($AG139),$AG139&gt;=1,$AG139&lt;=6,$M139&lt;&gt;"Rejected",$M139&lt;&gt;"Withdrawn"),(10-$AG139)*100000+IF(ISNUMBER($C139),$C139,0)+ROW()/10000,"")</f>
        <v/>
      </c>
    </row>
    <row r="140">
      <c r="A140" s="80" t="n"/>
      <c r="B140" s="81" t="n"/>
      <c r="C140" s="81" t="n"/>
      <c r="D140" s="82" t="n"/>
      <c r="E140" s="82" t="n"/>
      <c r="F140" s="82" t="n"/>
      <c r="G140" s="82" t="n"/>
      <c r="H140" s="82" t="n"/>
      <c r="I140" s="83" t="n"/>
      <c r="J140" s="82" t="n"/>
      <c r="K140" s="84" t="n"/>
      <c r="L140" s="85" t="n"/>
      <c r="M140" s="82" t="n"/>
      <c r="N140" s="86" t="n"/>
      <c r="O140" s="81" t="n"/>
      <c r="P140" s="82" t="n"/>
      <c r="Q140" s="83" t="n"/>
      <c r="R140" s="82" t="n"/>
      <c r="S140" s="84" t="n"/>
      <c r="T140" s="84" t="n"/>
      <c r="U140" s="82" t="n"/>
      <c r="V140" s="86" t="n"/>
      <c r="W140" s="86" t="n"/>
      <c r="X140" s="86" t="n"/>
      <c r="Y140" s="81" t="n"/>
      <c r="Z140" s="82" t="n"/>
      <c r="AA140" s="81" t="n"/>
      <c r="AB140" s="82" t="n"/>
      <c r="AC140" s="87">
        <f>IF(OR($D140="",$M140="Rejected",$M140="Withdrawn",$M140="Accepted"),"",IF(ISNUMBER($O140),IF(INT($O140)&lt;TODAY(),"FOLLOW UP REQUIRED",IF(INT($O140)=TODAY(),"ACTION DUE TODAY",IF(INT($O140)-TODAY()&lt;=Set_DueSoonDays,"DUE SOON",""))),IF(AND($M140="Applied",$AA140=""),IF(ISNUMBER($C140),IF(TODAY()-$C140&gt;=Set_FollowUpDays,"NO RESPONSE",""),""),"")))</f>
        <v/>
      </c>
      <c r="AD140" s="87">
        <f>IF(ISNUMBER($L140),IF($L140&gt;=90,"Excellent Match",IF($L140&gt;=75,"Strong Match",IF($L140&gt;=60,"Moderate Match","Low Match"))),"")</f>
        <v/>
      </c>
      <c r="AE140" s="87">
        <f>IF($D140="","",IF(OR($M140="Rejected",$M140="Withdrawn"),IF($AB140&lt;&gt;"",$AB140,IF(OR($M140="Rejected",ISNUMBER($C140)),"Applied","Wishlist")),IF($M140="",IF(ISNUMBER($C140),"Applied","Wishlist"),$M140)))</f>
        <v/>
      </c>
      <c r="AF140" s="88">
        <f>IF(AND(ISNUMBER($C140),ISNUMBER($AA140)),$AA140-$C140,"")</f>
        <v/>
      </c>
      <c r="AG140" s="87">
        <f>IF($AE140="","",IFERROR(MATCH($AE140,{"Wishlist","Applied","Screening","Interview 1","Interview 2","Final","Offer","Accepted"},0)-1,""))</f>
        <v/>
      </c>
      <c r="AH140" s="87">
        <f>IF($AC140="","",MATCH($AC140,{"FOLLOW UP REQUIRED","ACTION DUE TODAY","NO RESPONSE","DUE SOON"},0)*100000+IF(ISNUMBER($O140),$O140,IF(ISNUMBER($C140),$C140,0))+ROW()/10000)</f>
        <v/>
      </c>
      <c r="AI140" s="87">
        <f>IF(AND(ISNUMBER($AG140),$AG140&gt;=1,$AG140&lt;=6,$M140&lt;&gt;"Rejected",$M140&lt;&gt;"Withdrawn"),(10-$AG140)*100000+IF(ISNUMBER($C140),$C140,0)+ROW()/10000,"")</f>
        <v/>
      </c>
    </row>
    <row r="141">
      <c r="A141" s="80" t="n"/>
      <c r="B141" s="81" t="n"/>
      <c r="C141" s="81" t="n"/>
      <c r="D141" s="82" t="n"/>
      <c r="E141" s="82" t="n"/>
      <c r="F141" s="82" t="n"/>
      <c r="G141" s="82" t="n"/>
      <c r="H141" s="82" t="n"/>
      <c r="I141" s="83" t="n"/>
      <c r="J141" s="82" t="n"/>
      <c r="K141" s="84" t="n"/>
      <c r="L141" s="85" t="n"/>
      <c r="M141" s="82" t="n"/>
      <c r="N141" s="86" t="n"/>
      <c r="O141" s="81" t="n"/>
      <c r="P141" s="82" t="n"/>
      <c r="Q141" s="83" t="n"/>
      <c r="R141" s="82" t="n"/>
      <c r="S141" s="84" t="n"/>
      <c r="T141" s="84" t="n"/>
      <c r="U141" s="82" t="n"/>
      <c r="V141" s="86" t="n"/>
      <c r="W141" s="86" t="n"/>
      <c r="X141" s="86" t="n"/>
      <c r="Y141" s="81" t="n"/>
      <c r="Z141" s="82" t="n"/>
      <c r="AA141" s="81" t="n"/>
      <c r="AB141" s="82" t="n"/>
      <c r="AC141" s="87">
        <f>IF(OR($D141="",$M141="Rejected",$M141="Withdrawn",$M141="Accepted"),"",IF(ISNUMBER($O141),IF(INT($O141)&lt;TODAY(),"FOLLOW UP REQUIRED",IF(INT($O141)=TODAY(),"ACTION DUE TODAY",IF(INT($O141)-TODAY()&lt;=Set_DueSoonDays,"DUE SOON",""))),IF(AND($M141="Applied",$AA141=""),IF(ISNUMBER($C141),IF(TODAY()-$C141&gt;=Set_FollowUpDays,"NO RESPONSE",""),""),"")))</f>
        <v/>
      </c>
      <c r="AD141" s="87">
        <f>IF(ISNUMBER($L141),IF($L141&gt;=90,"Excellent Match",IF($L141&gt;=75,"Strong Match",IF($L141&gt;=60,"Moderate Match","Low Match"))),"")</f>
        <v/>
      </c>
      <c r="AE141" s="87">
        <f>IF($D141="","",IF(OR($M141="Rejected",$M141="Withdrawn"),IF($AB141&lt;&gt;"",$AB141,IF(OR($M141="Rejected",ISNUMBER($C141)),"Applied","Wishlist")),IF($M141="",IF(ISNUMBER($C141),"Applied","Wishlist"),$M141)))</f>
        <v/>
      </c>
      <c r="AF141" s="88">
        <f>IF(AND(ISNUMBER($C141),ISNUMBER($AA141)),$AA141-$C141,"")</f>
        <v/>
      </c>
      <c r="AG141" s="87">
        <f>IF($AE141="","",IFERROR(MATCH($AE141,{"Wishlist","Applied","Screening","Interview 1","Interview 2","Final","Offer","Accepted"},0)-1,""))</f>
        <v/>
      </c>
      <c r="AH141" s="87">
        <f>IF($AC141="","",MATCH($AC141,{"FOLLOW UP REQUIRED","ACTION DUE TODAY","NO RESPONSE","DUE SOON"},0)*100000+IF(ISNUMBER($O141),$O141,IF(ISNUMBER($C141),$C141,0))+ROW()/10000)</f>
        <v/>
      </c>
      <c r="AI141" s="87">
        <f>IF(AND(ISNUMBER($AG141),$AG141&gt;=1,$AG141&lt;=6,$M141&lt;&gt;"Rejected",$M141&lt;&gt;"Withdrawn"),(10-$AG141)*100000+IF(ISNUMBER($C141),$C141,0)+ROW()/10000,"")</f>
        <v/>
      </c>
    </row>
    <row r="142">
      <c r="A142" s="80" t="n"/>
      <c r="B142" s="81" t="n"/>
      <c r="C142" s="81" t="n"/>
      <c r="D142" s="82" t="n"/>
      <c r="E142" s="82" t="n"/>
      <c r="F142" s="82" t="n"/>
      <c r="G142" s="82" t="n"/>
      <c r="H142" s="82" t="n"/>
      <c r="I142" s="83" t="n"/>
      <c r="J142" s="82" t="n"/>
      <c r="K142" s="84" t="n"/>
      <c r="L142" s="85" t="n"/>
      <c r="M142" s="82" t="n"/>
      <c r="N142" s="86" t="n"/>
      <c r="O142" s="81" t="n"/>
      <c r="P142" s="82" t="n"/>
      <c r="Q142" s="83" t="n"/>
      <c r="R142" s="82" t="n"/>
      <c r="S142" s="84" t="n"/>
      <c r="T142" s="84" t="n"/>
      <c r="U142" s="82" t="n"/>
      <c r="V142" s="86" t="n"/>
      <c r="W142" s="86" t="n"/>
      <c r="X142" s="86" t="n"/>
      <c r="Y142" s="81" t="n"/>
      <c r="Z142" s="82" t="n"/>
      <c r="AA142" s="81" t="n"/>
      <c r="AB142" s="82" t="n"/>
      <c r="AC142" s="87">
        <f>IF(OR($D142="",$M142="Rejected",$M142="Withdrawn",$M142="Accepted"),"",IF(ISNUMBER($O142),IF(INT($O142)&lt;TODAY(),"FOLLOW UP REQUIRED",IF(INT($O142)=TODAY(),"ACTION DUE TODAY",IF(INT($O142)-TODAY()&lt;=Set_DueSoonDays,"DUE SOON",""))),IF(AND($M142="Applied",$AA142=""),IF(ISNUMBER($C142),IF(TODAY()-$C142&gt;=Set_FollowUpDays,"NO RESPONSE",""),""),"")))</f>
        <v/>
      </c>
      <c r="AD142" s="87">
        <f>IF(ISNUMBER($L142),IF($L142&gt;=90,"Excellent Match",IF($L142&gt;=75,"Strong Match",IF($L142&gt;=60,"Moderate Match","Low Match"))),"")</f>
        <v/>
      </c>
      <c r="AE142" s="87">
        <f>IF($D142="","",IF(OR($M142="Rejected",$M142="Withdrawn"),IF($AB142&lt;&gt;"",$AB142,IF(OR($M142="Rejected",ISNUMBER($C142)),"Applied","Wishlist")),IF($M142="",IF(ISNUMBER($C142),"Applied","Wishlist"),$M142)))</f>
        <v/>
      </c>
      <c r="AF142" s="88">
        <f>IF(AND(ISNUMBER($C142),ISNUMBER($AA142)),$AA142-$C142,"")</f>
        <v/>
      </c>
      <c r="AG142" s="87">
        <f>IF($AE142="","",IFERROR(MATCH($AE142,{"Wishlist","Applied","Screening","Interview 1","Interview 2","Final","Offer","Accepted"},0)-1,""))</f>
        <v/>
      </c>
      <c r="AH142" s="87">
        <f>IF($AC142="","",MATCH($AC142,{"FOLLOW UP REQUIRED","ACTION DUE TODAY","NO RESPONSE","DUE SOON"},0)*100000+IF(ISNUMBER($O142),$O142,IF(ISNUMBER($C142),$C142,0))+ROW()/10000)</f>
        <v/>
      </c>
      <c r="AI142" s="87">
        <f>IF(AND(ISNUMBER($AG142),$AG142&gt;=1,$AG142&lt;=6,$M142&lt;&gt;"Rejected",$M142&lt;&gt;"Withdrawn"),(10-$AG142)*100000+IF(ISNUMBER($C142),$C142,0)+ROW()/10000,"")</f>
        <v/>
      </c>
    </row>
    <row r="143">
      <c r="A143" s="80" t="n"/>
      <c r="B143" s="81" t="n"/>
      <c r="C143" s="81" t="n"/>
      <c r="D143" s="82" t="n"/>
      <c r="E143" s="82" t="n"/>
      <c r="F143" s="82" t="n"/>
      <c r="G143" s="82" t="n"/>
      <c r="H143" s="82" t="n"/>
      <c r="I143" s="83" t="n"/>
      <c r="J143" s="82" t="n"/>
      <c r="K143" s="84" t="n"/>
      <c r="L143" s="85" t="n"/>
      <c r="M143" s="82" t="n"/>
      <c r="N143" s="86" t="n"/>
      <c r="O143" s="81" t="n"/>
      <c r="P143" s="82" t="n"/>
      <c r="Q143" s="83" t="n"/>
      <c r="R143" s="82" t="n"/>
      <c r="S143" s="84" t="n"/>
      <c r="T143" s="84" t="n"/>
      <c r="U143" s="82" t="n"/>
      <c r="V143" s="86" t="n"/>
      <c r="W143" s="86" t="n"/>
      <c r="X143" s="86" t="n"/>
      <c r="Y143" s="81" t="n"/>
      <c r="Z143" s="82" t="n"/>
      <c r="AA143" s="81" t="n"/>
      <c r="AB143" s="82" t="n"/>
      <c r="AC143" s="87">
        <f>IF(OR($D143="",$M143="Rejected",$M143="Withdrawn",$M143="Accepted"),"",IF(ISNUMBER($O143),IF(INT($O143)&lt;TODAY(),"FOLLOW UP REQUIRED",IF(INT($O143)=TODAY(),"ACTION DUE TODAY",IF(INT($O143)-TODAY()&lt;=Set_DueSoonDays,"DUE SOON",""))),IF(AND($M143="Applied",$AA143=""),IF(ISNUMBER($C143),IF(TODAY()-$C143&gt;=Set_FollowUpDays,"NO RESPONSE",""),""),"")))</f>
        <v/>
      </c>
      <c r="AD143" s="87">
        <f>IF(ISNUMBER($L143),IF($L143&gt;=90,"Excellent Match",IF($L143&gt;=75,"Strong Match",IF($L143&gt;=60,"Moderate Match","Low Match"))),"")</f>
        <v/>
      </c>
      <c r="AE143" s="87">
        <f>IF($D143="","",IF(OR($M143="Rejected",$M143="Withdrawn"),IF($AB143&lt;&gt;"",$AB143,IF(OR($M143="Rejected",ISNUMBER($C143)),"Applied","Wishlist")),IF($M143="",IF(ISNUMBER($C143),"Applied","Wishlist"),$M143)))</f>
        <v/>
      </c>
      <c r="AF143" s="88">
        <f>IF(AND(ISNUMBER($C143),ISNUMBER($AA143)),$AA143-$C143,"")</f>
        <v/>
      </c>
      <c r="AG143" s="87">
        <f>IF($AE143="","",IFERROR(MATCH($AE143,{"Wishlist","Applied","Screening","Interview 1","Interview 2","Final","Offer","Accepted"},0)-1,""))</f>
        <v/>
      </c>
      <c r="AH143" s="87">
        <f>IF($AC143="","",MATCH($AC143,{"FOLLOW UP REQUIRED","ACTION DUE TODAY","NO RESPONSE","DUE SOON"},0)*100000+IF(ISNUMBER($O143),$O143,IF(ISNUMBER($C143),$C143,0))+ROW()/10000)</f>
        <v/>
      </c>
      <c r="AI143" s="87">
        <f>IF(AND(ISNUMBER($AG143),$AG143&gt;=1,$AG143&lt;=6,$M143&lt;&gt;"Rejected",$M143&lt;&gt;"Withdrawn"),(10-$AG143)*100000+IF(ISNUMBER($C143),$C143,0)+ROW()/10000,"")</f>
        <v/>
      </c>
    </row>
    <row r="144">
      <c r="A144" s="80" t="n"/>
      <c r="B144" s="81" t="n"/>
      <c r="C144" s="81" t="n"/>
      <c r="D144" s="82" t="n"/>
      <c r="E144" s="82" t="n"/>
      <c r="F144" s="82" t="n"/>
      <c r="G144" s="82" t="n"/>
      <c r="H144" s="82" t="n"/>
      <c r="I144" s="83" t="n"/>
      <c r="J144" s="82" t="n"/>
      <c r="K144" s="84" t="n"/>
      <c r="L144" s="85" t="n"/>
      <c r="M144" s="82" t="n"/>
      <c r="N144" s="86" t="n"/>
      <c r="O144" s="81" t="n"/>
      <c r="P144" s="82" t="n"/>
      <c r="Q144" s="83" t="n"/>
      <c r="R144" s="82" t="n"/>
      <c r="S144" s="84" t="n"/>
      <c r="T144" s="84" t="n"/>
      <c r="U144" s="82" t="n"/>
      <c r="V144" s="86" t="n"/>
      <c r="W144" s="86" t="n"/>
      <c r="X144" s="86" t="n"/>
      <c r="Y144" s="81" t="n"/>
      <c r="Z144" s="82" t="n"/>
      <c r="AA144" s="81" t="n"/>
      <c r="AB144" s="82" t="n"/>
      <c r="AC144" s="87">
        <f>IF(OR($D144="",$M144="Rejected",$M144="Withdrawn",$M144="Accepted"),"",IF(ISNUMBER($O144),IF(INT($O144)&lt;TODAY(),"FOLLOW UP REQUIRED",IF(INT($O144)=TODAY(),"ACTION DUE TODAY",IF(INT($O144)-TODAY()&lt;=Set_DueSoonDays,"DUE SOON",""))),IF(AND($M144="Applied",$AA144=""),IF(ISNUMBER($C144),IF(TODAY()-$C144&gt;=Set_FollowUpDays,"NO RESPONSE",""),""),"")))</f>
        <v/>
      </c>
      <c r="AD144" s="87">
        <f>IF(ISNUMBER($L144),IF($L144&gt;=90,"Excellent Match",IF($L144&gt;=75,"Strong Match",IF($L144&gt;=60,"Moderate Match","Low Match"))),"")</f>
        <v/>
      </c>
      <c r="AE144" s="87">
        <f>IF($D144="","",IF(OR($M144="Rejected",$M144="Withdrawn"),IF($AB144&lt;&gt;"",$AB144,IF(OR($M144="Rejected",ISNUMBER($C144)),"Applied","Wishlist")),IF($M144="",IF(ISNUMBER($C144),"Applied","Wishlist"),$M144)))</f>
        <v/>
      </c>
      <c r="AF144" s="88">
        <f>IF(AND(ISNUMBER($C144),ISNUMBER($AA144)),$AA144-$C144,"")</f>
        <v/>
      </c>
      <c r="AG144" s="87">
        <f>IF($AE144="","",IFERROR(MATCH($AE144,{"Wishlist","Applied","Screening","Interview 1","Interview 2","Final","Offer","Accepted"},0)-1,""))</f>
        <v/>
      </c>
      <c r="AH144" s="87">
        <f>IF($AC144="","",MATCH($AC144,{"FOLLOW UP REQUIRED","ACTION DUE TODAY","NO RESPONSE","DUE SOON"},0)*100000+IF(ISNUMBER($O144),$O144,IF(ISNUMBER($C144),$C144,0))+ROW()/10000)</f>
        <v/>
      </c>
      <c r="AI144" s="87">
        <f>IF(AND(ISNUMBER($AG144),$AG144&gt;=1,$AG144&lt;=6,$M144&lt;&gt;"Rejected",$M144&lt;&gt;"Withdrawn"),(10-$AG144)*100000+IF(ISNUMBER($C144),$C144,0)+ROW()/10000,"")</f>
        <v/>
      </c>
    </row>
    <row r="145">
      <c r="A145" s="80" t="n"/>
      <c r="B145" s="81" t="n"/>
      <c r="C145" s="81" t="n"/>
      <c r="D145" s="82" t="n"/>
      <c r="E145" s="82" t="n"/>
      <c r="F145" s="82" t="n"/>
      <c r="G145" s="82" t="n"/>
      <c r="H145" s="82" t="n"/>
      <c r="I145" s="83" t="n"/>
      <c r="J145" s="82" t="n"/>
      <c r="K145" s="84" t="n"/>
      <c r="L145" s="85" t="n"/>
      <c r="M145" s="82" t="n"/>
      <c r="N145" s="86" t="n"/>
      <c r="O145" s="81" t="n"/>
      <c r="P145" s="82" t="n"/>
      <c r="Q145" s="83" t="n"/>
      <c r="R145" s="82" t="n"/>
      <c r="S145" s="84" t="n"/>
      <c r="T145" s="84" t="n"/>
      <c r="U145" s="82" t="n"/>
      <c r="V145" s="86" t="n"/>
      <c r="W145" s="86" t="n"/>
      <c r="X145" s="86" t="n"/>
      <c r="Y145" s="81" t="n"/>
      <c r="Z145" s="82" t="n"/>
      <c r="AA145" s="81" t="n"/>
      <c r="AB145" s="82" t="n"/>
      <c r="AC145" s="87">
        <f>IF(OR($D145="",$M145="Rejected",$M145="Withdrawn",$M145="Accepted"),"",IF(ISNUMBER($O145),IF(INT($O145)&lt;TODAY(),"FOLLOW UP REQUIRED",IF(INT($O145)=TODAY(),"ACTION DUE TODAY",IF(INT($O145)-TODAY()&lt;=Set_DueSoonDays,"DUE SOON",""))),IF(AND($M145="Applied",$AA145=""),IF(ISNUMBER($C145),IF(TODAY()-$C145&gt;=Set_FollowUpDays,"NO RESPONSE",""),""),"")))</f>
        <v/>
      </c>
      <c r="AD145" s="87">
        <f>IF(ISNUMBER($L145),IF($L145&gt;=90,"Excellent Match",IF($L145&gt;=75,"Strong Match",IF($L145&gt;=60,"Moderate Match","Low Match"))),"")</f>
        <v/>
      </c>
      <c r="AE145" s="87">
        <f>IF($D145="","",IF(OR($M145="Rejected",$M145="Withdrawn"),IF($AB145&lt;&gt;"",$AB145,IF(OR($M145="Rejected",ISNUMBER($C145)),"Applied","Wishlist")),IF($M145="",IF(ISNUMBER($C145),"Applied","Wishlist"),$M145)))</f>
        <v/>
      </c>
      <c r="AF145" s="88">
        <f>IF(AND(ISNUMBER($C145),ISNUMBER($AA145)),$AA145-$C145,"")</f>
        <v/>
      </c>
      <c r="AG145" s="87">
        <f>IF($AE145="","",IFERROR(MATCH($AE145,{"Wishlist","Applied","Screening","Interview 1","Interview 2","Final","Offer","Accepted"},0)-1,""))</f>
        <v/>
      </c>
      <c r="AH145" s="87">
        <f>IF($AC145="","",MATCH($AC145,{"FOLLOW UP REQUIRED","ACTION DUE TODAY","NO RESPONSE","DUE SOON"},0)*100000+IF(ISNUMBER($O145),$O145,IF(ISNUMBER($C145),$C145,0))+ROW()/10000)</f>
        <v/>
      </c>
      <c r="AI145" s="87">
        <f>IF(AND(ISNUMBER($AG145),$AG145&gt;=1,$AG145&lt;=6,$M145&lt;&gt;"Rejected",$M145&lt;&gt;"Withdrawn"),(10-$AG145)*100000+IF(ISNUMBER($C145),$C145,0)+ROW()/10000,"")</f>
        <v/>
      </c>
    </row>
    <row r="146">
      <c r="A146" s="80" t="n"/>
      <c r="B146" s="81" t="n"/>
      <c r="C146" s="81" t="n"/>
      <c r="D146" s="82" t="n"/>
      <c r="E146" s="82" t="n"/>
      <c r="F146" s="82" t="n"/>
      <c r="G146" s="82" t="n"/>
      <c r="H146" s="82" t="n"/>
      <c r="I146" s="83" t="n"/>
      <c r="J146" s="82" t="n"/>
      <c r="K146" s="84" t="n"/>
      <c r="L146" s="85" t="n"/>
      <c r="M146" s="82" t="n"/>
      <c r="N146" s="86" t="n"/>
      <c r="O146" s="81" t="n"/>
      <c r="P146" s="82" t="n"/>
      <c r="Q146" s="83" t="n"/>
      <c r="R146" s="82" t="n"/>
      <c r="S146" s="84" t="n"/>
      <c r="T146" s="84" t="n"/>
      <c r="U146" s="82" t="n"/>
      <c r="V146" s="86" t="n"/>
      <c r="W146" s="86" t="n"/>
      <c r="X146" s="86" t="n"/>
      <c r="Y146" s="81" t="n"/>
      <c r="Z146" s="82" t="n"/>
      <c r="AA146" s="81" t="n"/>
      <c r="AB146" s="82" t="n"/>
      <c r="AC146" s="87">
        <f>IF(OR($D146="",$M146="Rejected",$M146="Withdrawn",$M146="Accepted"),"",IF(ISNUMBER($O146),IF(INT($O146)&lt;TODAY(),"FOLLOW UP REQUIRED",IF(INT($O146)=TODAY(),"ACTION DUE TODAY",IF(INT($O146)-TODAY()&lt;=Set_DueSoonDays,"DUE SOON",""))),IF(AND($M146="Applied",$AA146=""),IF(ISNUMBER($C146),IF(TODAY()-$C146&gt;=Set_FollowUpDays,"NO RESPONSE",""),""),"")))</f>
        <v/>
      </c>
      <c r="AD146" s="87">
        <f>IF(ISNUMBER($L146),IF($L146&gt;=90,"Excellent Match",IF($L146&gt;=75,"Strong Match",IF($L146&gt;=60,"Moderate Match","Low Match"))),"")</f>
        <v/>
      </c>
      <c r="AE146" s="87">
        <f>IF($D146="","",IF(OR($M146="Rejected",$M146="Withdrawn"),IF($AB146&lt;&gt;"",$AB146,IF(OR($M146="Rejected",ISNUMBER($C146)),"Applied","Wishlist")),IF($M146="",IF(ISNUMBER($C146),"Applied","Wishlist"),$M146)))</f>
        <v/>
      </c>
      <c r="AF146" s="88">
        <f>IF(AND(ISNUMBER($C146),ISNUMBER($AA146)),$AA146-$C146,"")</f>
        <v/>
      </c>
      <c r="AG146" s="87">
        <f>IF($AE146="","",IFERROR(MATCH($AE146,{"Wishlist","Applied","Screening","Interview 1","Interview 2","Final","Offer","Accepted"},0)-1,""))</f>
        <v/>
      </c>
      <c r="AH146" s="87">
        <f>IF($AC146="","",MATCH($AC146,{"FOLLOW UP REQUIRED","ACTION DUE TODAY","NO RESPONSE","DUE SOON"},0)*100000+IF(ISNUMBER($O146),$O146,IF(ISNUMBER($C146),$C146,0))+ROW()/10000)</f>
        <v/>
      </c>
      <c r="AI146" s="87">
        <f>IF(AND(ISNUMBER($AG146),$AG146&gt;=1,$AG146&lt;=6,$M146&lt;&gt;"Rejected",$M146&lt;&gt;"Withdrawn"),(10-$AG146)*100000+IF(ISNUMBER($C146),$C146,0)+ROW()/10000,"")</f>
        <v/>
      </c>
    </row>
    <row r="147">
      <c r="A147" s="80" t="n"/>
      <c r="B147" s="81" t="n"/>
      <c r="C147" s="81" t="n"/>
      <c r="D147" s="82" t="n"/>
      <c r="E147" s="82" t="n"/>
      <c r="F147" s="82" t="n"/>
      <c r="G147" s="82" t="n"/>
      <c r="H147" s="82" t="n"/>
      <c r="I147" s="83" t="n"/>
      <c r="J147" s="82" t="n"/>
      <c r="K147" s="84" t="n"/>
      <c r="L147" s="85" t="n"/>
      <c r="M147" s="82" t="n"/>
      <c r="N147" s="86" t="n"/>
      <c r="O147" s="81" t="n"/>
      <c r="P147" s="82" t="n"/>
      <c r="Q147" s="83" t="n"/>
      <c r="R147" s="82" t="n"/>
      <c r="S147" s="84" t="n"/>
      <c r="T147" s="84" t="n"/>
      <c r="U147" s="82" t="n"/>
      <c r="V147" s="86" t="n"/>
      <c r="W147" s="86" t="n"/>
      <c r="X147" s="86" t="n"/>
      <c r="Y147" s="81" t="n"/>
      <c r="Z147" s="82" t="n"/>
      <c r="AA147" s="81" t="n"/>
      <c r="AB147" s="82" t="n"/>
      <c r="AC147" s="87">
        <f>IF(OR($D147="",$M147="Rejected",$M147="Withdrawn",$M147="Accepted"),"",IF(ISNUMBER($O147),IF(INT($O147)&lt;TODAY(),"FOLLOW UP REQUIRED",IF(INT($O147)=TODAY(),"ACTION DUE TODAY",IF(INT($O147)-TODAY()&lt;=Set_DueSoonDays,"DUE SOON",""))),IF(AND($M147="Applied",$AA147=""),IF(ISNUMBER($C147),IF(TODAY()-$C147&gt;=Set_FollowUpDays,"NO RESPONSE",""),""),"")))</f>
        <v/>
      </c>
      <c r="AD147" s="87">
        <f>IF(ISNUMBER($L147),IF($L147&gt;=90,"Excellent Match",IF($L147&gt;=75,"Strong Match",IF($L147&gt;=60,"Moderate Match","Low Match"))),"")</f>
        <v/>
      </c>
      <c r="AE147" s="87">
        <f>IF($D147="","",IF(OR($M147="Rejected",$M147="Withdrawn"),IF($AB147&lt;&gt;"",$AB147,IF(OR($M147="Rejected",ISNUMBER($C147)),"Applied","Wishlist")),IF($M147="",IF(ISNUMBER($C147),"Applied","Wishlist"),$M147)))</f>
        <v/>
      </c>
      <c r="AF147" s="88">
        <f>IF(AND(ISNUMBER($C147),ISNUMBER($AA147)),$AA147-$C147,"")</f>
        <v/>
      </c>
      <c r="AG147" s="87">
        <f>IF($AE147="","",IFERROR(MATCH($AE147,{"Wishlist","Applied","Screening","Interview 1","Interview 2","Final","Offer","Accepted"},0)-1,""))</f>
        <v/>
      </c>
      <c r="AH147" s="87">
        <f>IF($AC147="","",MATCH($AC147,{"FOLLOW UP REQUIRED","ACTION DUE TODAY","NO RESPONSE","DUE SOON"},0)*100000+IF(ISNUMBER($O147),$O147,IF(ISNUMBER($C147),$C147,0))+ROW()/10000)</f>
        <v/>
      </c>
      <c r="AI147" s="87">
        <f>IF(AND(ISNUMBER($AG147),$AG147&gt;=1,$AG147&lt;=6,$M147&lt;&gt;"Rejected",$M147&lt;&gt;"Withdrawn"),(10-$AG147)*100000+IF(ISNUMBER($C147),$C147,0)+ROW()/10000,"")</f>
        <v/>
      </c>
    </row>
    <row r="148">
      <c r="A148" s="80" t="n"/>
      <c r="B148" s="81" t="n"/>
      <c r="C148" s="81" t="n"/>
      <c r="D148" s="82" t="n"/>
      <c r="E148" s="82" t="n"/>
      <c r="F148" s="82" t="n"/>
      <c r="G148" s="82" t="n"/>
      <c r="H148" s="82" t="n"/>
      <c r="I148" s="83" t="n"/>
      <c r="J148" s="82" t="n"/>
      <c r="K148" s="84" t="n"/>
      <c r="L148" s="85" t="n"/>
      <c r="M148" s="82" t="n"/>
      <c r="N148" s="86" t="n"/>
      <c r="O148" s="81" t="n"/>
      <c r="P148" s="82" t="n"/>
      <c r="Q148" s="83" t="n"/>
      <c r="R148" s="82" t="n"/>
      <c r="S148" s="84" t="n"/>
      <c r="T148" s="84" t="n"/>
      <c r="U148" s="82" t="n"/>
      <c r="V148" s="86" t="n"/>
      <c r="W148" s="86" t="n"/>
      <c r="X148" s="86" t="n"/>
      <c r="Y148" s="81" t="n"/>
      <c r="Z148" s="82" t="n"/>
      <c r="AA148" s="81" t="n"/>
      <c r="AB148" s="82" t="n"/>
      <c r="AC148" s="87">
        <f>IF(OR($D148="",$M148="Rejected",$M148="Withdrawn",$M148="Accepted"),"",IF(ISNUMBER($O148),IF(INT($O148)&lt;TODAY(),"FOLLOW UP REQUIRED",IF(INT($O148)=TODAY(),"ACTION DUE TODAY",IF(INT($O148)-TODAY()&lt;=Set_DueSoonDays,"DUE SOON",""))),IF(AND($M148="Applied",$AA148=""),IF(ISNUMBER($C148),IF(TODAY()-$C148&gt;=Set_FollowUpDays,"NO RESPONSE",""),""),"")))</f>
        <v/>
      </c>
      <c r="AD148" s="87">
        <f>IF(ISNUMBER($L148),IF($L148&gt;=90,"Excellent Match",IF($L148&gt;=75,"Strong Match",IF($L148&gt;=60,"Moderate Match","Low Match"))),"")</f>
        <v/>
      </c>
      <c r="AE148" s="87">
        <f>IF($D148="","",IF(OR($M148="Rejected",$M148="Withdrawn"),IF($AB148&lt;&gt;"",$AB148,IF(OR($M148="Rejected",ISNUMBER($C148)),"Applied","Wishlist")),IF($M148="",IF(ISNUMBER($C148),"Applied","Wishlist"),$M148)))</f>
        <v/>
      </c>
      <c r="AF148" s="88">
        <f>IF(AND(ISNUMBER($C148),ISNUMBER($AA148)),$AA148-$C148,"")</f>
        <v/>
      </c>
      <c r="AG148" s="87">
        <f>IF($AE148="","",IFERROR(MATCH($AE148,{"Wishlist","Applied","Screening","Interview 1","Interview 2","Final","Offer","Accepted"},0)-1,""))</f>
        <v/>
      </c>
      <c r="AH148" s="87">
        <f>IF($AC148="","",MATCH($AC148,{"FOLLOW UP REQUIRED","ACTION DUE TODAY","NO RESPONSE","DUE SOON"},0)*100000+IF(ISNUMBER($O148),$O148,IF(ISNUMBER($C148),$C148,0))+ROW()/10000)</f>
        <v/>
      </c>
      <c r="AI148" s="87">
        <f>IF(AND(ISNUMBER($AG148),$AG148&gt;=1,$AG148&lt;=6,$M148&lt;&gt;"Rejected",$M148&lt;&gt;"Withdrawn"),(10-$AG148)*100000+IF(ISNUMBER($C148),$C148,0)+ROW()/10000,"")</f>
        <v/>
      </c>
    </row>
    <row r="149">
      <c r="A149" s="80" t="n"/>
      <c r="B149" s="81" t="n"/>
      <c r="C149" s="81" t="n"/>
      <c r="D149" s="82" t="n"/>
      <c r="E149" s="82" t="n"/>
      <c r="F149" s="82" t="n"/>
      <c r="G149" s="82" t="n"/>
      <c r="H149" s="82" t="n"/>
      <c r="I149" s="83" t="n"/>
      <c r="J149" s="82" t="n"/>
      <c r="K149" s="84" t="n"/>
      <c r="L149" s="85" t="n"/>
      <c r="M149" s="82" t="n"/>
      <c r="N149" s="86" t="n"/>
      <c r="O149" s="81" t="n"/>
      <c r="P149" s="82" t="n"/>
      <c r="Q149" s="83" t="n"/>
      <c r="R149" s="82" t="n"/>
      <c r="S149" s="84" t="n"/>
      <c r="T149" s="84" t="n"/>
      <c r="U149" s="82" t="n"/>
      <c r="V149" s="86" t="n"/>
      <c r="W149" s="86" t="n"/>
      <c r="X149" s="86" t="n"/>
      <c r="Y149" s="81" t="n"/>
      <c r="Z149" s="82" t="n"/>
      <c r="AA149" s="81" t="n"/>
      <c r="AB149" s="82" t="n"/>
      <c r="AC149" s="87">
        <f>IF(OR($D149="",$M149="Rejected",$M149="Withdrawn",$M149="Accepted"),"",IF(ISNUMBER($O149),IF(INT($O149)&lt;TODAY(),"FOLLOW UP REQUIRED",IF(INT($O149)=TODAY(),"ACTION DUE TODAY",IF(INT($O149)-TODAY()&lt;=Set_DueSoonDays,"DUE SOON",""))),IF(AND($M149="Applied",$AA149=""),IF(ISNUMBER($C149),IF(TODAY()-$C149&gt;=Set_FollowUpDays,"NO RESPONSE",""),""),"")))</f>
        <v/>
      </c>
      <c r="AD149" s="87">
        <f>IF(ISNUMBER($L149),IF($L149&gt;=90,"Excellent Match",IF($L149&gt;=75,"Strong Match",IF($L149&gt;=60,"Moderate Match","Low Match"))),"")</f>
        <v/>
      </c>
      <c r="AE149" s="87">
        <f>IF($D149="","",IF(OR($M149="Rejected",$M149="Withdrawn"),IF($AB149&lt;&gt;"",$AB149,IF(OR($M149="Rejected",ISNUMBER($C149)),"Applied","Wishlist")),IF($M149="",IF(ISNUMBER($C149),"Applied","Wishlist"),$M149)))</f>
        <v/>
      </c>
      <c r="AF149" s="88">
        <f>IF(AND(ISNUMBER($C149),ISNUMBER($AA149)),$AA149-$C149,"")</f>
        <v/>
      </c>
      <c r="AG149" s="87">
        <f>IF($AE149="","",IFERROR(MATCH($AE149,{"Wishlist","Applied","Screening","Interview 1","Interview 2","Final","Offer","Accepted"},0)-1,""))</f>
        <v/>
      </c>
      <c r="AH149" s="87">
        <f>IF($AC149="","",MATCH($AC149,{"FOLLOW UP REQUIRED","ACTION DUE TODAY","NO RESPONSE","DUE SOON"},0)*100000+IF(ISNUMBER($O149),$O149,IF(ISNUMBER($C149),$C149,0))+ROW()/10000)</f>
        <v/>
      </c>
      <c r="AI149" s="87">
        <f>IF(AND(ISNUMBER($AG149),$AG149&gt;=1,$AG149&lt;=6,$M149&lt;&gt;"Rejected",$M149&lt;&gt;"Withdrawn"),(10-$AG149)*100000+IF(ISNUMBER($C149),$C149,0)+ROW()/10000,"")</f>
        <v/>
      </c>
    </row>
    <row r="150">
      <c r="A150" s="80" t="n"/>
      <c r="B150" s="81" t="n"/>
      <c r="C150" s="81" t="n"/>
      <c r="D150" s="82" t="n"/>
      <c r="E150" s="82" t="n"/>
      <c r="F150" s="82" t="n"/>
      <c r="G150" s="82" t="n"/>
      <c r="H150" s="82" t="n"/>
      <c r="I150" s="83" t="n"/>
      <c r="J150" s="82" t="n"/>
      <c r="K150" s="84" t="n"/>
      <c r="L150" s="85" t="n"/>
      <c r="M150" s="82" t="n"/>
      <c r="N150" s="86" t="n"/>
      <c r="O150" s="81" t="n"/>
      <c r="P150" s="82" t="n"/>
      <c r="Q150" s="83" t="n"/>
      <c r="R150" s="82" t="n"/>
      <c r="S150" s="84" t="n"/>
      <c r="T150" s="84" t="n"/>
      <c r="U150" s="82" t="n"/>
      <c r="V150" s="86" t="n"/>
      <c r="W150" s="86" t="n"/>
      <c r="X150" s="86" t="n"/>
      <c r="Y150" s="81" t="n"/>
      <c r="Z150" s="82" t="n"/>
      <c r="AA150" s="81" t="n"/>
      <c r="AB150" s="82" t="n"/>
      <c r="AC150" s="87">
        <f>IF(OR($D150="",$M150="Rejected",$M150="Withdrawn",$M150="Accepted"),"",IF(ISNUMBER($O150),IF(INT($O150)&lt;TODAY(),"FOLLOW UP REQUIRED",IF(INT($O150)=TODAY(),"ACTION DUE TODAY",IF(INT($O150)-TODAY()&lt;=Set_DueSoonDays,"DUE SOON",""))),IF(AND($M150="Applied",$AA150=""),IF(ISNUMBER($C150),IF(TODAY()-$C150&gt;=Set_FollowUpDays,"NO RESPONSE",""),""),"")))</f>
        <v/>
      </c>
      <c r="AD150" s="87">
        <f>IF(ISNUMBER($L150),IF($L150&gt;=90,"Excellent Match",IF($L150&gt;=75,"Strong Match",IF($L150&gt;=60,"Moderate Match","Low Match"))),"")</f>
        <v/>
      </c>
      <c r="AE150" s="87">
        <f>IF($D150="","",IF(OR($M150="Rejected",$M150="Withdrawn"),IF($AB150&lt;&gt;"",$AB150,IF(OR($M150="Rejected",ISNUMBER($C150)),"Applied","Wishlist")),IF($M150="",IF(ISNUMBER($C150),"Applied","Wishlist"),$M150)))</f>
        <v/>
      </c>
      <c r="AF150" s="88">
        <f>IF(AND(ISNUMBER($C150),ISNUMBER($AA150)),$AA150-$C150,"")</f>
        <v/>
      </c>
      <c r="AG150" s="87">
        <f>IF($AE150="","",IFERROR(MATCH($AE150,{"Wishlist","Applied","Screening","Interview 1","Interview 2","Final","Offer","Accepted"},0)-1,""))</f>
        <v/>
      </c>
      <c r="AH150" s="87">
        <f>IF($AC150="","",MATCH($AC150,{"FOLLOW UP REQUIRED","ACTION DUE TODAY","NO RESPONSE","DUE SOON"},0)*100000+IF(ISNUMBER($O150),$O150,IF(ISNUMBER($C150),$C150,0))+ROW()/10000)</f>
        <v/>
      </c>
      <c r="AI150" s="87">
        <f>IF(AND(ISNUMBER($AG150),$AG150&gt;=1,$AG150&lt;=6,$M150&lt;&gt;"Rejected",$M150&lt;&gt;"Withdrawn"),(10-$AG150)*100000+IF(ISNUMBER($C150),$C150,0)+ROW()/10000,"")</f>
        <v/>
      </c>
    </row>
    <row r="151">
      <c r="A151" s="80" t="n"/>
      <c r="B151" s="81" t="n"/>
      <c r="C151" s="81" t="n"/>
      <c r="D151" s="82" t="n"/>
      <c r="E151" s="82" t="n"/>
      <c r="F151" s="82" t="n"/>
      <c r="G151" s="82" t="n"/>
      <c r="H151" s="82" t="n"/>
      <c r="I151" s="83" t="n"/>
      <c r="J151" s="82" t="n"/>
      <c r="K151" s="84" t="n"/>
      <c r="L151" s="85" t="n"/>
      <c r="M151" s="82" t="n"/>
      <c r="N151" s="86" t="n"/>
      <c r="O151" s="81" t="n"/>
      <c r="P151" s="82" t="n"/>
      <c r="Q151" s="83" t="n"/>
      <c r="R151" s="82" t="n"/>
      <c r="S151" s="84" t="n"/>
      <c r="T151" s="84" t="n"/>
      <c r="U151" s="82" t="n"/>
      <c r="V151" s="86" t="n"/>
      <c r="W151" s="86" t="n"/>
      <c r="X151" s="86" t="n"/>
      <c r="Y151" s="81" t="n"/>
      <c r="Z151" s="82" t="n"/>
      <c r="AA151" s="81" t="n"/>
      <c r="AB151" s="82" t="n"/>
      <c r="AC151" s="87">
        <f>IF(OR($D151="",$M151="Rejected",$M151="Withdrawn",$M151="Accepted"),"",IF(ISNUMBER($O151),IF(INT($O151)&lt;TODAY(),"FOLLOW UP REQUIRED",IF(INT($O151)=TODAY(),"ACTION DUE TODAY",IF(INT($O151)-TODAY()&lt;=Set_DueSoonDays,"DUE SOON",""))),IF(AND($M151="Applied",$AA151=""),IF(ISNUMBER($C151),IF(TODAY()-$C151&gt;=Set_FollowUpDays,"NO RESPONSE",""),""),"")))</f>
        <v/>
      </c>
      <c r="AD151" s="87">
        <f>IF(ISNUMBER($L151),IF($L151&gt;=90,"Excellent Match",IF($L151&gt;=75,"Strong Match",IF($L151&gt;=60,"Moderate Match","Low Match"))),"")</f>
        <v/>
      </c>
      <c r="AE151" s="87">
        <f>IF($D151="","",IF(OR($M151="Rejected",$M151="Withdrawn"),IF($AB151&lt;&gt;"",$AB151,IF(OR($M151="Rejected",ISNUMBER($C151)),"Applied","Wishlist")),IF($M151="",IF(ISNUMBER($C151),"Applied","Wishlist"),$M151)))</f>
        <v/>
      </c>
      <c r="AF151" s="88">
        <f>IF(AND(ISNUMBER($C151),ISNUMBER($AA151)),$AA151-$C151,"")</f>
        <v/>
      </c>
      <c r="AG151" s="87">
        <f>IF($AE151="","",IFERROR(MATCH($AE151,{"Wishlist","Applied","Screening","Interview 1","Interview 2","Final","Offer","Accepted"},0)-1,""))</f>
        <v/>
      </c>
      <c r="AH151" s="87">
        <f>IF($AC151="","",MATCH($AC151,{"FOLLOW UP REQUIRED","ACTION DUE TODAY","NO RESPONSE","DUE SOON"},0)*100000+IF(ISNUMBER($O151),$O151,IF(ISNUMBER($C151),$C151,0))+ROW()/10000)</f>
        <v/>
      </c>
      <c r="AI151" s="87">
        <f>IF(AND(ISNUMBER($AG151),$AG151&gt;=1,$AG151&lt;=6,$M151&lt;&gt;"Rejected",$M151&lt;&gt;"Withdrawn"),(10-$AG151)*100000+IF(ISNUMBER($C151),$C151,0)+ROW()/10000,"")</f>
        <v/>
      </c>
    </row>
    <row r="152">
      <c r="A152" s="80" t="n"/>
      <c r="B152" s="81" t="n"/>
      <c r="C152" s="81" t="n"/>
      <c r="D152" s="82" t="n"/>
      <c r="E152" s="82" t="n"/>
      <c r="F152" s="82" t="n"/>
      <c r="G152" s="82" t="n"/>
      <c r="H152" s="82" t="n"/>
      <c r="I152" s="83" t="n"/>
      <c r="J152" s="82" t="n"/>
      <c r="K152" s="84" t="n"/>
      <c r="L152" s="85" t="n"/>
      <c r="M152" s="82" t="n"/>
      <c r="N152" s="86" t="n"/>
      <c r="O152" s="81" t="n"/>
      <c r="P152" s="82" t="n"/>
      <c r="Q152" s="83" t="n"/>
      <c r="R152" s="82" t="n"/>
      <c r="S152" s="84" t="n"/>
      <c r="T152" s="84" t="n"/>
      <c r="U152" s="82" t="n"/>
      <c r="V152" s="86" t="n"/>
      <c r="W152" s="86" t="n"/>
      <c r="X152" s="86" t="n"/>
      <c r="Y152" s="81" t="n"/>
      <c r="Z152" s="82" t="n"/>
      <c r="AA152" s="81" t="n"/>
      <c r="AB152" s="82" t="n"/>
      <c r="AC152" s="87">
        <f>IF(OR($D152="",$M152="Rejected",$M152="Withdrawn",$M152="Accepted"),"",IF(ISNUMBER($O152),IF(INT($O152)&lt;TODAY(),"FOLLOW UP REQUIRED",IF(INT($O152)=TODAY(),"ACTION DUE TODAY",IF(INT($O152)-TODAY()&lt;=Set_DueSoonDays,"DUE SOON",""))),IF(AND($M152="Applied",$AA152=""),IF(ISNUMBER($C152),IF(TODAY()-$C152&gt;=Set_FollowUpDays,"NO RESPONSE",""),""),"")))</f>
        <v/>
      </c>
      <c r="AD152" s="87">
        <f>IF(ISNUMBER($L152),IF($L152&gt;=90,"Excellent Match",IF($L152&gt;=75,"Strong Match",IF($L152&gt;=60,"Moderate Match","Low Match"))),"")</f>
        <v/>
      </c>
      <c r="AE152" s="87">
        <f>IF($D152="","",IF(OR($M152="Rejected",$M152="Withdrawn"),IF($AB152&lt;&gt;"",$AB152,IF(OR($M152="Rejected",ISNUMBER($C152)),"Applied","Wishlist")),IF($M152="",IF(ISNUMBER($C152),"Applied","Wishlist"),$M152)))</f>
        <v/>
      </c>
      <c r="AF152" s="88">
        <f>IF(AND(ISNUMBER($C152),ISNUMBER($AA152)),$AA152-$C152,"")</f>
        <v/>
      </c>
      <c r="AG152" s="87">
        <f>IF($AE152="","",IFERROR(MATCH($AE152,{"Wishlist","Applied","Screening","Interview 1","Interview 2","Final","Offer","Accepted"},0)-1,""))</f>
        <v/>
      </c>
      <c r="AH152" s="87">
        <f>IF($AC152="","",MATCH($AC152,{"FOLLOW UP REQUIRED","ACTION DUE TODAY","NO RESPONSE","DUE SOON"},0)*100000+IF(ISNUMBER($O152),$O152,IF(ISNUMBER($C152),$C152,0))+ROW()/10000)</f>
        <v/>
      </c>
      <c r="AI152" s="87">
        <f>IF(AND(ISNUMBER($AG152),$AG152&gt;=1,$AG152&lt;=6,$M152&lt;&gt;"Rejected",$M152&lt;&gt;"Withdrawn"),(10-$AG152)*100000+IF(ISNUMBER($C152),$C152,0)+ROW()/10000,"")</f>
        <v/>
      </c>
    </row>
    <row r="153">
      <c r="A153" s="80" t="n"/>
      <c r="B153" s="81" t="n"/>
      <c r="C153" s="81" t="n"/>
      <c r="D153" s="82" t="n"/>
      <c r="E153" s="82" t="n"/>
      <c r="F153" s="82" t="n"/>
      <c r="G153" s="82" t="n"/>
      <c r="H153" s="82" t="n"/>
      <c r="I153" s="83" t="n"/>
      <c r="J153" s="82" t="n"/>
      <c r="K153" s="84" t="n"/>
      <c r="L153" s="85" t="n"/>
      <c r="M153" s="82" t="n"/>
      <c r="N153" s="86" t="n"/>
      <c r="O153" s="81" t="n"/>
      <c r="P153" s="82" t="n"/>
      <c r="Q153" s="83" t="n"/>
      <c r="R153" s="82" t="n"/>
      <c r="S153" s="84" t="n"/>
      <c r="T153" s="84" t="n"/>
      <c r="U153" s="82" t="n"/>
      <c r="V153" s="86" t="n"/>
      <c r="W153" s="86" t="n"/>
      <c r="X153" s="86" t="n"/>
      <c r="Y153" s="81" t="n"/>
      <c r="Z153" s="82" t="n"/>
      <c r="AA153" s="81" t="n"/>
      <c r="AB153" s="82" t="n"/>
      <c r="AC153" s="87">
        <f>IF(OR($D153="",$M153="Rejected",$M153="Withdrawn",$M153="Accepted"),"",IF(ISNUMBER($O153),IF(INT($O153)&lt;TODAY(),"FOLLOW UP REQUIRED",IF(INT($O153)=TODAY(),"ACTION DUE TODAY",IF(INT($O153)-TODAY()&lt;=Set_DueSoonDays,"DUE SOON",""))),IF(AND($M153="Applied",$AA153=""),IF(ISNUMBER($C153),IF(TODAY()-$C153&gt;=Set_FollowUpDays,"NO RESPONSE",""),""),"")))</f>
        <v/>
      </c>
      <c r="AD153" s="87">
        <f>IF(ISNUMBER($L153),IF($L153&gt;=90,"Excellent Match",IF($L153&gt;=75,"Strong Match",IF($L153&gt;=60,"Moderate Match","Low Match"))),"")</f>
        <v/>
      </c>
      <c r="AE153" s="87">
        <f>IF($D153="","",IF(OR($M153="Rejected",$M153="Withdrawn"),IF($AB153&lt;&gt;"",$AB153,IF(OR($M153="Rejected",ISNUMBER($C153)),"Applied","Wishlist")),IF($M153="",IF(ISNUMBER($C153),"Applied","Wishlist"),$M153)))</f>
        <v/>
      </c>
      <c r="AF153" s="88">
        <f>IF(AND(ISNUMBER($C153),ISNUMBER($AA153)),$AA153-$C153,"")</f>
        <v/>
      </c>
      <c r="AG153" s="87">
        <f>IF($AE153="","",IFERROR(MATCH($AE153,{"Wishlist","Applied","Screening","Interview 1","Interview 2","Final","Offer","Accepted"},0)-1,""))</f>
        <v/>
      </c>
      <c r="AH153" s="87">
        <f>IF($AC153="","",MATCH($AC153,{"FOLLOW UP REQUIRED","ACTION DUE TODAY","NO RESPONSE","DUE SOON"},0)*100000+IF(ISNUMBER($O153),$O153,IF(ISNUMBER($C153),$C153,0))+ROW()/10000)</f>
        <v/>
      </c>
      <c r="AI153" s="87">
        <f>IF(AND(ISNUMBER($AG153),$AG153&gt;=1,$AG153&lt;=6,$M153&lt;&gt;"Rejected",$M153&lt;&gt;"Withdrawn"),(10-$AG153)*100000+IF(ISNUMBER($C153),$C153,0)+ROW()/10000,"")</f>
        <v/>
      </c>
    </row>
    <row r="154">
      <c r="A154" s="80" t="n"/>
      <c r="B154" s="81" t="n"/>
      <c r="C154" s="81" t="n"/>
      <c r="D154" s="82" t="n"/>
      <c r="E154" s="82" t="n"/>
      <c r="F154" s="82" t="n"/>
      <c r="G154" s="82" t="n"/>
      <c r="H154" s="82" t="n"/>
      <c r="I154" s="83" t="n"/>
      <c r="J154" s="82" t="n"/>
      <c r="K154" s="84" t="n"/>
      <c r="L154" s="85" t="n"/>
      <c r="M154" s="82" t="n"/>
      <c r="N154" s="86" t="n"/>
      <c r="O154" s="81" t="n"/>
      <c r="P154" s="82" t="n"/>
      <c r="Q154" s="83" t="n"/>
      <c r="R154" s="82" t="n"/>
      <c r="S154" s="84" t="n"/>
      <c r="T154" s="84" t="n"/>
      <c r="U154" s="82" t="n"/>
      <c r="V154" s="86" t="n"/>
      <c r="W154" s="86" t="n"/>
      <c r="X154" s="86" t="n"/>
      <c r="Y154" s="81" t="n"/>
      <c r="Z154" s="82" t="n"/>
      <c r="AA154" s="81" t="n"/>
      <c r="AB154" s="82" t="n"/>
      <c r="AC154" s="87">
        <f>IF(OR($D154="",$M154="Rejected",$M154="Withdrawn",$M154="Accepted"),"",IF(ISNUMBER($O154),IF(INT($O154)&lt;TODAY(),"FOLLOW UP REQUIRED",IF(INT($O154)=TODAY(),"ACTION DUE TODAY",IF(INT($O154)-TODAY()&lt;=Set_DueSoonDays,"DUE SOON",""))),IF(AND($M154="Applied",$AA154=""),IF(ISNUMBER($C154),IF(TODAY()-$C154&gt;=Set_FollowUpDays,"NO RESPONSE",""),""),"")))</f>
        <v/>
      </c>
      <c r="AD154" s="87">
        <f>IF(ISNUMBER($L154),IF($L154&gt;=90,"Excellent Match",IF($L154&gt;=75,"Strong Match",IF($L154&gt;=60,"Moderate Match","Low Match"))),"")</f>
        <v/>
      </c>
      <c r="AE154" s="87">
        <f>IF($D154="","",IF(OR($M154="Rejected",$M154="Withdrawn"),IF($AB154&lt;&gt;"",$AB154,IF(OR($M154="Rejected",ISNUMBER($C154)),"Applied","Wishlist")),IF($M154="",IF(ISNUMBER($C154),"Applied","Wishlist"),$M154)))</f>
        <v/>
      </c>
      <c r="AF154" s="88">
        <f>IF(AND(ISNUMBER($C154),ISNUMBER($AA154)),$AA154-$C154,"")</f>
        <v/>
      </c>
      <c r="AG154" s="87">
        <f>IF($AE154="","",IFERROR(MATCH($AE154,{"Wishlist","Applied","Screening","Interview 1","Interview 2","Final","Offer","Accepted"},0)-1,""))</f>
        <v/>
      </c>
      <c r="AH154" s="87">
        <f>IF($AC154="","",MATCH($AC154,{"FOLLOW UP REQUIRED","ACTION DUE TODAY","NO RESPONSE","DUE SOON"},0)*100000+IF(ISNUMBER($O154),$O154,IF(ISNUMBER($C154),$C154,0))+ROW()/10000)</f>
        <v/>
      </c>
      <c r="AI154" s="87">
        <f>IF(AND(ISNUMBER($AG154),$AG154&gt;=1,$AG154&lt;=6,$M154&lt;&gt;"Rejected",$M154&lt;&gt;"Withdrawn"),(10-$AG154)*100000+IF(ISNUMBER($C154),$C154,0)+ROW()/10000,"")</f>
        <v/>
      </c>
    </row>
    <row r="155">
      <c r="A155" s="80" t="n"/>
      <c r="B155" s="81" t="n"/>
      <c r="C155" s="81" t="n"/>
      <c r="D155" s="82" t="n"/>
      <c r="E155" s="82" t="n"/>
      <c r="F155" s="82" t="n"/>
      <c r="G155" s="82" t="n"/>
      <c r="H155" s="82" t="n"/>
      <c r="I155" s="83" t="n"/>
      <c r="J155" s="82" t="n"/>
      <c r="K155" s="84" t="n"/>
      <c r="L155" s="85" t="n"/>
      <c r="M155" s="82" t="n"/>
      <c r="N155" s="86" t="n"/>
      <c r="O155" s="81" t="n"/>
      <c r="P155" s="82" t="n"/>
      <c r="Q155" s="83" t="n"/>
      <c r="R155" s="82" t="n"/>
      <c r="S155" s="84" t="n"/>
      <c r="T155" s="84" t="n"/>
      <c r="U155" s="82" t="n"/>
      <c r="V155" s="86" t="n"/>
      <c r="W155" s="86" t="n"/>
      <c r="X155" s="86" t="n"/>
      <c r="Y155" s="81" t="n"/>
      <c r="Z155" s="82" t="n"/>
      <c r="AA155" s="81" t="n"/>
      <c r="AB155" s="82" t="n"/>
      <c r="AC155" s="87">
        <f>IF(OR($D155="",$M155="Rejected",$M155="Withdrawn",$M155="Accepted"),"",IF(ISNUMBER($O155),IF(INT($O155)&lt;TODAY(),"FOLLOW UP REQUIRED",IF(INT($O155)=TODAY(),"ACTION DUE TODAY",IF(INT($O155)-TODAY()&lt;=Set_DueSoonDays,"DUE SOON",""))),IF(AND($M155="Applied",$AA155=""),IF(ISNUMBER($C155),IF(TODAY()-$C155&gt;=Set_FollowUpDays,"NO RESPONSE",""),""),"")))</f>
        <v/>
      </c>
      <c r="AD155" s="87">
        <f>IF(ISNUMBER($L155),IF($L155&gt;=90,"Excellent Match",IF($L155&gt;=75,"Strong Match",IF($L155&gt;=60,"Moderate Match","Low Match"))),"")</f>
        <v/>
      </c>
      <c r="AE155" s="87">
        <f>IF($D155="","",IF(OR($M155="Rejected",$M155="Withdrawn"),IF($AB155&lt;&gt;"",$AB155,IF(OR($M155="Rejected",ISNUMBER($C155)),"Applied","Wishlist")),IF($M155="",IF(ISNUMBER($C155),"Applied","Wishlist"),$M155)))</f>
        <v/>
      </c>
      <c r="AF155" s="88">
        <f>IF(AND(ISNUMBER($C155),ISNUMBER($AA155)),$AA155-$C155,"")</f>
        <v/>
      </c>
      <c r="AG155" s="87">
        <f>IF($AE155="","",IFERROR(MATCH($AE155,{"Wishlist","Applied","Screening","Interview 1","Interview 2","Final","Offer","Accepted"},0)-1,""))</f>
        <v/>
      </c>
      <c r="AH155" s="87">
        <f>IF($AC155="","",MATCH($AC155,{"FOLLOW UP REQUIRED","ACTION DUE TODAY","NO RESPONSE","DUE SOON"},0)*100000+IF(ISNUMBER($O155),$O155,IF(ISNUMBER($C155),$C155,0))+ROW()/10000)</f>
        <v/>
      </c>
      <c r="AI155" s="87">
        <f>IF(AND(ISNUMBER($AG155),$AG155&gt;=1,$AG155&lt;=6,$M155&lt;&gt;"Rejected",$M155&lt;&gt;"Withdrawn"),(10-$AG155)*100000+IF(ISNUMBER($C155),$C155,0)+ROW()/10000,"")</f>
        <v/>
      </c>
    </row>
    <row r="156">
      <c r="A156" s="80" t="n"/>
      <c r="B156" s="81" t="n"/>
      <c r="C156" s="81" t="n"/>
      <c r="D156" s="82" t="n"/>
      <c r="E156" s="82" t="n"/>
      <c r="F156" s="82" t="n"/>
      <c r="G156" s="82" t="n"/>
      <c r="H156" s="82" t="n"/>
      <c r="I156" s="83" t="n"/>
      <c r="J156" s="82" t="n"/>
      <c r="K156" s="84" t="n"/>
      <c r="L156" s="85" t="n"/>
      <c r="M156" s="82" t="n"/>
      <c r="N156" s="86" t="n"/>
      <c r="O156" s="81" t="n"/>
      <c r="P156" s="82" t="n"/>
      <c r="Q156" s="83" t="n"/>
      <c r="R156" s="82" t="n"/>
      <c r="S156" s="84" t="n"/>
      <c r="T156" s="84" t="n"/>
      <c r="U156" s="82" t="n"/>
      <c r="V156" s="86" t="n"/>
      <c r="W156" s="86" t="n"/>
      <c r="X156" s="86" t="n"/>
      <c r="Y156" s="81" t="n"/>
      <c r="Z156" s="82" t="n"/>
      <c r="AA156" s="81" t="n"/>
      <c r="AB156" s="82" t="n"/>
      <c r="AC156" s="87">
        <f>IF(OR($D156="",$M156="Rejected",$M156="Withdrawn",$M156="Accepted"),"",IF(ISNUMBER($O156),IF(INT($O156)&lt;TODAY(),"FOLLOW UP REQUIRED",IF(INT($O156)=TODAY(),"ACTION DUE TODAY",IF(INT($O156)-TODAY()&lt;=Set_DueSoonDays,"DUE SOON",""))),IF(AND($M156="Applied",$AA156=""),IF(ISNUMBER($C156),IF(TODAY()-$C156&gt;=Set_FollowUpDays,"NO RESPONSE",""),""),"")))</f>
        <v/>
      </c>
      <c r="AD156" s="87">
        <f>IF(ISNUMBER($L156),IF($L156&gt;=90,"Excellent Match",IF($L156&gt;=75,"Strong Match",IF($L156&gt;=60,"Moderate Match","Low Match"))),"")</f>
        <v/>
      </c>
      <c r="AE156" s="87">
        <f>IF($D156="","",IF(OR($M156="Rejected",$M156="Withdrawn"),IF($AB156&lt;&gt;"",$AB156,IF(OR($M156="Rejected",ISNUMBER($C156)),"Applied","Wishlist")),IF($M156="",IF(ISNUMBER($C156),"Applied","Wishlist"),$M156)))</f>
        <v/>
      </c>
      <c r="AF156" s="88">
        <f>IF(AND(ISNUMBER($C156),ISNUMBER($AA156)),$AA156-$C156,"")</f>
        <v/>
      </c>
      <c r="AG156" s="87">
        <f>IF($AE156="","",IFERROR(MATCH($AE156,{"Wishlist","Applied","Screening","Interview 1","Interview 2","Final","Offer","Accepted"},0)-1,""))</f>
        <v/>
      </c>
      <c r="AH156" s="87">
        <f>IF($AC156="","",MATCH($AC156,{"FOLLOW UP REQUIRED","ACTION DUE TODAY","NO RESPONSE","DUE SOON"},0)*100000+IF(ISNUMBER($O156),$O156,IF(ISNUMBER($C156),$C156,0))+ROW()/10000)</f>
        <v/>
      </c>
      <c r="AI156" s="87">
        <f>IF(AND(ISNUMBER($AG156),$AG156&gt;=1,$AG156&lt;=6,$M156&lt;&gt;"Rejected",$M156&lt;&gt;"Withdrawn"),(10-$AG156)*100000+IF(ISNUMBER($C156),$C156,0)+ROW()/10000,"")</f>
        <v/>
      </c>
    </row>
    <row r="157">
      <c r="A157" s="80" t="n"/>
      <c r="B157" s="81" t="n"/>
      <c r="C157" s="81" t="n"/>
      <c r="D157" s="82" t="n"/>
      <c r="E157" s="82" t="n"/>
      <c r="F157" s="82" t="n"/>
      <c r="G157" s="82" t="n"/>
      <c r="H157" s="82" t="n"/>
      <c r="I157" s="83" t="n"/>
      <c r="J157" s="82" t="n"/>
      <c r="K157" s="84" t="n"/>
      <c r="L157" s="85" t="n"/>
      <c r="M157" s="82" t="n"/>
      <c r="N157" s="86" t="n"/>
      <c r="O157" s="81" t="n"/>
      <c r="P157" s="82" t="n"/>
      <c r="Q157" s="83" t="n"/>
      <c r="R157" s="82" t="n"/>
      <c r="S157" s="84" t="n"/>
      <c r="T157" s="84" t="n"/>
      <c r="U157" s="82" t="n"/>
      <c r="V157" s="86" t="n"/>
      <c r="W157" s="86" t="n"/>
      <c r="X157" s="86" t="n"/>
      <c r="Y157" s="81" t="n"/>
      <c r="Z157" s="82" t="n"/>
      <c r="AA157" s="81" t="n"/>
      <c r="AB157" s="82" t="n"/>
      <c r="AC157" s="87">
        <f>IF(OR($D157="",$M157="Rejected",$M157="Withdrawn",$M157="Accepted"),"",IF(ISNUMBER($O157),IF(INT($O157)&lt;TODAY(),"FOLLOW UP REQUIRED",IF(INT($O157)=TODAY(),"ACTION DUE TODAY",IF(INT($O157)-TODAY()&lt;=Set_DueSoonDays,"DUE SOON",""))),IF(AND($M157="Applied",$AA157=""),IF(ISNUMBER($C157),IF(TODAY()-$C157&gt;=Set_FollowUpDays,"NO RESPONSE",""),""),"")))</f>
        <v/>
      </c>
      <c r="AD157" s="87">
        <f>IF(ISNUMBER($L157),IF($L157&gt;=90,"Excellent Match",IF($L157&gt;=75,"Strong Match",IF($L157&gt;=60,"Moderate Match","Low Match"))),"")</f>
        <v/>
      </c>
      <c r="AE157" s="87">
        <f>IF($D157="","",IF(OR($M157="Rejected",$M157="Withdrawn"),IF($AB157&lt;&gt;"",$AB157,IF(OR($M157="Rejected",ISNUMBER($C157)),"Applied","Wishlist")),IF($M157="",IF(ISNUMBER($C157),"Applied","Wishlist"),$M157)))</f>
        <v/>
      </c>
      <c r="AF157" s="88">
        <f>IF(AND(ISNUMBER($C157),ISNUMBER($AA157)),$AA157-$C157,"")</f>
        <v/>
      </c>
      <c r="AG157" s="87">
        <f>IF($AE157="","",IFERROR(MATCH($AE157,{"Wishlist","Applied","Screening","Interview 1","Interview 2","Final","Offer","Accepted"},0)-1,""))</f>
        <v/>
      </c>
      <c r="AH157" s="87">
        <f>IF($AC157="","",MATCH($AC157,{"FOLLOW UP REQUIRED","ACTION DUE TODAY","NO RESPONSE","DUE SOON"},0)*100000+IF(ISNUMBER($O157),$O157,IF(ISNUMBER($C157),$C157,0))+ROW()/10000)</f>
        <v/>
      </c>
      <c r="AI157" s="87">
        <f>IF(AND(ISNUMBER($AG157),$AG157&gt;=1,$AG157&lt;=6,$M157&lt;&gt;"Rejected",$M157&lt;&gt;"Withdrawn"),(10-$AG157)*100000+IF(ISNUMBER($C157),$C157,0)+ROW()/10000,"")</f>
        <v/>
      </c>
    </row>
    <row r="158">
      <c r="A158" s="80" t="n"/>
      <c r="B158" s="81" t="n"/>
      <c r="C158" s="81" t="n"/>
      <c r="D158" s="82" t="n"/>
      <c r="E158" s="82" t="n"/>
      <c r="F158" s="82" t="n"/>
      <c r="G158" s="82" t="n"/>
      <c r="H158" s="82" t="n"/>
      <c r="I158" s="83" t="n"/>
      <c r="J158" s="82" t="n"/>
      <c r="K158" s="84" t="n"/>
      <c r="L158" s="85" t="n"/>
      <c r="M158" s="82" t="n"/>
      <c r="N158" s="86" t="n"/>
      <c r="O158" s="81" t="n"/>
      <c r="P158" s="82" t="n"/>
      <c r="Q158" s="83" t="n"/>
      <c r="R158" s="82" t="n"/>
      <c r="S158" s="84" t="n"/>
      <c r="T158" s="84" t="n"/>
      <c r="U158" s="82" t="n"/>
      <c r="V158" s="86" t="n"/>
      <c r="W158" s="86" t="n"/>
      <c r="X158" s="86" t="n"/>
      <c r="Y158" s="81" t="n"/>
      <c r="Z158" s="82" t="n"/>
      <c r="AA158" s="81" t="n"/>
      <c r="AB158" s="82" t="n"/>
      <c r="AC158" s="87">
        <f>IF(OR($D158="",$M158="Rejected",$M158="Withdrawn",$M158="Accepted"),"",IF(ISNUMBER($O158),IF(INT($O158)&lt;TODAY(),"FOLLOW UP REQUIRED",IF(INT($O158)=TODAY(),"ACTION DUE TODAY",IF(INT($O158)-TODAY()&lt;=Set_DueSoonDays,"DUE SOON",""))),IF(AND($M158="Applied",$AA158=""),IF(ISNUMBER($C158),IF(TODAY()-$C158&gt;=Set_FollowUpDays,"NO RESPONSE",""),""),"")))</f>
        <v/>
      </c>
      <c r="AD158" s="87">
        <f>IF(ISNUMBER($L158),IF($L158&gt;=90,"Excellent Match",IF($L158&gt;=75,"Strong Match",IF($L158&gt;=60,"Moderate Match","Low Match"))),"")</f>
        <v/>
      </c>
      <c r="AE158" s="87">
        <f>IF($D158="","",IF(OR($M158="Rejected",$M158="Withdrawn"),IF($AB158&lt;&gt;"",$AB158,IF(OR($M158="Rejected",ISNUMBER($C158)),"Applied","Wishlist")),IF($M158="",IF(ISNUMBER($C158),"Applied","Wishlist"),$M158)))</f>
        <v/>
      </c>
      <c r="AF158" s="88">
        <f>IF(AND(ISNUMBER($C158),ISNUMBER($AA158)),$AA158-$C158,"")</f>
        <v/>
      </c>
      <c r="AG158" s="87">
        <f>IF($AE158="","",IFERROR(MATCH($AE158,{"Wishlist","Applied","Screening","Interview 1","Interview 2","Final","Offer","Accepted"},0)-1,""))</f>
        <v/>
      </c>
      <c r="AH158" s="87">
        <f>IF($AC158="","",MATCH($AC158,{"FOLLOW UP REQUIRED","ACTION DUE TODAY","NO RESPONSE","DUE SOON"},0)*100000+IF(ISNUMBER($O158),$O158,IF(ISNUMBER($C158),$C158,0))+ROW()/10000)</f>
        <v/>
      </c>
      <c r="AI158" s="87">
        <f>IF(AND(ISNUMBER($AG158),$AG158&gt;=1,$AG158&lt;=6,$M158&lt;&gt;"Rejected",$M158&lt;&gt;"Withdrawn"),(10-$AG158)*100000+IF(ISNUMBER($C158),$C158,0)+ROW()/10000,"")</f>
        <v/>
      </c>
    </row>
    <row r="159">
      <c r="A159" s="80" t="n"/>
      <c r="B159" s="81" t="n"/>
      <c r="C159" s="81" t="n"/>
      <c r="D159" s="82" t="n"/>
      <c r="E159" s="82" t="n"/>
      <c r="F159" s="82" t="n"/>
      <c r="G159" s="82" t="n"/>
      <c r="H159" s="82" t="n"/>
      <c r="I159" s="83" t="n"/>
      <c r="J159" s="82" t="n"/>
      <c r="K159" s="84" t="n"/>
      <c r="L159" s="85" t="n"/>
      <c r="M159" s="82" t="n"/>
      <c r="N159" s="86" t="n"/>
      <c r="O159" s="81" t="n"/>
      <c r="P159" s="82" t="n"/>
      <c r="Q159" s="83" t="n"/>
      <c r="R159" s="82" t="n"/>
      <c r="S159" s="84" t="n"/>
      <c r="T159" s="84" t="n"/>
      <c r="U159" s="82" t="n"/>
      <c r="V159" s="86" t="n"/>
      <c r="W159" s="86" t="n"/>
      <c r="X159" s="86" t="n"/>
      <c r="Y159" s="81" t="n"/>
      <c r="Z159" s="82" t="n"/>
      <c r="AA159" s="81" t="n"/>
      <c r="AB159" s="82" t="n"/>
      <c r="AC159" s="87">
        <f>IF(OR($D159="",$M159="Rejected",$M159="Withdrawn",$M159="Accepted"),"",IF(ISNUMBER($O159),IF(INT($O159)&lt;TODAY(),"FOLLOW UP REQUIRED",IF(INT($O159)=TODAY(),"ACTION DUE TODAY",IF(INT($O159)-TODAY()&lt;=Set_DueSoonDays,"DUE SOON",""))),IF(AND($M159="Applied",$AA159=""),IF(ISNUMBER($C159),IF(TODAY()-$C159&gt;=Set_FollowUpDays,"NO RESPONSE",""),""),"")))</f>
        <v/>
      </c>
      <c r="AD159" s="87">
        <f>IF(ISNUMBER($L159),IF($L159&gt;=90,"Excellent Match",IF($L159&gt;=75,"Strong Match",IF($L159&gt;=60,"Moderate Match","Low Match"))),"")</f>
        <v/>
      </c>
      <c r="AE159" s="87">
        <f>IF($D159="","",IF(OR($M159="Rejected",$M159="Withdrawn"),IF($AB159&lt;&gt;"",$AB159,IF(OR($M159="Rejected",ISNUMBER($C159)),"Applied","Wishlist")),IF($M159="",IF(ISNUMBER($C159),"Applied","Wishlist"),$M159)))</f>
        <v/>
      </c>
      <c r="AF159" s="88">
        <f>IF(AND(ISNUMBER($C159),ISNUMBER($AA159)),$AA159-$C159,"")</f>
        <v/>
      </c>
      <c r="AG159" s="87">
        <f>IF($AE159="","",IFERROR(MATCH($AE159,{"Wishlist","Applied","Screening","Interview 1","Interview 2","Final","Offer","Accepted"},0)-1,""))</f>
        <v/>
      </c>
      <c r="AH159" s="87">
        <f>IF($AC159="","",MATCH($AC159,{"FOLLOW UP REQUIRED","ACTION DUE TODAY","NO RESPONSE","DUE SOON"},0)*100000+IF(ISNUMBER($O159),$O159,IF(ISNUMBER($C159),$C159,0))+ROW()/10000)</f>
        <v/>
      </c>
      <c r="AI159" s="87">
        <f>IF(AND(ISNUMBER($AG159),$AG159&gt;=1,$AG159&lt;=6,$M159&lt;&gt;"Rejected",$M159&lt;&gt;"Withdrawn"),(10-$AG159)*100000+IF(ISNUMBER($C159),$C159,0)+ROW()/10000,"")</f>
        <v/>
      </c>
    </row>
    <row r="160">
      <c r="A160" s="80" t="n"/>
      <c r="B160" s="81" t="n"/>
      <c r="C160" s="81" t="n"/>
      <c r="D160" s="82" t="n"/>
      <c r="E160" s="82" t="n"/>
      <c r="F160" s="82" t="n"/>
      <c r="G160" s="82" t="n"/>
      <c r="H160" s="82" t="n"/>
      <c r="I160" s="83" t="n"/>
      <c r="J160" s="82" t="n"/>
      <c r="K160" s="84" t="n"/>
      <c r="L160" s="85" t="n"/>
      <c r="M160" s="82" t="n"/>
      <c r="N160" s="86" t="n"/>
      <c r="O160" s="81" t="n"/>
      <c r="P160" s="82" t="n"/>
      <c r="Q160" s="83" t="n"/>
      <c r="R160" s="82" t="n"/>
      <c r="S160" s="84" t="n"/>
      <c r="T160" s="84" t="n"/>
      <c r="U160" s="82" t="n"/>
      <c r="V160" s="86" t="n"/>
      <c r="W160" s="86" t="n"/>
      <c r="X160" s="86" t="n"/>
      <c r="Y160" s="81" t="n"/>
      <c r="Z160" s="82" t="n"/>
      <c r="AA160" s="81" t="n"/>
      <c r="AB160" s="82" t="n"/>
      <c r="AC160" s="87">
        <f>IF(OR($D160="",$M160="Rejected",$M160="Withdrawn",$M160="Accepted"),"",IF(ISNUMBER($O160),IF(INT($O160)&lt;TODAY(),"FOLLOW UP REQUIRED",IF(INT($O160)=TODAY(),"ACTION DUE TODAY",IF(INT($O160)-TODAY()&lt;=Set_DueSoonDays,"DUE SOON",""))),IF(AND($M160="Applied",$AA160=""),IF(ISNUMBER($C160),IF(TODAY()-$C160&gt;=Set_FollowUpDays,"NO RESPONSE",""),""),"")))</f>
        <v/>
      </c>
      <c r="AD160" s="87">
        <f>IF(ISNUMBER($L160),IF($L160&gt;=90,"Excellent Match",IF($L160&gt;=75,"Strong Match",IF($L160&gt;=60,"Moderate Match","Low Match"))),"")</f>
        <v/>
      </c>
      <c r="AE160" s="87">
        <f>IF($D160="","",IF(OR($M160="Rejected",$M160="Withdrawn"),IF($AB160&lt;&gt;"",$AB160,IF(OR($M160="Rejected",ISNUMBER($C160)),"Applied","Wishlist")),IF($M160="",IF(ISNUMBER($C160),"Applied","Wishlist"),$M160)))</f>
        <v/>
      </c>
      <c r="AF160" s="88">
        <f>IF(AND(ISNUMBER($C160),ISNUMBER($AA160)),$AA160-$C160,"")</f>
        <v/>
      </c>
      <c r="AG160" s="87">
        <f>IF($AE160="","",IFERROR(MATCH($AE160,{"Wishlist","Applied","Screening","Interview 1","Interview 2","Final","Offer","Accepted"},0)-1,""))</f>
        <v/>
      </c>
      <c r="AH160" s="87">
        <f>IF($AC160="","",MATCH($AC160,{"FOLLOW UP REQUIRED","ACTION DUE TODAY","NO RESPONSE","DUE SOON"},0)*100000+IF(ISNUMBER($O160),$O160,IF(ISNUMBER($C160),$C160,0))+ROW()/10000)</f>
        <v/>
      </c>
      <c r="AI160" s="87">
        <f>IF(AND(ISNUMBER($AG160),$AG160&gt;=1,$AG160&lt;=6,$M160&lt;&gt;"Rejected",$M160&lt;&gt;"Withdrawn"),(10-$AG160)*100000+IF(ISNUMBER($C160),$C160,0)+ROW()/10000,"")</f>
        <v/>
      </c>
    </row>
    <row r="161">
      <c r="A161" s="80" t="n"/>
      <c r="B161" s="81" t="n"/>
      <c r="C161" s="81" t="n"/>
      <c r="D161" s="82" t="n"/>
      <c r="E161" s="82" t="n"/>
      <c r="F161" s="82" t="n"/>
      <c r="G161" s="82" t="n"/>
      <c r="H161" s="82" t="n"/>
      <c r="I161" s="83" t="n"/>
      <c r="J161" s="82" t="n"/>
      <c r="K161" s="84" t="n"/>
      <c r="L161" s="85" t="n"/>
      <c r="M161" s="82" t="n"/>
      <c r="N161" s="86" t="n"/>
      <c r="O161" s="81" t="n"/>
      <c r="P161" s="82" t="n"/>
      <c r="Q161" s="83" t="n"/>
      <c r="R161" s="82" t="n"/>
      <c r="S161" s="84" t="n"/>
      <c r="T161" s="84" t="n"/>
      <c r="U161" s="82" t="n"/>
      <c r="V161" s="86" t="n"/>
      <c r="W161" s="86" t="n"/>
      <c r="X161" s="86" t="n"/>
      <c r="Y161" s="81" t="n"/>
      <c r="Z161" s="82" t="n"/>
      <c r="AA161" s="81" t="n"/>
      <c r="AB161" s="82" t="n"/>
      <c r="AC161" s="87">
        <f>IF(OR($D161="",$M161="Rejected",$M161="Withdrawn",$M161="Accepted"),"",IF(ISNUMBER($O161),IF(INT($O161)&lt;TODAY(),"FOLLOW UP REQUIRED",IF(INT($O161)=TODAY(),"ACTION DUE TODAY",IF(INT($O161)-TODAY()&lt;=Set_DueSoonDays,"DUE SOON",""))),IF(AND($M161="Applied",$AA161=""),IF(ISNUMBER($C161),IF(TODAY()-$C161&gt;=Set_FollowUpDays,"NO RESPONSE",""),""),"")))</f>
        <v/>
      </c>
      <c r="AD161" s="87">
        <f>IF(ISNUMBER($L161),IF($L161&gt;=90,"Excellent Match",IF($L161&gt;=75,"Strong Match",IF($L161&gt;=60,"Moderate Match","Low Match"))),"")</f>
        <v/>
      </c>
      <c r="AE161" s="87">
        <f>IF($D161="","",IF(OR($M161="Rejected",$M161="Withdrawn"),IF($AB161&lt;&gt;"",$AB161,IF(OR($M161="Rejected",ISNUMBER($C161)),"Applied","Wishlist")),IF($M161="",IF(ISNUMBER($C161),"Applied","Wishlist"),$M161)))</f>
        <v/>
      </c>
      <c r="AF161" s="88">
        <f>IF(AND(ISNUMBER($C161),ISNUMBER($AA161)),$AA161-$C161,"")</f>
        <v/>
      </c>
      <c r="AG161" s="87">
        <f>IF($AE161="","",IFERROR(MATCH($AE161,{"Wishlist","Applied","Screening","Interview 1","Interview 2","Final","Offer","Accepted"},0)-1,""))</f>
        <v/>
      </c>
      <c r="AH161" s="87">
        <f>IF($AC161="","",MATCH($AC161,{"FOLLOW UP REQUIRED","ACTION DUE TODAY","NO RESPONSE","DUE SOON"},0)*100000+IF(ISNUMBER($O161),$O161,IF(ISNUMBER($C161),$C161,0))+ROW()/10000)</f>
        <v/>
      </c>
      <c r="AI161" s="87">
        <f>IF(AND(ISNUMBER($AG161),$AG161&gt;=1,$AG161&lt;=6,$M161&lt;&gt;"Rejected",$M161&lt;&gt;"Withdrawn"),(10-$AG161)*100000+IF(ISNUMBER($C161),$C161,0)+ROW()/10000,"")</f>
        <v/>
      </c>
    </row>
    <row r="162">
      <c r="A162" s="80" t="n"/>
      <c r="B162" s="81" t="n"/>
      <c r="C162" s="81" t="n"/>
      <c r="D162" s="82" t="n"/>
      <c r="E162" s="82" t="n"/>
      <c r="F162" s="82" t="n"/>
      <c r="G162" s="82" t="n"/>
      <c r="H162" s="82" t="n"/>
      <c r="I162" s="83" t="n"/>
      <c r="J162" s="82" t="n"/>
      <c r="K162" s="84" t="n"/>
      <c r="L162" s="85" t="n"/>
      <c r="M162" s="82" t="n"/>
      <c r="N162" s="86" t="n"/>
      <c r="O162" s="81" t="n"/>
      <c r="P162" s="82" t="n"/>
      <c r="Q162" s="83" t="n"/>
      <c r="R162" s="82" t="n"/>
      <c r="S162" s="84" t="n"/>
      <c r="T162" s="84" t="n"/>
      <c r="U162" s="82" t="n"/>
      <c r="V162" s="86" t="n"/>
      <c r="W162" s="86" t="n"/>
      <c r="X162" s="86" t="n"/>
      <c r="Y162" s="81" t="n"/>
      <c r="Z162" s="82" t="n"/>
      <c r="AA162" s="81" t="n"/>
      <c r="AB162" s="82" t="n"/>
      <c r="AC162" s="87">
        <f>IF(OR($D162="",$M162="Rejected",$M162="Withdrawn",$M162="Accepted"),"",IF(ISNUMBER($O162),IF(INT($O162)&lt;TODAY(),"FOLLOW UP REQUIRED",IF(INT($O162)=TODAY(),"ACTION DUE TODAY",IF(INT($O162)-TODAY()&lt;=Set_DueSoonDays,"DUE SOON",""))),IF(AND($M162="Applied",$AA162=""),IF(ISNUMBER($C162),IF(TODAY()-$C162&gt;=Set_FollowUpDays,"NO RESPONSE",""),""),"")))</f>
        <v/>
      </c>
      <c r="AD162" s="87">
        <f>IF(ISNUMBER($L162),IF($L162&gt;=90,"Excellent Match",IF($L162&gt;=75,"Strong Match",IF($L162&gt;=60,"Moderate Match","Low Match"))),"")</f>
        <v/>
      </c>
      <c r="AE162" s="87">
        <f>IF($D162="","",IF(OR($M162="Rejected",$M162="Withdrawn"),IF($AB162&lt;&gt;"",$AB162,IF(OR($M162="Rejected",ISNUMBER($C162)),"Applied","Wishlist")),IF($M162="",IF(ISNUMBER($C162),"Applied","Wishlist"),$M162)))</f>
        <v/>
      </c>
      <c r="AF162" s="88">
        <f>IF(AND(ISNUMBER($C162),ISNUMBER($AA162)),$AA162-$C162,"")</f>
        <v/>
      </c>
      <c r="AG162" s="87">
        <f>IF($AE162="","",IFERROR(MATCH($AE162,{"Wishlist","Applied","Screening","Interview 1","Interview 2","Final","Offer","Accepted"},0)-1,""))</f>
        <v/>
      </c>
      <c r="AH162" s="87">
        <f>IF($AC162="","",MATCH($AC162,{"FOLLOW UP REQUIRED","ACTION DUE TODAY","NO RESPONSE","DUE SOON"},0)*100000+IF(ISNUMBER($O162),$O162,IF(ISNUMBER($C162),$C162,0))+ROW()/10000)</f>
        <v/>
      </c>
      <c r="AI162" s="87">
        <f>IF(AND(ISNUMBER($AG162),$AG162&gt;=1,$AG162&lt;=6,$M162&lt;&gt;"Rejected",$M162&lt;&gt;"Withdrawn"),(10-$AG162)*100000+IF(ISNUMBER($C162),$C162,0)+ROW()/10000,"")</f>
        <v/>
      </c>
    </row>
    <row r="163">
      <c r="A163" s="80" t="n"/>
      <c r="B163" s="81" t="n"/>
      <c r="C163" s="81" t="n"/>
      <c r="D163" s="82" t="n"/>
      <c r="E163" s="82" t="n"/>
      <c r="F163" s="82" t="n"/>
      <c r="G163" s="82" t="n"/>
      <c r="H163" s="82" t="n"/>
      <c r="I163" s="83" t="n"/>
      <c r="J163" s="82" t="n"/>
      <c r="K163" s="84" t="n"/>
      <c r="L163" s="85" t="n"/>
      <c r="M163" s="82" t="n"/>
      <c r="N163" s="86" t="n"/>
      <c r="O163" s="81" t="n"/>
      <c r="P163" s="82" t="n"/>
      <c r="Q163" s="83" t="n"/>
      <c r="R163" s="82" t="n"/>
      <c r="S163" s="84" t="n"/>
      <c r="T163" s="84" t="n"/>
      <c r="U163" s="82" t="n"/>
      <c r="V163" s="86" t="n"/>
      <c r="W163" s="86" t="n"/>
      <c r="X163" s="86" t="n"/>
      <c r="Y163" s="81" t="n"/>
      <c r="Z163" s="82" t="n"/>
      <c r="AA163" s="81" t="n"/>
      <c r="AB163" s="82" t="n"/>
      <c r="AC163" s="87">
        <f>IF(OR($D163="",$M163="Rejected",$M163="Withdrawn",$M163="Accepted"),"",IF(ISNUMBER($O163),IF(INT($O163)&lt;TODAY(),"FOLLOW UP REQUIRED",IF(INT($O163)=TODAY(),"ACTION DUE TODAY",IF(INT($O163)-TODAY()&lt;=Set_DueSoonDays,"DUE SOON",""))),IF(AND($M163="Applied",$AA163=""),IF(ISNUMBER($C163),IF(TODAY()-$C163&gt;=Set_FollowUpDays,"NO RESPONSE",""),""),"")))</f>
        <v/>
      </c>
      <c r="AD163" s="87">
        <f>IF(ISNUMBER($L163),IF($L163&gt;=90,"Excellent Match",IF($L163&gt;=75,"Strong Match",IF($L163&gt;=60,"Moderate Match","Low Match"))),"")</f>
        <v/>
      </c>
      <c r="AE163" s="87">
        <f>IF($D163="","",IF(OR($M163="Rejected",$M163="Withdrawn"),IF($AB163&lt;&gt;"",$AB163,IF(OR($M163="Rejected",ISNUMBER($C163)),"Applied","Wishlist")),IF($M163="",IF(ISNUMBER($C163),"Applied","Wishlist"),$M163)))</f>
        <v/>
      </c>
      <c r="AF163" s="88">
        <f>IF(AND(ISNUMBER($C163),ISNUMBER($AA163)),$AA163-$C163,"")</f>
        <v/>
      </c>
      <c r="AG163" s="87">
        <f>IF($AE163="","",IFERROR(MATCH($AE163,{"Wishlist","Applied","Screening","Interview 1","Interview 2","Final","Offer","Accepted"},0)-1,""))</f>
        <v/>
      </c>
      <c r="AH163" s="87">
        <f>IF($AC163="","",MATCH($AC163,{"FOLLOW UP REQUIRED","ACTION DUE TODAY","NO RESPONSE","DUE SOON"},0)*100000+IF(ISNUMBER($O163),$O163,IF(ISNUMBER($C163),$C163,0))+ROW()/10000)</f>
        <v/>
      </c>
      <c r="AI163" s="87">
        <f>IF(AND(ISNUMBER($AG163),$AG163&gt;=1,$AG163&lt;=6,$M163&lt;&gt;"Rejected",$M163&lt;&gt;"Withdrawn"),(10-$AG163)*100000+IF(ISNUMBER($C163),$C163,0)+ROW()/10000,"")</f>
        <v/>
      </c>
    </row>
    <row r="164">
      <c r="A164" s="80" t="n"/>
      <c r="B164" s="81" t="n"/>
      <c r="C164" s="81" t="n"/>
      <c r="D164" s="82" t="n"/>
      <c r="E164" s="82" t="n"/>
      <c r="F164" s="82" t="n"/>
      <c r="G164" s="82" t="n"/>
      <c r="H164" s="82" t="n"/>
      <c r="I164" s="83" t="n"/>
      <c r="J164" s="82" t="n"/>
      <c r="K164" s="84" t="n"/>
      <c r="L164" s="85" t="n"/>
      <c r="M164" s="82" t="n"/>
      <c r="N164" s="86" t="n"/>
      <c r="O164" s="81" t="n"/>
      <c r="P164" s="82" t="n"/>
      <c r="Q164" s="83" t="n"/>
      <c r="R164" s="82" t="n"/>
      <c r="S164" s="84" t="n"/>
      <c r="T164" s="84" t="n"/>
      <c r="U164" s="82" t="n"/>
      <c r="V164" s="86" t="n"/>
      <c r="W164" s="86" t="n"/>
      <c r="X164" s="86" t="n"/>
      <c r="Y164" s="81" t="n"/>
      <c r="Z164" s="82" t="n"/>
      <c r="AA164" s="81" t="n"/>
      <c r="AB164" s="82" t="n"/>
      <c r="AC164" s="87">
        <f>IF(OR($D164="",$M164="Rejected",$M164="Withdrawn",$M164="Accepted"),"",IF(ISNUMBER($O164),IF(INT($O164)&lt;TODAY(),"FOLLOW UP REQUIRED",IF(INT($O164)=TODAY(),"ACTION DUE TODAY",IF(INT($O164)-TODAY()&lt;=Set_DueSoonDays,"DUE SOON",""))),IF(AND($M164="Applied",$AA164=""),IF(ISNUMBER($C164),IF(TODAY()-$C164&gt;=Set_FollowUpDays,"NO RESPONSE",""),""),"")))</f>
        <v/>
      </c>
      <c r="AD164" s="87">
        <f>IF(ISNUMBER($L164),IF($L164&gt;=90,"Excellent Match",IF($L164&gt;=75,"Strong Match",IF($L164&gt;=60,"Moderate Match","Low Match"))),"")</f>
        <v/>
      </c>
      <c r="AE164" s="87">
        <f>IF($D164="","",IF(OR($M164="Rejected",$M164="Withdrawn"),IF($AB164&lt;&gt;"",$AB164,IF(OR($M164="Rejected",ISNUMBER($C164)),"Applied","Wishlist")),IF($M164="",IF(ISNUMBER($C164),"Applied","Wishlist"),$M164)))</f>
        <v/>
      </c>
      <c r="AF164" s="88">
        <f>IF(AND(ISNUMBER($C164),ISNUMBER($AA164)),$AA164-$C164,"")</f>
        <v/>
      </c>
      <c r="AG164" s="87">
        <f>IF($AE164="","",IFERROR(MATCH($AE164,{"Wishlist","Applied","Screening","Interview 1","Interview 2","Final","Offer","Accepted"},0)-1,""))</f>
        <v/>
      </c>
      <c r="AH164" s="87">
        <f>IF($AC164="","",MATCH($AC164,{"FOLLOW UP REQUIRED","ACTION DUE TODAY","NO RESPONSE","DUE SOON"},0)*100000+IF(ISNUMBER($O164),$O164,IF(ISNUMBER($C164),$C164,0))+ROW()/10000)</f>
        <v/>
      </c>
      <c r="AI164" s="87">
        <f>IF(AND(ISNUMBER($AG164),$AG164&gt;=1,$AG164&lt;=6,$M164&lt;&gt;"Rejected",$M164&lt;&gt;"Withdrawn"),(10-$AG164)*100000+IF(ISNUMBER($C164),$C164,0)+ROW()/10000,"")</f>
        <v/>
      </c>
    </row>
    <row r="165">
      <c r="A165" s="80" t="n"/>
      <c r="B165" s="81" t="n"/>
      <c r="C165" s="81" t="n"/>
      <c r="D165" s="82" t="n"/>
      <c r="E165" s="82" t="n"/>
      <c r="F165" s="82" t="n"/>
      <c r="G165" s="82" t="n"/>
      <c r="H165" s="82" t="n"/>
      <c r="I165" s="83" t="n"/>
      <c r="J165" s="82" t="n"/>
      <c r="K165" s="84" t="n"/>
      <c r="L165" s="85" t="n"/>
      <c r="M165" s="82" t="n"/>
      <c r="N165" s="86" t="n"/>
      <c r="O165" s="81" t="n"/>
      <c r="P165" s="82" t="n"/>
      <c r="Q165" s="83" t="n"/>
      <c r="R165" s="82" t="n"/>
      <c r="S165" s="84" t="n"/>
      <c r="T165" s="84" t="n"/>
      <c r="U165" s="82" t="n"/>
      <c r="V165" s="86" t="n"/>
      <c r="W165" s="86" t="n"/>
      <c r="X165" s="86" t="n"/>
      <c r="Y165" s="81" t="n"/>
      <c r="Z165" s="82" t="n"/>
      <c r="AA165" s="81" t="n"/>
      <c r="AB165" s="82" t="n"/>
      <c r="AC165" s="87">
        <f>IF(OR($D165="",$M165="Rejected",$M165="Withdrawn",$M165="Accepted"),"",IF(ISNUMBER($O165),IF(INT($O165)&lt;TODAY(),"FOLLOW UP REQUIRED",IF(INT($O165)=TODAY(),"ACTION DUE TODAY",IF(INT($O165)-TODAY()&lt;=Set_DueSoonDays,"DUE SOON",""))),IF(AND($M165="Applied",$AA165=""),IF(ISNUMBER($C165),IF(TODAY()-$C165&gt;=Set_FollowUpDays,"NO RESPONSE",""),""),"")))</f>
        <v/>
      </c>
      <c r="AD165" s="87">
        <f>IF(ISNUMBER($L165),IF($L165&gt;=90,"Excellent Match",IF($L165&gt;=75,"Strong Match",IF($L165&gt;=60,"Moderate Match","Low Match"))),"")</f>
        <v/>
      </c>
      <c r="AE165" s="87">
        <f>IF($D165="","",IF(OR($M165="Rejected",$M165="Withdrawn"),IF($AB165&lt;&gt;"",$AB165,IF(OR($M165="Rejected",ISNUMBER($C165)),"Applied","Wishlist")),IF($M165="",IF(ISNUMBER($C165),"Applied","Wishlist"),$M165)))</f>
        <v/>
      </c>
      <c r="AF165" s="88">
        <f>IF(AND(ISNUMBER($C165),ISNUMBER($AA165)),$AA165-$C165,"")</f>
        <v/>
      </c>
      <c r="AG165" s="87">
        <f>IF($AE165="","",IFERROR(MATCH($AE165,{"Wishlist","Applied","Screening","Interview 1","Interview 2","Final","Offer","Accepted"},0)-1,""))</f>
        <v/>
      </c>
      <c r="AH165" s="87">
        <f>IF($AC165="","",MATCH($AC165,{"FOLLOW UP REQUIRED","ACTION DUE TODAY","NO RESPONSE","DUE SOON"},0)*100000+IF(ISNUMBER($O165),$O165,IF(ISNUMBER($C165),$C165,0))+ROW()/10000)</f>
        <v/>
      </c>
      <c r="AI165" s="87">
        <f>IF(AND(ISNUMBER($AG165),$AG165&gt;=1,$AG165&lt;=6,$M165&lt;&gt;"Rejected",$M165&lt;&gt;"Withdrawn"),(10-$AG165)*100000+IF(ISNUMBER($C165),$C165,0)+ROW()/10000,"")</f>
        <v/>
      </c>
    </row>
    <row r="166">
      <c r="A166" s="80" t="n"/>
      <c r="B166" s="81" t="n"/>
      <c r="C166" s="81" t="n"/>
      <c r="D166" s="82" t="n"/>
      <c r="E166" s="82" t="n"/>
      <c r="F166" s="82" t="n"/>
      <c r="G166" s="82" t="n"/>
      <c r="H166" s="82" t="n"/>
      <c r="I166" s="83" t="n"/>
      <c r="J166" s="82" t="n"/>
      <c r="K166" s="84" t="n"/>
      <c r="L166" s="85" t="n"/>
      <c r="M166" s="82" t="n"/>
      <c r="N166" s="86" t="n"/>
      <c r="O166" s="81" t="n"/>
      <c r="P166" s="82" t="n"/>
      <c r="Q166" s="83" t="n"/>
      <c r="R166" s="82" t="n"/>
      <c r="S166" s="84" t="n"/>
      <c r="T166" s="84" t="n"/>
      <c r="U166" s="82" t="n"/>
      <c r="V166" s="86" t="n"/>
      <c r="W166" s="86" t="n"/>
      <c r="X166" s="86" t="n"/>
      <c r="Y166" s="81" t="n"/>
      <c r="Z166" s="82" t="n"/>
      <c r="AA166" s="81" t="n"/>
      <c r="AB166" s="82" t="n"/>
      <c r="AC166" s="87">
        <f>IF(OR($D166="",$M166="Rejected",$M166="Withdrawn",$M166="Accepted"),"",IF(ISNUMBER($O166),IF(INT($O166)&lt;TODAY(),"FOLLOW UP REQUIRED",IF(INT($O166)=TODAY(),"ACTION DUE TODAY",IF(INT($O166)-TODAY()&lt;=Set_DueSoonDays,"DUE SOON",""))),IF(AND($M166="Applied",$AA166=""),IF(ISNUMBER($C166),IF(TODAY()-$C166&gt;=Set_FollowUpDays,"NO RESPONSE",""),""),"")))</f>
        <v/>
      </c>
      <c r="AD166" s="87">
        <f>IF(ISNUMBER($L166),IF($L166&gt;=90,"Excellent Match",IF($L166&gt;=75,"Strong Match",IF($L166&gt;=60,"Moderate Match","Low Match"))),"")</f>
        <v/>
      </c>
      <c r="AE166" s="87">
        <f>IF($D166="","",IF(OR($M166="Rejected",$M166="Withdrawn"),IF($AB166&lt;&gt;"",$AB166,IF(OR($M166="Rejected",ISNUMBER($C166)),"Applied","Wishlist")),IF($M166="",IF(ISNUMBER($C166),"Applied","Wishlist"),$M166)))</f>
        <v/>
      </c>
      <c r="AF166" s="88">
        <f>IF(AND(ISNUMBER($C166),ISNUMBER($AA166)),$AA166-$C166,"")</f>
        <v/>
      </c>
      <c r="AG166" s="87">
        <f>IF($AE166="","",IFERROR(MATCH($AE166,{"Wishlist","Applied","Screening","Interview 1","Interview 2","Final","Offer","Accepted"},0)-1,""))</f>
        <v/>
      </c>
      <c r="AH166" s="87">
        <f>IF($AC166="","",MATCH($AC166,{"FOLLOW UP REQUIRED","ACTION DUE TODAY","NO RESPONSE","DUE SOON"},0)*100000+IF(ISNUMBER($O166),$O166,IF(ISNUMBER($C166),$C166,0))+ROW()/10000)</f>
        <v/>
      </c>
      <c r="AI166" s="87">
        <f>IF(AND(ISNUMBER($AG166),$AG166&gt;=1,$AG166&lt;=6,$M166&lt;&gt;"Rejected",$M166&lt;&gt;"Withdrawn"),(10-$AG166)*100000+IF(ISNUMBER($C166),$C166,0)+ROW()/10000,"")</f>
        <v/>
      </c>
    </row>
    <row r="167">
      <c r="A167" s="80" t="n"/>
      <c r="B167" s="81" t="n"/>
      <c r="C167" s="81" t="n"/>
      <c r="D167" s="82" t="n"/>
      <c r="E167" s="82" t="n"/>
      <c r="F167" s="82" t="n"/>
      <c r="G167" s="82" t="n"/>
      <c r="H167" s="82" t="n"/>
      <c r="I167" s="83" t="n"/>
      <c r="J167" s="82" t="n"/>
      <c r="K167" s="84" t="n"/>
      <c r="L167" s="85" t="n"/>
      <c r="M167" s="82" t="n"/>
      <c r="N167" s="86" t="n"/>
      <c r="O167" s="81" t="n"/>
      <c r="P167" s="82" t="n"/>
      <c r="Q167" s="83" t="n"/>
      <c r="R167" s="82" t="n"/>
      <c r="S167" s="84" t="n"/>
      <c r="T167" s="84" t="n"/>
      <c r="U167" s="82" t="n"/>
      <c r="V167" s="86" t="n"/>
      <c r="W167" s="86" t="n"/>
      <c r="X167" s="86" t="n"/>
      <c r="Y167" s="81" t="n"/>
      <c r="Z167" s="82" t="n"/>
      <c r="AA167" s="81" t="n"/>
      <c r="AB167" s="82" t="n"/>
      <c r="AC167" s="87">
        <f>IF(OR($D167="",$M167="Rejected",$M167="Withdrawn",$M167="Accepted"),"",IF(ISNUMBER($O167),IF(INT($O167)&lt;TODAY(),"FOLLOW UP REQUIRED",IF(INT($O167)=TODAY(),"ACTION DUE TODAY",IF(INT($O167)-TODAY()&lt;=Set_DueSoonDays,"DUE SOON",""))),IF(AND($M167="Applied",$AA167=""),IF(ISNUMBER($C167),IF(TODAY()-$C167&gt;=Set_FollowUpDays,"NO RESPONSE",""),""),"")))</f>
        <v/>
      </c>
      <c r="AD167" s="87">
        <f>IF(ISNUMBER($L167),IF($L167&gt;=90,"Excellent Match",IF($L167&gt;=75,"Strong Match",IF($L167&gt;=60,"Moderate Match","Low Match"))),"")</f>
        <v/>
      </c>
      <c r="AE167" s="87">
        <f>IF($D167="","",IF(OR($M167="Rejected",$M167="Withdrawn"),IF($AB167&lt;&gt;"",$AB167,IF(OR($M167="Rejected",ISNUMBER($C167)),"Applied","Wishlist")),IF($M167="",IF(ISNUMBER($C167),"Applied","Wishlist"),$M167)))</f>
        <v/>
      </c>
      <c r="AF167" s="88">
        <f>IF(AND(ISNUMBER($C167),ISNUMBER($AA167)),$AA167-$C167,"")</f>
        <v/>
      </c>
      <c r="AG167" s="87">
        <f>IF($AE167="","",IFERROR(MATCH($AE167,{"Wishlist","Applied","Screening","Interview 1","Interview 2","Final","Offer","Accepted"},0)-1,""))</f>
        <v/>
      </c>
      <c r="AH167" s="87">
        <f>IF($AC167="","",MATCH($AC167,{"FOLLOW UP REQUIRED","ACTION DUE TODAY","NO RESPONSE","DUE SOON"},0)*100000+IF(ISNUMBER($O167),$O167,IF(ISNUMBER($C167),$C167,0))+ROW()/10000)</f>
        <v/>
      </c>
      <c r="AI167" s="87">
        <f>IF(AND(ISNUMBER($AG167),$AG167&gt;=1,$AG167&lt;=6,$M167&lt;&gt;"Rejected",$M167&lt;&gt;"Withdrawn"),(10-$AG167)*100000+IF(ISNUMBER($C167),$C167,0)+ROW()/10000,"")</f>
        <v/>
      </c>
    </row>
    <row r="168">
      <c r="A168" s="80" t="n"/>
      <c r="B168" s="81" t="n"/>
      <c r="C168" s="81" t="n"/>
      <c r="D168" s="82" t="n"/>
      <c r="E168" s="82" t="n"/>
      <c r="F168" s="82" t="n"/>
      <c r="G168" s="82" t="n"/>
      <c r="H168" s="82" t="n"/>
      <c r="I168" s="83" t="n"/>
      <c r="J168" s="82" t="n"/>
      <c r="K168" s="84" t="n"/>
      <c r="L168" s="85" t="n"/>
      <c r="M168" s="82" t="n"/>
      <c r="N168" s="86" t="n"/>
      <c r="O168" s="81" t="n"/>
      <c r="P168" s="82" t="n"/>
      <c r="Q168" s="83" t="n"/>
      <c r="R168" s="82" t="n"/>
      <c r="S168" s="84" t="n"/>
      <c r="T168" s="84" t="n"/>
      <c r="U168" s="82" t="n"/>
      <c r="V168" s="86" t="n"/>
      <c r="W168" s="86" t="n"/>
      <c r="X168" s="86" t="n"/>
      <c r="Y168" s="81" t="n"/>
      <c r="Z168" s="82" t="n"/>
      <c r="AA168" s="81" t="n"/>
      <c r="AB168" s="82" t="n"/>
      <c r="AC168" s="87">
        <f>IF(OR($D168="",$M168="Rejected",$M168="Withdrawn",$M168="Accepted"),"",IF(ISNUMBER($O168),IF(INT($O168)&lt;TODAY(),"FOLLOW UP REQUIRED",IF(INT($O168)=TODAY(),"ACTION DUE TODAY",IF(INT($O168)-TODAY()&lt;=Set_DueSoonDays,"DUE SOON",""))),IF(AND($M168="Applied",$AA168=""),IF(ISNUMBER($C168),IF(TODAY()-$C168&gt;=Set_FollowUpDays,"NO RESPONSE",""),""),"")))</f>
        <v/>
      </c>
      <c r="AD168" s="87">
        <f>IF(ISNUMBER($L168),IF($L168&gt;=90,"Excellent Match",IF($L168&gt;=75,"Strong Match",IF($L168&gt;=60,"Moderate Match","Low Match"))),"")</f>
        <v/>
      </c>
      <c r="AE168" s="87">
        <f>IF($D168="","",IF(OR($M168="Rejected",$M168="Withdrawn"),IF($AB168&lt;&gt;"",$AB168,IF(OR($M168="Rejected",ISNUMBER($C168)),"Applied","Wishlist")),IF($M168="",IF(ISNUMBER($C168),"Applied","Wishlist"),$M168)))</f>
        <v/>
      </c>
      <c r="AF168" s="88">
        <f>IF(AND(ISNUMBER($C168),ISNUMBER($AA168)),$AA168-$C168,"")</f>
        <v/>
      </c>
      <c r="AG168" s="87">
        <f>IF($AE168="","",IFERROR(MATCH($AE168,{"Wishlist","Applied","Screening","Interview 1","Interview 2","Final","Offer","Accepted"},0)-1,""))</f>
        <v/>
      </c>
      <c r="AH168" s="87">
        <f>IF($AC168="","",MATCH($AC168,{"FOLLOW UP REQUIRED","ACTION DUE TODAY","NO RESPONSE","DUE SOON"},0)*100000+IF(ISNUMBER($O168),$O168,IF(ISNUMBER($C168),$C168,0))+ROW()/10000)</f>
        <v/>
      </c>
      <c r="AI168" s="87">
        <f>IF(AND(ISNUMBER($AG168),$AG168&gt;=1,$AG168&lt;=6,$M168&lt;&gt;"Rejected",$M168&lt;&gt;"Withdrawn"),(10-$AG168)*100000+IF(ISNUMBER($C168),$C168,0)+ROW()/10000,"")</f>
        <v/>
      </c>
    </row>
    <row r="169">
      <c r="A169" s="80" t="n"/>
      <c r="B169" s="81" t="n"/>
      <c r="C169" s="81" t="n"/>
      <c r="D169" s="82" t="n"/>
      <c r="E169" s="82" t="n"/>
      <c r="F169" s="82" t="n"/>
      <c r="G169" s="82" t="n"/>
      <c r="H169" s="82" t="n"/>
      <c r="I169" s="83" t="n"/>
      <c r="J169" s="82" t="n"/>
      <c r="K169" s="84" t="n"/>
      <c r="L169" s="85" t="n"/>
      <c r="M169" s="82" t="n"/>
      <c r="N169" s="86" t="n"/>
      <c r="O169" s="81" t="n"/>
      <c r="P169" s="82" t="n"/>
      <c r="Q169" s="83" t="n"/>
      <c r="R169" s="82" t="n"/>
      <c r="S169" s="84" t="n"/>
      <c r="T169" s="84" t="n"/>
      <c r="U169" s="82" t="n"/>
      <c r="V169" s="86" t="n"/>
      <c r="W169" s="86" t="n"/>
      <c r="X169" s="86" t="n"/>
      <c r="Y169" s="81" t="n"/>
      <c r="Z169" s="82" t="n"/>
      <c r="AA169" s="81" t="n"/>
      <c r="AB169" s="82" t="n"/>
      <c r="AC169" s="87">
        <f>IF(OR($D169="",$M169="Rejected",$M169="Withdrawn",$M169="Accepted"),"",IF(ISNUMBER($O169),IF(INT($O169)&lt;TODAY(),"FOLLOW UP REQUIRED",IF(INT($O169)=TODAY(),"ACTION DUE TODAY",IF(INT($O169)-TODAY()&lt;=Set_DueSoonDays,"DUE SOON",""))),IF(AND($M169="Applied",$AA169=""),IF(ISNUMBER($C169),IF(TODAY()-$C169&gt;=Set_FollowUpDays,"NO RESPONSE",""),""),"")))</f>
        <v/>
      </c>
      <c r="AD169" s="87">
        <f>IF(ISNUMBER($L169),IF($L169&gt;=90,"Excellent Match",IF($L169&gt;=75,"Strong Match",IF($L169&gt;=60,"Moderate Match","Low Match"))),"")</f>
        <v/>
      </c>
      <c r="AE169" s="87">
        <f>IF($D169="","",IF(OR($M169="Rejected",$M169="Withdrawn"),IF($AB169&lt;&gt;"",$AB169,IF(OR($M169="Rejected",ISNUMBER($C169)),"Applied","Wishlist")),IF($M169="",IF(ISNUMBER($C169),"Applied","Wishlist"),$M169)))</f>
        <v/>
      </c>
      <c r="AF169" s="88">
        <f>IF(AND(ISNUMBER($C169),ISNUMBER($AA169)),$AA169-$C169,"")</f>
        <v/>
      </c>
      <c r="AG169" s="87">
        <f>IF($AE169="","",IFERROR(MATCH($AE169,{"Wishlist","Applied","Screening","Interview 1","Interview 2","Final","Offer","Accepted"},0)-1,""))</f>
        <v/>
      </c>
      <c r="AH169" s="87">
        <f>IF($AC169="","",MATCH($AC169,{"FOLLOW UP REQUIRED","ACTION DUE TODAY","NO RESPONSE","DUE SOON"},0)*100000+IF(ISNUMBER($O169),$O169,IF(ISNUMBER($C169),$C169,0))+ROW()/10000)</f>
        <v/>
      </c>
      <c r="AI169" s="87">
        <f>IF(AND(ISNUMBER($AG169),$AG169&gt;=1,$AG169&lt;=6,$M169&lt;&gt;"Rejected",$M169&lt;&gt;"Withdrawn"),(10-$AG169)*100000+IF(ISNUMBER($C169),$C169,0)+ROW()/10000,"")</f>
        <v/>
      </c>
    </row>
    <row r="170">
      <c r="A170" s="80" t="n"/>
      <c r="B170" s="81" t="n"/>
      <c r="C170" s="81" t="n"/>
      <c r="D170" s="82" t="n"/>
      <c r="E170" s="82" t="n"/>
      <c r="F170" s="82" t="n"/>
      <c r="G170" s="82" t="n"/>
      <c r="H170" s="82" t="n"/>
      <c r="I170" s="83" t="n"/>
      <c r="J170" s="82" t="n"/>
      <c r="K170" s="84" t="n"/>
      <c r="L170" s="85" t="n"/>
      <c r="M170" s="82" t="n"/>
      <c r="N170" s="86" t="n"/>
      <c r="O170" s="81" t="n"/>
      <c r="P170" s="82" t="n"/>
      <c r="Q170" s="83" t="n"/>
      <c r="R170" s="82" t="n"/>
      <c r="S170" s="84" t="n"/>
      <c r="T170" s="84" t="n"/>
      <c r="U170" s="82" t="n"/>
      <c r="V170" s="86" t="n"/>
      <c r="W170" s="86" t="n"/>
      <c r="X170" s="86" t="n"/>
      <c r="Y170" s="81" t="n"/>
      <c r="Z170" s="82" t="n"/>
      <c r="AA170" s="81" t="n"/>
      <c r="AB170" s="82" t="n"/>
      <c r="AC170" s="87">
        <f>IF(OR($D170="",$M170="Rejected",$M170="Withdrawn",$M170="Accepted"),"",IF(ISNUMBER($O170),IF(INT($O170)&lt;TODAY(),"FOLLOW UP REQUIRED",IF(INT($O170)=TODAY(),"ACTION DUE TODAY",IF(INT($O170)-TODAY()&lt;=Set_DueSoonDays,"DUE SOON",""))),IF(AND($M170="Applied",$AA170=""),IF(ISNUMBER($C170),IF(TODAY()-$C170&gt;=Set_FollowUpDays,"NO RESPONSE",""),""),"")))</f>
        <v/>
      </c>
      <c r="AD170" s="87">
        <f>IF(ISNUMBER($L170),IF($L170&gt;=90,"Excellent Match",IF($L170&gt;=75,"Strong Match",IF($L170&gt;=60,"Moderate Match","Low Match"))),"")</f>
        <v/>
      </c>
      <c r="AE170" s="87">
        <f>IF($D170="","",IF(OR($M170="Rejected",$M170="Withdrawn"),IF($AB170&lt;&gt;"",$AB170,IF(OR($M170="Rejected",ISNUMBER($C170)),"Applied","Wishlist")),IF($M170="",IF(ISNUMBER($C170),"Applied","Wishlist"),$M170)))</f>
        <v/>
      </c>
      <c r="AF170" s="88">
        <f>IF(AND(ISNUMBER($C170),ISNUMBER($AA170)),$AA170-$C170,"")</f>
        <v/>
      </c>
      <c r="AG170" s="87">
        <f>IF($AE170="","",IFERROR(MATCH($AE170,{"Wishlist","Applied","Screening","Interview 1","Interview 2","Final","Offer","Accepted"},0)-1,""))</f>
        <v/>
      </c>
      <c r="AH170" s="87">
        <f>IF($AC170="","",MATCH($AC170,{"FOLLOW UP REQUIRED","ACTION DUE TODAY","NO RESPONSE","DUE SOON"},0)*100000+IF(ISNUMBER($O170),$O170,IF(ISNUMBER($C170),$C170,0))+ROW()/10000)</f>
        <v/>
      </c>
      <c r="AI170" s="87">
        <f>IF(AND(ISNUMBER($AG170),$AG170&gt;=1,$AG170&lt;=6,$M170&lt;&gt;"Rejected",$M170&lt;&gt;"Withdrawn"),(10-$AG170)*100000+IF(ISNUMBER($C170),$C170,0)+ROW()/10000,"")</f>
        <v/>
      </c>
    </row>
    <row r="171">
      <c r="A171" s="80" t="n"/>
      <c r="B171" s="81" t="n"/>
      <c r="C171" s="81" t="n"/>
      <c r="D171" s="82" t="n"/>
      <c r="E171" s="82" t="n"/>
      <c r="F171" s="82" t="n"/>
      <c r="G171" s="82" t="n"/>
      <c r="H171" s="82" t="n"/>
      <c r="I171" s="83" t="n"/>
      <c r="J171" s="82" t="n"/>
      <c r="K171" s="84" t="n"/>
      <c r="L171" s="85" t="n"/>
      <c r="M171" s="82" t="n"/>
      <c r="N171" s="86" t="n"/>
      <c r="O171" s="81" t="n"/>
      <c r="P171" s="82" t="n"/>
      <c r="Q171" s="83" t="n"/>
      <c r="R171" s="82" t="n"/>
      <c r="S171" s="84" t="n"/>
      <c r="T171" s="84" t="n"/>
      <c r="U171" s="82" t="n"/>
      <c r="V171" s="86" t="n"/>
      <c r="W171" s="86" t="n"/>
      <c r="X171" s="86" t="n"/>
      <c r="Y171" s="81" t="n"/>
      <c r="Z171" s="82" t="n"/>
      <c r="AA171" s="81" t="n"/>
      <c r="AB171" s="82" t="n"/>
      <c r="AC171" s="87">
        <f>IF(OR($D171="",$M171="Rejected",$M171="Withdrawn",$M171="Accepted"),"",IF(ISNUMBER($O171),IF(INT($O171)&lt;TODAY(),"FOLLOW UP REQUIRED",IF(INT($O171)=TODAY(),"ACTION DUE TODAY",IF(INT($O171)-TODAY()&lt;=Set_DueSoonDays,"DUE SOON",""))),IF(AND($M171="Applied",$AA171=""),IF(ISNUMBER($C171),IF(TODAY()-$C171&gt;=Set_FollowUpDays,"NO RESPONSE",""),""),"")))</f>
        <v/>
      </c>
      <c r="AD171" s="87">
        <f>IF(ISNUMBER($L171),IF($L171&gt;=90,"Excellent Match",IF($L171&gt;=75,"Strong Match",IF($L171&gt;=60,"Moderate Match","Low Match"))),"")</f>
        <v/>
      </c>
      <c r="AE171" s="87">
        <f>IF($D171="","",IF(OR($M171="Rejected",$M171="Withdrawn"),IF($AB171&lt;&gt;"",$AB171,IF(OR($M171="Rejected",ISNUMBER($C171)),"Applied","Wishlist")),IF($M171="",IF(ISNUMBER($C171),"Applied","Wishlist"),$M171)))</f>
        <v/>
      </c>
      <c r="AF171" s="88">
        <f>IF(AND(ISNUMBER($C171),ISNUMBER($AA171)),$AA171-$C171,"")</f>
        <v/>
      </c>
      <c r="AG171" s="87">
        <f>IF($AE171="","",IFERROR(MATCH($AE171,{"Wishlist","Applied","Screening","Interview 1","Interview 2","Final","Offer","Accepted"},0)-1,""))</f>
        <v/>
      </c>
      <c r="AH171" s="87">
        <f>IF($AC171="","",MATCH($AC171,{"FOLLOW UP REQUIRED","ACTION DUE TODAY","NO RESPONSE","DUE SOON"},0)*100000+IF(ISNUMBER($O171),$O171,IF(ISNUMBER($C171),$C171,0))+ROW()/10000)</f>
        <v/>
      </c>
      <c r="AI171" s="87">
        <f>IF(AND(ISNUMBER($AG171),$AG171&gt;=1,$AG171&lt;=6,$M171&lt;&gt;"Rejected",$M171&lt;&gt;"Withdrawn"),(10-$AG171)*100000+IF(ISNUMBER($C171),$C171,0)+ROW()/10000,"")</f>
        <v/>
      </c>
    </row>
    <row r="172">
      <c r="A172" s="80" t="n"/>
      <c r="B172" s="81" t="n"/>
      <c r="C172" s="81" t="n"/>
      <c r="D172" s="82" t="n"/>
      <c r="E172" s="82" t="n"/>
      <c r="F172" s="82" t="n"/>
      <c r="G172" s="82" t="n"/>
      <c r="H172" s="82" t="n"/>
      <c r="I172" s="83" t="n"/>
      <c r="J172" s="82" t="n"/>
      <c r="K172" s="84" t="n"/>
      <c r="L172" s="85" t="n"/>
      <c r="M172" s="82" t="n"/>
      <c r="N172" s="86" t="n"/>
      <c r="O172" s="81" t="n"/>
      <c r="P172" s="82" t="n"/>
      <c r="Q172" s="83" t="n"/>
      <c r="R172" s="82" t="n"/>
      <c r="S172" s="84" t="n"/>
      <c r="T172" s="84" t="n"/>
      <c r="U172" s="82" t="n"/>
      <c r="V172" s="86" t="n"/>
      <c r="W172" s="86" t="n"/>
      <c r="X172" s="86" t="n"/>
      <c r="Y172" s="81" t="n"/>
      <c r="Z172" s="82" t="n"/>
      <c r="AA172" s="81" t="n"/>
      <c r="AB172" s="82" t="n"/>
      <c r="AC172" s="87">
        <f>IF(OR($D172="",$M172="Rejected",$M172="Withdrawn",$M172="Accepted"),"",IF(ISNUMBER($O172),IF(INT($O172)&lt;TODAY(),"FOLLOW UP REQUIRED",IF(INT($O172)=TODAY(),"ACTION DUE TODAY",IF(INT($O172)-TODAY()&lt;=Set_DueSoonDays,"DUE SOON",""))),IF(AND($M172="Applied",$AA172=""),IF(ISNUMBER($C172),IF(TODAY()-$C172&gt;=Set_FollowUpDays,"NO RESPONSE",""),""),"")))</f>
        <v/>
      </c>
      <c r="AD172" s="87">
        <f>IF(ISNUMBER($L172),IF($L172&gt;=90,"Excellent Match",IF($L172&gt;=75,"Strong Match",IF($L172&gt;=60,"Moderate Match","Low Match"))),"")</f>
        <v/>
      </c>
      <c r="AE172" s="87">
        <f>IF($D172="","",IF(OR($M172="Rejected",$M172="Withdrawn"),IF($AB172&lt;&gt;"",$AB172,IF(OR($M172="Rejected",ISNUMBER($C172)),"Applied","Wishlist")),IF($M172="",IF(ISNUMBER($C172),"Applied","Wishlist"),$M172)))</f>
        <v/>
      </c>
      <c r="AF172" s="88">
        <f>IF(AND(ISNUMBER($C172),ISNUMBER($AA172)),$AA172-$C172,"")</f>
        <v/>
      </c>
      <c r="AG172" s="87">
        <f>IF($AE172="","",IFERROR(MATCH($AE172,{"Wishlist","Applied","Screening","Interview 1","Interview 2","Final","Offer","Accepted"},0)-1,""))</f>
        <v/>
      </c>
      <c r="AH172" s="87">
        <f>IF($AC172="","",MATCH($AC172,{"FOLLOW UP REQUIRED","ACTION DUE TODAY","NO RESPONSE","DUE SOON"},0)*100000+IF(ISNUMBER($O172),$O172,IF(ISNUMBER($C172),$C172,0))+ROW()/10000)</f>
        <v/>
      </c>
      <c r="AI172" s="87">
        <f>IF(AND(ISNUMBER($AG172),$AG172&gt;=1,$AG172&lt;=6,$M172&lt;&gt;"Rejected",$M172&lt;&gt;"Withdrawn"),(10-$AG172)*100000+IF(ISNUMBER($C172),$C172,0)+ROW()/10000,"")</f>
        <v/>
      </c>
    </row>
    <row r="173">
      <c r="A173" s="80" t="n"/>
      <c r="B173" s="81" t="n"/>
      <c r="C173" s="81" t="n"/>
      <c r="D173" s="82" t="n"/>
      <c r="E173" s="82" t="n"/>
      <c r="F173" s="82" t="n"/>
      <c r="G173" s="82" t="n"/>
      <c r="H173" s="82" t="n"/>
      <c r="I173" s="83" t="n"/>
      <c r="J173" s="82" t="n"/>
      <c r="K173" s="84" t="n"/>
      <c r="L173" s="85" t="n"/>
      <c r="M173" s="82" t="n"/>
      <c r="N173" s="86" t="n"/>
      <c r="O173" s="81" t="n"/>
      <c r="P173" s="82" t="n"/>
      <c r="Q173" s="83" t="n"/>
      <c r="R173" s="82" t="n"/>
      <c r="S173" s="84" t="n"/>
      <c r="T173" s="84" t="n"/>
      <c r="U173" s="82" t="n"/>
      <c r="V173" s="86" t="n"/>
      <c r="W173" s="86" t="n"/>
      <c r="X173" s="86" t="n"/>
      <c r="Y173" s="81" t="n"/>
      <c r="Z173" s="82" t="n"/>
      <c r="AA173" s="81" t="n"/>
      <c r="AB173" s="82" t="n"/>
      <c r="AC173" s="87">
        <f>IF(OR($D173="",$M173="Rejected",$M173="Withdrawn",$M173="Accepted"),"",IF(ISNUMBER($O173),IF(INT($O173)&lt;TODAY(),"FOLLOW UP REQUIRED",IF(INT($O173)=TODAY(),"ACTION DUE TODAY",IF(INT($O173)-TODAY()&lt;=Set_DueSoonDays,"DUE SOON",""))),IF(AND($M173="Applied",$AA173=""),IF(ISNUMBER($C173),IF(TODAY()-$C173&gt;=Set_FollowUpDays,"NO RESPONSE",""),""),"")))</f>
        <v/>
      </c>
      <c r="AD173" s="87">
        <f>IF(ISNUMBER($L173),IF($L173&gt;=90,"Excellent Match",IF($L173&gt;=75,"Strong Match",IF($L173&gt;=60,"Moderate Match","Low Match"))),"")</f>
        <v/>
      </c>
      <c r="AE173" s="87">
        <f>IF($D173="","",IF(OR($M173="Rejected",$M173="Withdrawn"),IF($AB173&lt;&gt;"",$AB173,IF(OR($M173="Rejected",ISNUMBER($C173)),"Applied","Wishlist")),IF($M173="",IF(ISNUMBER($C173),"Applied","Wishlist"),$M173)))</f>
        <v/>
      </c>
      <c r="AF173" s="88">
        <f>IF(AND(ISNUMBER($C173),ISNUMBER($AA173)),$AA173-$C173,"")</f>
        <v/>
      </c>
      <c r="AG173" s="87">
        <f>IF($AE173="","",IFERROR(MATCH($AE173,{"Wishlist","Applied","Screening","Interview 1","Interview 2","Final","Offer","Accepted"},0)-1,""))</f>
        <v/>
      </c>
      <c r="AH173" s="87">
        <f>IF($AC173="","",MATCH($AC173,{"FOLLOW UP REQUIRED","ACTION DUE TODAY","NO RESPONSE","DUE SOON"},0)*100000+IF(ISNUMBER($O173),$O173,IF(ISNUMBER($C173),$C173,0))+ROW()/10000)</f>
        <v/>
      </c>
      <c r="AI173" s="87">
        <f>IF(AND(ISNUMBER($AG173),$AG173&gt;=1,$AG173&lt;=6,$M173&lt;&gt;"Rejected",$M173&lt;&gt;"Withdrawn"),(10-$AG173)*100000+IF(ISNUMBER($C173),$C173,0)+ROW()/10000,"")</f>
        <v/>
      </c>
    </row>
    <row r="174">
      <c r="A174" s="80" t="n"/>
      <c r="B174" s="81" t="n"/>
      <c r="C174" s="81" t="n"/>
      <c r="D174" s="82" t="n"/>
      <c r="E174" s="82" t="n"/>
      <c r="F174" s="82" t="n"/>
      <c r="G174" s="82" t="n"/>
      <c r="H174" s="82" t="n"/>
      <c r="I174" s="83" t="n"/>
      <c r="J174" s="82" t="n"/>
      <c r="K174" s="84" t="n"/>
      <c r="L174" s="85" t="n"/>
      <c r="M174" s="82" t="n"/>
      <c r="N174" s="86" t="n"/>
      <c r="O174" s="81" t="n"/>
      <c r="P174" s="82" t="n"/>
      <c r="Q174" s="83" t="n"/>
      <c r="R174" s="82" t="n"/>
      <c r="S174" s="84" t="n"/>
      <c r="T174" s="84" t="n"/>
      <c r="U174" s="82" t="n"/>
      <c r="V174" s="86" t="n"/>
      <c r="W174" s="86" t="n"/>
      <c r="X174" s="86" t="n"/>
      <c r="Y174" s="81" t="n"/>
      <c r="Z174" s="82" t="n"/>
      <c r="AA174" s="81" t="n"/>
      <c r="AB174" s="82" t="n"/>
      <c r="AC174" s="87">
        <f>IF(OR($D174="",$M174="Rejected",$M174="Withdrawn",$M174="Accepted"),"",IF(ISNUMBER($O174),IF(INT($O174)&lt;TODAY(),"FOLLOW UP REQUIRED",IF(INT($O174)=TODAY(),"ACTION DUE TODAY",IF(INT($O174)-TODAY()&lt;=Set_DueSoonDays,"DUE SOON",""))),IF(AND($M174="Applied",$AA174=""),IF(ISNUMBER($C174),IF(TODAY()-$C174&gt;=Set_FollowUpDays,"NO RESPONSE",""),""),"")))</f>
        <v/>
      </c>
      <c r="AD174" s="87">
        <f>IF(ISNUMBER($L174),IF($L174&gt;=90,"Excellent Match",IF($L174&gt;=75,"Strong Match",IF($L174&gt;=60,"Moderate Match","Low Match"))),"")</f>
        <v/>
      </c>
      <c r="AE174" s="87">
        <f>IF($D174="","",IF(OR($M174="Rejected",$M174="Withdrawn"),IF($AB174&lt;&gt;"",$AB174,IF(OR($M174="Rejected",ISNUMBER($C174)),"Applied","Wishlist")),IF($M174="",IF(ISNUMBER($C174),"Applied","Wishlist"),$M174)))</f>
        <v/>
      </c>
      <c r="AF174" s="88">
        <f>IF(AND(ISNUMBER($C174),ISNUMBER($AA174)),$AA174-$C174,"")</f>
        <v/>
      </c>
      <c r="AG174" s="87">
        <f>IF($AE174="","",IFERROR(MATCH($AE174,{"Wishlist","Applied","Screening","Interview 1","Interview 2","Final","Offer","Accepted"},0)-1,""))</f>
        <v/>
      </c>
      <c r="AH174" s="87">
        <f>IF($AC174="","",MATCH($AC174,{"FOLLOW UP REQUIRED","ACTION DUE TODAY","NO RESPONSE","DUE SOON"},0)*100000+IF(ISNUMBER($O174),$O174,IF(ISNUMBER($C174),$C174,0))+ROW()/10000)</f>
        <v/>
      </c>
      <c r="AI174" s="87">
        <f>IF(AND(ISNUMBER($AG174),$AG174&gt;=1,$AG174&lt;=6,$M174&lt;&gt;"Rejected",$M174&lt;&gt;"Withdrawn"),(10-$AG174)*100000+IF(ISNUMBER($C174),$C174,0)+ROW()/10000,"")</f>
        <v/>
      </c>
    </row>
    <row r="175">
      <c r="A175" s="80" t="n"/>
      <c r="B175" s="81" t="n"/>
      <c r="C175" s="81" t="n"/>
      <c r="D175" s="82" t="n"/>
      <c r="E175" s="82" t="n"/>
      <c r="F175" s="82" t="n"/>
      <c r="G175" s="82" t="n"/>
      <c r="H175" s="82" t="n"/>
      <c r="I175" s="83" t="n"/>
      <c r="J175" s="82" t="n"/>
      <c r="K175" s="84" t="n"/>
      <c r="L175" s="85" t="n"/>
      <c r="M175" s="82" t="n"/>
      <c r="N175" s="86" t="n"/>
      <c r="O175" s="81" t="n"/>
      <c r="P175" s="82" t="n"/>
      <c r="Q175" s="83" t="n"/>
      <c r="R175" s="82" t="n"/>
      <c r="S175" s="84" t="n"/>
      <c r="T175" s="84" t="n"/>
      <c r="U175" s="82" t="n"/>
      <c r="V175" s="86" t="n"/>
      <c r="W175" s="86" t="n"/>
      <c r="X175" s="86" t="n"/>
      <c r="Y175" s="81" t="n"/>
      <c r="Z175" s="82" t="n"/>
      <c r="AA175" s="81" t="n"/>
      <c r="AB175" s="82" t="n"/>
      <c r="AC175" s="87">
        <f>IF(OR($D175="",$M175="Rejected",$M175="Withdrawn",$M175="Accepted"),"",IF(ISNUMBER($O175),IF(INT($O175)&lt;TODAY(),"FOLLOW UP REQUIRED",IF(INT($O175)=TODAY(),"ACTION DUE TODAY",IF(INT($O175)-TODAY()&lt;=Set_DueSoonDays,"DUE SOON",""))),IF(AND($M175="Applied",$AA175=""),IF(ISNUMBER($C175),IF(TODAY()-$C175&gt;=Set_FollowUpDays,"NO RESPONSE",""),""),"")))</f>
        <v/>
      </c>
      <c r="AD175" s="87">
        <f>IF(ISNUMBER($L175),IF($L175&gt;=90,"Excellent Match",IF($L175&gt;=75,"Strong Match",IF($L175&gt;=60,"Moderate Match","Low Match"))),"")</f>
        <v/>
      </c>
      <c r="AE175" s="87">
        <f>IF($D175="","",IF(OR($M175="Rejected",$M175="Withdrawn"),IF($AB175&lt;&gt;"",$AB175,IF(OR($M175="Rejected",ISNUMBER($C175)),"Applied","Wishlist")),IF($M175="",IF(ISNUMBER($C175),"Applied","Wishlist"),$M175)))</f>
        <v/>
      </c>
      <c r="AF175" s="88">
        <f>IF(AND(ISNUMBER($C175),ISNUMBER($AA175)),$AA175-$C175,"")</f>
        <v/>
      </c>
      <c r="AG175" s="87">
        <f>IF($AE175="","",IFERROR(MATCH($AE175,{"Wishlist","Applied","Screening","Interview 1","Interview 2","Final","Offer","Accepted"},0)-1,""))</f>
        <v/>
      </c>
      <c r="AH175" s="87">
        <f>IF($AC175="","",MATCH($AC175,{"FOLLOW UP REQUIRED","ACTION DUE TODAY","NO RESPONSE","DUE SOON"},0)*100000+IF(ISNUMBER($O175),$O175,IF(ISNUMBER($C175),$C175,0))+ROW()/10000)</f>
        <v/>
      </c>
      <c r="AI175" s="87">
        <f>IF(AND(ISNUMBER($AG175),$AG175&gt;=1,$AG175&lt;=6,$M175&lt;&gt;"Rejected",$M175&lt;&gt;"Withdrawn"),(10-$AG175)*100000+IF(ISNUMBER($C175),$C175,0)+ROW()/10000,"")</f>
        <v/>
      </c>
    </row>
    <row r="176">
      <c r="A176" s="80" t="n"/>
      <c r="B176" s="81" t="n"/>
      <c r="C176" s="81" t="n"/>
      <c r="D176" s="82" t="n"/>
      <c r="E176" s="82" t="n"/>
      <c r="F176" s="82" t="n"/>
      <c r="G176" s="82" t="n"/>
      <c r="H176" s="82" t="n"/>
      <c r="I176" s="83" t="n"/>
      <c r="J176" s="82" t="n"/>
      <c r="K176" s="84" t="n"/>
      <c r="L176" s="85" t="n"/>
      <c r="M176" s="82" t="n"/>
      <c r="N176" s="86" t="n"/>
      <c r="O176" s="81" t="n"/>
      <c r="P176" s="82" t="n"/>
      <c r="Q176" s="83" t="n"/>
      <c r="R176" s="82" t="n"/>
      <c r="S176" s="84" t="n"/>
      <c r="T176" s="84" t="n"/>
      <c r="U176" s="82" t="n"/>
      <c r="V176" s="86" t="n"/>
      <c r="W176" s="86" t="n"/>
      <c r="X176" s="86" t="n"/>
      <c r="Y176" s="81" t="n"/>
      <c r="Z176" s="82" t="n"/>
      <c r="AA176" s="81" t="n"/>
      <c r="AB176" s="82" t="n"/>
      <c r="AC176" s="87">
        <f>IF(OR($D176="",$M176="Rejected",$M176="Withdrawn",$M176="Accepted"),"",IF(ISNUMBER($O176),IF(INT($O176)&lt;TODAY(),"FOLLOW UP REQUIRED",IF(INT($O176)=TODAY(),"ACTION DUE TODAY",IF(INT($O176)-TODAY()&lt;=Set_DueSoonDays,"DUE SOON",""))),IF(AND($M176="Applied",$AA176=""),IF(ISNUMBER($C176),IF(TODAY()-$C176&gt;=Set_FollowUpDays,"NO RESPONSE",""),""),"")))</f>
        <v/>
      </c>
      <c r="AD176" s="87">
        <f>IF(ISNUMBER($L176),IF($L176&gt;=90,"Excellent Match",IF($L176&gt;=75,"Strong Match",IF($L176&gt;=60,"Moderate Match","Low Match"))),"")</f>
        <v/>
      </c>
      <c r="AE176" s="87">
        <f>IF($D176="","",IF(OR($M176="Rejected",$M176="Withdrawn"),IF($AB176&lt;&gt;"",$AB176,IF(OR($M176="Rejected",ISNUMBER($C176)),"Applied","Wishlist")),IF($M176="",IF(ISNUMBER($C176),"Applied","Wishlist"),$M176)))</f>
        <v/>
      </c>
      <c r="AF176" s="88">
        <f>IF(AND(ISNUMBER($C176),ISNUMBER($AA176)),$AA176-$C176,"")</f>
        <v/>
      </c>
      <c r="AG176" s="87">
        <f>IF($AE176="","",IFERROR(MATCH($AE176,{"Wishlist","Applied","Screening","Interview 1","Interview 2","Final","Offer","Accepted"},0)-1,""))</f>
        <v/>
      </c>
      <c r="AH176" s="87">
        <f>IF($AC176="","",MATCH($AC176,{"FOLLOW UP REQUIRED","ACTION DUE TODAY","NO RESPONSE","DUE SOON"},0)*100000+IF(ISNUMBER($O176),$O176,IF(ISNUMBER($C176),$C176,0))+ROW()/10000)</f>
        <v/>
      </c>
      <c r="AI176" s="87">
        <f>IF(AND(ISNUMBER($AG176),$AG176&gt;=1,$AG176&lt;=6,$M176&lt;&gt;"Rejected",$M176&lt;&gt;"Withdrawn"),(10-$AG176)*100000+IF(ISNUMBER($C176),$C176,0)+ROW()/10000,"")</f>
        <v/>
      </c>
    </row>
    <row r="177">
      <c r="A177" s="80" t="n"/>
      <c r="B177" s="81" t="n"/>
      <c r="C177" s="81" t="n"/>
      <c r="D177" s="82" t="n"/>
      <c r="E177" s="82" t="n"/>
      <c r="F177" s="82" t="n"/>
      <c r="G177" s="82" t="n"/>
      <c r="H177" s="82" t="n"/>
      <c r="I177" s="83" t="n"/>
      <c r="J177" s="82" t="n"/>
      <c r="K177" s="84" t="n"/>
      <c r="L177" s="85" t="n"/>
      <c r="M177" s="82" t="n"/>
      <c r="N177" s="86" t="n"/>
      <c r="O177" s="81" t="n"/>
      <c r="P177" s="82" t="n"/>
      <c r="Q177" s="83" t="n"/>
      <c r="R177" s="82" t="n"/>
      <c r="S177" s="84" t="n"/>
      <c r="T177" s="84" t="n"/>
      <c r="U177" s="82" t="n"/>
      <c r="V177" s="86" t="n"/>
      <c r="W177" s="86" t="n"/>
      <c r="X177" s="86" t="n"/>
      <c r="Y177" s="81" t="n"/>
      <c r="Z177" s="82" t="n"/>
      <c r="AA177" s="81" t="n"/>
      <c r="AB177" s="82" t="n"/>
      <c r="AC177" s="87">
        <f>IF(OR($D177="",$M177="Rejected",$M177="Withdrawn",$M177="Accepted"),"",IF(ISNUMBER($O177),IF(INT($O177)&lt;TODAY(),"FOLLOW UP REQUIRED",IF(INT($O177)=TODAY(),"ACTION DUE TODAY",IF(INT($O177)-TODAY()&lt;=Set_DueSoonDays,"DUE SOON",""))),IF(AND($M177="Applied",$AA177=""),IF(ISNUMBER($C177),IF(TODAY()-$C177&gt;=Set_FollowUpDays,"NO RESPONSE",""),""),"")))</f>
        <v/>
      </c>
      <c r="AD177" s="87">
        <f>IF(ISNUMBER($L177),IF($L177&gt;=90,"Excellent Match",IF($L177&gt;=75,"Strong Match",IF($L177&gt;=60,"Moderate Match","Low Match"))),"")</f>
        <v/>
      </c>
      <c r="AE177" s="87">
        <f>IF($D177="","",IF(OR($M177="Rejected",$M177="Withdrawn"),IF($AB177&lt;&gt;"",$AB177,IF(OR($M177="Rejected",ISNUMBER($C177)),"Applied","Wishlist")),IF($M177="",IF(ISNUMBER($C177),"Applied","Wishlist"),$M177)))</f>
        <v/>
      </c>
      <c r="AF177" s="88">
        <f>IF(AND(ISNUMBER($C177),ISNUMBER($AA177)),$AA177-$C177,"")</f>
        <v/>
      </c>
      <c r="AG177" s="87">
        <f>IF($AE177="","",IFERROR(MATCH($AE177,{"Wishlist","Applied","Screening","Interview 1","Interview 2","Final","Offer","Accepted"},0)-1,""))</f>
        <v/>
      </c>
      <c r="AH177" s="87">
        <f>IF($AC177="","",MATCH($AC177,{"FOLLOW UP REQUIRED","ACTION DUE TODAY","NO RESPONSE","DUE SOON"},0)*100000+IF(ISNUMBER($O177),$O177,IF(ISNUMBER($C177),$C177,0))+ROW()/10000)</f>
        <v/>
      </c>
      <c r="AI177" s="87">
        <f>IF(AND(ISNUMBER($AG177),$AG177&gt;=1,$AG177&lt;=6,$M177&lt;&gt;"Rejected",$M177&lt;&gt;"Withdrawn"),(10-$AG177)*100000+IF(ISNUMBER($C177),$C177,0)+ROW()/10000,"")</f>
        <v/>
      </c>
    </row>
    <row r="178">
      <c r="A178" s="80" t="n"/>
      <c r="B178" s="81" t="n"/>
      <c r="C178" s="81" t="n"/>
      <c r="D178" s="82" t="n"/>
      <c r="E178" s="82" t="n"/>
      <c r="F178" s="82" t="n"/>
      <c r="G178" s="82" t="n"/>
      <c r="H178" s="82" t="n"/>
      <c r="I178" s="83" t="n"/>
      <c r="J178" s="82" t="n"/>
      <c r="K178" s="84" t="n"/>
      <c r="L178" s="85" t="n"/>
      <c r="M178" s="82" t="n"/>
      <c r="N178" s="86" t="n"/>
      <c r="O178" s="81" t="n"/>
      <c r="P178" s="82" t="n"/>
      <c r="Q178" s="83" t="n"/>
      <c r="R178" s="82" t="n"/>
      <c r="S178" s="84" t="n"/>
      <c r="T178" s="84" t="n"/>
      <c r="U178" s="82" t="n"/>
      <c r="V178" s="86" t="n"/>
      <c r="W178" s="86" t="n"/>
      <c r="X178" s="86" t="n"/>
      <c r="Y178" s="81" t="n"/>
      <c r="Z178" s="82" t="n"/>
      <c r="AA178" s="81" t="n"/>
      <c r="AB178" s="82" t="n"/>
      <c r="AC178" s="87">
        <f>IF(OR($D178="",$M178="Rejected",$M178="Withdrawn",$M178="Accepted"),"",IF(ISNUMBER($O178),IF(INT($O178)&lt;TODAY(),"FOLLOW UP REQUIRED",IF(INT($O178)=TODAY(),"ACTION DUE TODAY",IF(INT($O178)-TODAY()&lt;=Set_DueSoonDays,"DUE SOON",""))),IF(AND($M178="Applied",$AA178=""),IF(ISNUMBER($C178),IF(TODAY()-$C178&gt;=Set_FollowUpDays,"NO RESPONSE",""),""),"")))</f>
        <v/>
      </c>
      <c r="AD178" s="87">
        <f>IF(ISNUMBER($L178),IF($L178&gt;=90,"Excellent Match",IF($L178&gt;=75,"Strong Match",IF($L178&gt;=60,"Moderate Match","Low Match"))),"")</f>
        <v/>
      </c>
      <c r="AE178" s="87">
        <f>IF($D178="","",IF(OR($M178="Rejected",$M178="Withdrawn"),IF($AB178&lt;&gt;"",$AB178,IF(OR($M178="Rejected",ISNUMBER($C178)),"Applied","Wishlist")),IF($M178="",IF(ISNUMBER($C178),"Applied","Wishlist"),$M178)))</f>
        <v/>
      </c>
      <c r="AF178" s="88">
        <f>IF(AND(ISNUMBER($C178),ISNUMBER($AA178)),$AA178-$C178,"")</f>
        <v/>
      </c>
      <c r="AG178" s="87">
        <f>IF($AE178="","",IFERROR(MATCH($AE178,{"Wishlist","Applied","Screening","Interview 1","Interview 2","Final","Offer","Accepted"},0)-1,""))</f>
        <v/>
      </c>
      <c r="AH178" s="87">
        <f>IF($AC178="","",MATCH($AC178,{"FOLLOW UP REQUIRED","ACTION DUE TODAY","NO RESPONSE","DUE SOON"},0)*100000+IF(ISNUMBER($O178),$O178,IF(ISNUMBER($C178),$C178,0))+ROW()/10000)</f>
        <v/>
      </c>
      <c r="AI178" s="87">
        <f>IF(AND(ISNUMBER($AG178),$AG178&gt;=1,$AG178&lt;=6,$M178&lt;&gt;"Rejected",$M178&lt;&gt;"Withdrawn"),(10-$AG178)*100000+IF(ISNUMBER($C178),$C178,0)+ROW()/10000,"")</f>
        <v/>
      </c>
    </row>
    <row r="179">
      <c r="A179" s="80" t="n"/>
      <c r="B179" s="81" t="n"/>
      <c r="C179" s="81" t="n"/>
      <c r="D179" s="82" t="n"/>
      <c r="E179" s="82" t="n"/>
      <c r="F179" s="82" t="n"/>
      <c r="G179" s="82" t="n"/>
      <c r="H179" s="82" t="n"/>
      <c r="I179" s="83" t="n"/>
      <c r="J179" s="82" t="n"/>
      <c r="K179" s="84" t="n"/>
      <c r="L179" s="85" t="n"/>
      <c r="M179" s="82" t="n"/>
      <c r="N179" s="86" t="n"/>
      <c r="O179" s="81" t="n"/>
      <c r="P179" s="82" t="n"/>
      <c r="Q179" s="83" t="n"/>
      <c r="R179" s="82" t="n"/>
      <c r="S179" s="84" t="n"/>
      <c r="T179" s="84" t="n"/>
      <c r="U179" s="82" t="n"/>
      <c r="V179" s="86" t="n"/>
      <c r="W179" s="86" t="n"/>
      <c r="X179" s="86" t="n"/>
      <c r="Y179" s="81" t="n"/>
      <c r="Z179" s="82" t="n"/>
      <c r="AA179" s="81" t="n"/>
      <c r="AB179" s="82" t="n"/>
      <c r="AC179" s="87">
        <f>IF(OR($D179="",$M179="Rejected",$M179="Withdrawn",$M179="Accepted"),"",IF(ISNUMBER($O179),IF(INT($O179)&lt;TODAY(),"FOLLOW UP REQUIRED",IF(INT($O179)=TODAY(),"ACTION DUE TODAY",IF(INT($O179)-TODAY()&lt;=Set_DueSoonDays,"DUE SOON",""))),IF(AND($M179="Applied",$AA179=""),IF(ISNUMBER($C179),IF(TODAY()-$C179&gt;=Set_FollowUpDays,"NO RESPONSE",""),""),"")))</f>
        <v/>
      </c>
      <c r="AD179" s="87">
        <f>IF(ISNUMBER($L179),IF($L179&gt;=90,"Excellent Match",IF($L179&gt;=75,"Strong Match",IF($L179&gt;=60,"Moderate Match","Low Match"))),"")</f>
        <v/>
      </c>
      <c r="AE179" s="87">
        <f>IF($D179="","",IF(OR($M179="Rejected",$M179="Withdrawn"),IF($AB179&lt;&gt;"",$AB179,IF(OR($M179="Rejected",ISNUMBER($C179)),"Applied","Wishlist")),IF($M179="",IF(ISNUMBER($C179),"Applied","Wishlist"),$M179)))</f>
        <v/>
      </c>
      <c r="AF179" s="88">
        <f>IF(AND(ISNUMBER($C179),ISNUMBER($AA179)),$AA179-$C179,"")</f>
        <v/>
      </c>
      <c r="AG179" s="87">
        <f>IF($AE179="","",IFERROR(MATCH($AE179,{"Wishlist","Applied","Screening","Interview 1","Interview 2","Final","Offer","Accepted"},0)-1,""))</f>
        <v/>
      </c>
      <c r="AH179" s="87">
        <f>IF($AC179="","",MATCH($AC179,{"FOLLOW UP REQUIRED","ACTION DUE TODAY","NO RESPONSE","DUE SOON"},0)*100000+IF(ISNUMBER($O179),$O179,IF(ISNUMBER($C179),$C179,0))+ROW()/10000)</f>
        <v/>
      </c>
      <c r="AI179" s="87">
        <f>IF(AND(ISNUMBER($AG179),$AG179&gt;=1,$AG179&lt;=6,$M179&lt;&gt;"Rejected",$M179&lt;&gt;"Withdrawn"),(10-$AG179)*100000+IF(ISNUMBER($C179),$C179,0)+ROW()/10000,"")</f>
        <v/>
      </c>
    </row>
    <row r="180">
      <c r="A180" s="80" t="n"/>
      <c r="B180" s="81" t="n"/>
      <c r="C180" s="81" t="n"/>
      <c r="D180" s="82" t="n"/>
      <c r="E180" s="82" t="n"/>
      <c r="F180" s="82" t="n"/>
      <c r="G180" s="82" t="n"/>
      <c r="H180" s="82" t="n"/>
      <c r="I180" s="83" t="n"/>
      <c r="J180" s="82" t="n"/>
      <c r="K180" s="84" t="n"/>
      <c r="L180" s="85" t="n"/>
      <c r="M180" s="82" t="n"/>
      <c r="N180" s="86" t="n"/>
      <c r="O180" s="81" t="n"/>
      <c r="P180" s="82" t="n"/>
      <c r="Q180" s="83" t="n"/>
      <c r="R180" s="82" t="n"/>
      <c r="S180" s="84" t="n"/>
      <c r="T180" s="84" t="n"/>
      <c r="U180" s="82" t="n"/>
      <c r="V180" s="86" t="n"/>
      <c r="W180" s="86" t="n"/>
      <c r="X180" s="86" t="n"/>
      <c r="Y180" s="81" t="n"/>
      <c r="Z180" s="82" t="n"/>
      <c r="AA180" s="81" t="n"/>
      <c r="AB180" s="82" t="n"/>
      <c r="AC180" s="87">
        <f>IF(OR($D180="",$M180="Rejected",$M180="Withdrawn",$M180="Accepted"),"",IF(ISNUMBER($O180),IF(INT($O180)&lt;TODAY(),"FOLLOW UP REQUIRED",IF(INT($O180)=TODAY(),"ACTION DUE TODAY",IF(INT($O180)-TODAY()&lt;=Set_DueSoonDays,"DUE SOON",""))),IF(AND($M180="Applied",$AA180=""),IF(ISNUMBER($C180),IF(TODAY()-$C180&gt;=Set_FollowUpDays,"NO RESPONSE",""),""),"")))</f>
        <v/>
      </c>
      <c r="AD180" s="87">
        <f>IF(ISNUMBER($L180),IF($L180&gt;=90,"Excellent Match",IF($L180&gt;=75,"Strong Match",IF($L180&gt;=60,"Moderate Match","Low Match"))),"")</f>
        <v/>
      </c>
      <c r="AE180" s="87">
        <f>IF($D180="","",IF(OR($M180="Rejected",$M180="Withdrawn"),IF($AB180&lt;&gt;"",$AB180,IF(OR($M180="Rejected",ISNUMBER($C180)),"Applied","Wishlist")),IF($M180="",IF(ISNUMBER($C180),"Applied","Wishlist"),$M180)))</f>
        <v/>
      </c>
      <c r="AF180" s="88">
        <f>IF(AND(ISNUMBER($C180),ISNUMBER($AA180)),$AA180-$C180,"")</f>
        <v/>
      </c>
      <c r="AG180" s="87">
        <f>IF($AE180="","",IFERROR(MATCH($AE180,{"Wishlist","Applied","Screening","Interview 1","Interview 2","Final","Offer","Accepted"},0)-1,""))</f>
        <v/>
      </c>
      <c r="AH180" s="87">
        <f>IF($AC180="","",MATCH($AC180,{"FOLLOW UP REQUIRED","ACTION DUE TODAY","NO RESPONSE","DUE SOON"},0)*100000+IF(ISNUMBER($O180),$O180,IF(ISNUMBER($C180),$C180,0))+ROW()/10000)</f>
        <v/>
      </c>
      <c r="AI180" s="87">
        <f>IF(AND(ISNUMBER($AG180),$AG180&gt;=1,$AG180&lt;=6,$M180&lt;&gt;"Rejected",$M180&lt;&gt;"Withdrawn"),(10-$AG180)*100000+IF(ISNUMBER($C180),$C180,0)+ROW()/10000,"")</f>
        <v/>
      </c>
    </row>
    <row r="181">
      <c r="A181" s="80" t="n"/>
      <c r="B181" s="81" t="n"/>
      <c r="C181" s="81" t="n"/>
      <c r="D181" s="82" t="n"/>
      <c r="E181" s="82" t="n"/>
      <c r="F181" s="82" t="n"/>
      <c r="G181" s="82" t="n"/>
      <c r="H181" s="82" t="n"/>
      <c r="I181" s="83" t="n"/>
      <c r="J181" s="82" t="n"/>
      <c r="K181" s="84" t="n"/>
      <c r="L181" s="85" t="n"/>
      <c r="M181" s="82" t="n"/>
      <c r="N181" s="86" t="n"/>
      <c r="O181" s="81" t="n"/>
      <c r="P181" s="82" t="n"/>
      <c r="Q181" s="83" t="n"/>
      <c r="R181" s="82" t="n"/>
      <c r="S181" s="84" t="n"/>
      <c r="T181" s="84" t="n"/>
      <c r="U181" s="82" t="n"/>
      <c r="V181" s="86" t="n"/>
      <c r="W181" s="86" t="n"/>
      <c r="X181" s="86" t="n"/>
      <c r="Y181" s="81" t="n"/>
      <c r="Z181" s="82" t="n"/>
      <c r="AA181" s="81" t="n"/>
      <c r="AB181" s="82" t="n"/>
      <c r="AC181" s="87">
        <f>IF(OR($D181="",$M181="Rejected",$M181="Withdrawn",$M181="Accepted"),"",IF(ISNUMBER($O181),IF(INT($O181)&lt;TODAY(),"FOLLOW UP REQUIRED",IF(INT($O181)=TODAY(),"ACTION DUE TODAY",IF(INT($O181)-TODAY()&lt;=Set_DueSoonDays,"DUE SOON",""))),IF(AND($M181="Applied",$AA181=""),IF(ISNUMBER($C181),IF(TODAY()-$C181&gt;=Set_FollowUpDays,"NO RESPONSE",""),""),"")))</f>
        <v/>
      </c>
      <c r="AD181" s="87">
        <f>IF(ISNUMBER($L181),IF($L181&gt;=90,"Excellent Match",IF($L181&gt;=75,"Strong Match",IF($L181&gt;=60,"Moderate Match","Low Match"))),"")</f>
        <v/>
      </c>
      <c r="AE181" s="87">
        <f>IF($D181="","",IF(OR($M181="Rejected",$M181="Withdrawn"),IF($AB181&lt;&gt;"",$AB181,IF(OR($M181="Rejected",ISNUMBER($C181)),"Applied","Wishlist")),IF($M181="",IF(ISNUMBER($C181),"Applied","Wishlist"),$M181)))</f>
        <v/>
      </c>
      <c r="AF181" s="88">
        <f>IF(AND(ISNUMBER($C181),ISNUMBER($AA181)),$AA181-$C181,"")</f>
        <v/>
      </c>
      <c r="AG181" s="87">
        <f>IF($AE181="","",IFERROR(MATCH($AE181,{"Wishlist","Applied","Screening","Interview 1","Interview 2","Final","Offer","Accepted"},0)-1,""))</f>
        <v/>
      </c>
      <c r="AH181" s="87">
        <f>IF($AC181="","",MATCH($AC181,{"FOLLOW UP REQUIRED","ACTION DUE TODAY","NO RESPONSE","DUE SOON"},0)*100000+IF(ISNUMBER($O181),$O181,IF(ISNUMBER($C181),$C181,0))+ROW()/10000)</f>
        <v/>
      </c>
      <c r="AI181" s="87">
        <f>IF(AND(ISNUMBER($AG181),$AG181&gt;=1,$AG181&lt;=6,$M181&lt;&gt;"Rejected",$M181&lt;&gt;"Withdrawn"),(10-$AG181)*100000+IF(ISNUMBER($C181),$C181,0)+ROW()/10000,"")</f>
        <v/>
      </c>
    </row>
    <row r="182">
      <c r="A182" s="80" t="n"/>
      <c r="B182" s="81" t="n"/>
      <c r="C182" s="81" t="n"/>
      <c r="D182" s="82" t="n"/>
      <c r="E182" s="82" t="n"/>
      <c r="F182" s="82" t="n"/>
      <c r="G182" s="82" t="n"/>
      <c r="H182" s="82" t="n"/>
      <c r="I182" s="83" t="n"/>
      <c r="J182" s="82" t="n"/>
      <c r="K182" s="84" t="n"/>
      <c r="L182" s="85" t="n"/>
      <c r="M182" s="82" t="n"/>
      <c r="N182" s="86" t="n"/>
      <c r="O182" s="81" t="n"/>
      <c r="P182" s="82" t="n"/>
      <c r="Q182" s="83" t="n"/>
      <c r="R182" s="82" t="n"/>
      <c r="S182" s="84" t="n"/>
      <c r="T182" s="84" t="n"/>
      <c r="U182" s="82" t="n"/>
      <c r="V182" s="86" t="n"/>
      <c r="W182" s="86" t="n"/>
      <c r="X182" s="86" t="n"/>
      <c r="Y182" s="81" t="n"/>
      <c r="Z182" s="82" t="n"/>
      <c r="AA182" s="81" t="n"/>
      <c r="AB182" s="82" t="n"/>
      <c r="AC182" s="87">
        <f>IF(OR($D182="",$M182="Rejected",$M182="Withdrawn",$M182="Accepted"),"",IF(ISNUMBER($O182),IF(INT($O182)&lt;TODAY(),"FOLLOW UP REQUIRED",IF(INT($O182)=TODAY(),"ACTION DUE TODAY",IF(INT($O182)-TODAY()&lt;=Set_DueSoonDays,"DUE SOON",""))),IF(AND($M182="Applied",$AA182=""),IF(ISNUMBER($C182),IF(TODAY()-$C182&gt;=Set_FollowUpDays,"NO RESPONSE",""),""),"")))</f>
        <v/>
      </c>
      <c r="AD182" s="87">
        <f>IF(ISNUMBER($L182),IF($L182&gt;=90,"Excellent Match",IF($L182&gt;=75,"Strong Match",IF($L182&gt;=60,"Moderate Match","Low Match"))),"")</f>
        <v/>
      </c>
      <c r="AE182" s="87">
        <f>IF($D182="","",IF(OR($M182="Rejected",$M182="Withdrawn"),IF($AB182&lt;&gt;"",$AB182,IF(OR($M182="Rejected",ISNUMBER($C182)),"Applied","Wishlist")),IF($M182="",IF(ISNUMBER($C182),"Applied","Wishlist"),$M182)))</f>
        <v/>
      </c>
      <c r="AF182" s="88">
        <f>IF(AND(ISNUMBER($C182),ISNUMBER($AA182)),$AA182-$C182,"")</f>
        <v/>
      </c>
      <c r="AG182" s="87">
        <f>IF($AE182="","",IFERROR(MATCH($AE182,{"Wishlist","Applied","Screening","Interview 1","Interview 2","Final","Offer","Accepted"},0)-1,""))</f>
        <v/>
      </c>
      <c r="AH182" s="87">
        <f>IF($AC182="","",MATCH($AC182,{"FOLLOW UP REQUIRED","ACTION DUE TODAY","NO RESPONSE","DUE SOON"},0)*100000+IF(ISNUMBER($O182),$O182,IF(ISNUMBER($C182),$C182,0))+ROW()/10000)</f>
        <v/>
      </c>
      <c r="AI182" s="87">
        <f>IF(AND(ISNUMBER($AG182),$AG182&gt;=1,$AG182&lt;=6,$M182&lt;&gt;"Rejected",$M182&lt;&gt;"Withdrawn"),(10-$AG182)*100000+IF(ISNUMBER($C182),$C182,0)+ROW()/10000,"")</f>
        <v/>
      </c>
    </row>
    <row r="183">
      <c r="A183" s="80" t="n"/>
      <c r="B183" s="81" t="n"/>
      <c r="C183" s="81" t="n"/>
      <c r="D183" s="82" t="n"/>
      <c r="E183" s="82" t="n"/>
      <c r="F183" s="82" t="n"/>
      <c r="G183" s="82" t="n"/>
      <c r="H183" s="82" t="n"/>
      <c r="I183" s="83" t="n"/>
      <c r="J183" s="82" t="n"/>
      <c r="K183" s="84" t="n"/>
      <c r="L183" s="85" t="n"/>
      <c r="M183" s="82" t="n"/>
      <c r="N183" s="86" t="n"/>
      <c r="O183" s="81" t="n"/>
      <c r="P183" s="82" t="n"/>
      <c r="Q183" s="83" t="n"/>
      <c r="R183" s="82" t="n"/>
      <c r="S183" s="84" t="n"/>
      <c r="T183" s="84" t="n"/>
      <c r="U183" s="82" t="n"/>
      <c r="V183" s="86" t="n"/>
      <c r="W183" s="86" t="n"/>
      <c r="X183" s="86" t="n"/>
      <c r="Y183" s="81" t="n"/>
      <c r="Z183" s="82" t="n"/>
      <c r="AA183" s="81" t="n"/>
      <c r="AB183" s="82" t="n"/>
      <c r="AC183" s="87">
        <f>IF(OR($D183="",$M183="Rejected",$M183="Withdrawn",$M183="Accepted"),"",IF(ISNUMBER($O183),IF(INT($O183)&lt;TODAY(),"FOLLOW UP REQUIRED",IF(INT($O183)=TODAY(),"ACTION DUE TODAY",IF(INT($O183)-TODAY()&lt;=Set_DueSoonDays,"DUE SOON",""))),IF(AND($M183="Applied",$AA183=""),IF(ISNUMBER($C183),IF(TODAY()-$C183&gt;=Set_FollowUpDays,"NO RESPONSE",""),""),"")))</f>
        <v/>
      </c>
      <c r="AD183" s="87">
        <f>IF(ISNUMBER($L183),IF($L183&gt;=90,"Excellent Match",IF($L183&gt;=75,"Strong Match",IF($L183&gt;=60,"Moderate Match","Low Match"))),"")</f>
        <v/>
      </c>
      <c r="AE183" s="87">
        <f>IF($D183="","",IF(OR($M183="Rejected",$M183="Withdrawn"),IF($AB183&lt;&gt;"",$AB183,IF(OR($M183="Rejected",ISNUMBER($C183)),"Applied","Wishlist")),IF($M183="",IF(ISNUMBER($C183),"Applied","Wishlist"),$M183)))</f>
        <v/>
      </c>
      <c r="AF183" s="88">
        <f>IF(AND(ISNUMBER($C183),ISNUMBER($AA183)),$AA183-$C183,"")</f>
        <v/>
      </c>
      <c r="AG183" s="87">
        <f>IF($AE183="","",IFERROR(MATCH($AE183,{"Wishlist","Applied","Screening","Interview 1","Interview 2","Final","Offer","Accepted"},0)-1,""))</f>
        <v/>
      </c>
      <c r="AH183" s="87">
        <f>IF($AC183="","",MATCH($AC183,{"FOLLOW UP REQUIRED","ACTION DUE TODAY","NO RESPONSE","DUE SOON"},0)*100000+IF(ISNUMBER($O183),$O183,IF(ISNUMBER($C183),$C183,0))+ROW()/10000)</f>
        <v/>
      </c>
      <c r="AI183" s="87">
        <f>IF(AND(ISNUMBER($AG183),$AG183&gt;=1,$AG183&lt;=6,$M183&lt;&gt;"Rejected",$M183&lt;&gt;"Withdrawn"),(10-$AG183)*100000+IF(ISNUMBER($C183),$C183,0)+ROW()/10000,"")</f>
        <v/>
      </c>
    </row>
    <row r="184">
      <c r="A184" s="80" t="n"/>
      <c r="B184" s="81" t="n"/>
      <c r="C184" s="81" t="n"/>
      <c r="D184" s="82" t="n"/>
      <c r="E184" s="82" t="n"/>
      <c r="F184" s="82" t="n"/>
      <c r="G184" s="82" t="n"/>
      <c r="H184" s="82" t="n"/>
      <c r="I184" s="83" t="n"/>
      <c r="J184" s="82" t="n"/>
      <c r="K184" s="84" t="n"/>
      <c r="L184" s="85" t="n"/>
      <c r="M184" s="82" t="n"/>
      <c r="N184" s="86" t="n"/>
      <c r="O184" s="81" t="n"/>
      <c r="P184" s="82" t="n"/>
      <c r="Q184" s="83" t="n"/>
      <c r="R184" s="82" t="n"/>
      <c r="S184" s="84" t="n"/>
      <c r="T184" s="84" t="n"/>
      <c r="U184" s="82" t="n"/>
      <c r="V184" s="86" t="n"/>
      <c r="W184" s="86" t="n"/>
      <c r="X184" s="86" t="n"/>
      <c r="Y184" s="81" t="n"/>
      <c r="Z184" s="82" t="n"/>
      <c r="AA184" s="81" t="n"/>
      <c r="AB184" s="82" t="n"/>
      <c r="AC184" s="87">
        <f>IF(OR($D184="",$M184="Rejected",$M184="Withdrawn",$M184="Accepted"),"",IF(ISNUMBER($O184),IF(INT($O184)&lt;TODAY(),"FOLLOW UP REQUIRED",IF(INT($O184)=TODAY(),"ACTION DUE TODAY",IF(INT($O184)-TODAY()&lt;=Set_DueSoonDays,"DUE SOON",""))),IF(AND($M184="Applied",$AA184=""),IF(ISNUMBER($C184),IF(TODAY()-$C184&gt;=Set_FollowUpDays,"NO RESPONSE",""),""),"")))</f>
        <v/>
      </c>
      <c r="AD184" s="87">
        <f>IF(ISNUMBER($L184),IF($L184&gt;=90,"Excellent Match",IF($L184&gt;=75,"Strong Match",IF($L184&gt;=60,"Moderate Match","Low Match"))),"")</f>
        <v/>
      </c>
      <c r="AE184" s="87">
        <f>IF($D184="","",IF(OR($M184="Rejected",$M184="Withdrawn"),IF($AB184&lt;&gt;"",$AB184,IF(OR($M184="Rejected",ISNUMBER($C184)),"Applied","Wishlist")),IF($M184="",IF(ISNUMBER($C184),"Applied","Wishlist"),$M184)))</f>
        <v/>
      </c>
      <c r="AF184" s="88">
        <f>IF(AND(ISNUMBER($C184),ISNUMBER($AA184)),$AA184-$C184,"")</f>
        <v/>
      </c>
      <c r="AG184" s="87">
        <f>IF($AE184="","",IFERROR(MATCH($AE184,{"Wishlist","Applied","Screening","Interview 1","Interview 2","Final","Offer","Accepted"},0)-1,""))</f>
        <v/>
      </c>
      <c r="AH184" s="87">
        <f>IF($AC184="","",MATCH($AC184,{"FOLLOW UP REQUIRED","ACTION DUE TODAY","NO RESPONSE","DUE SOON"},0)*100000+IF(ISNUMBER($O184),$O184,IF(ISNUMBER($C184),$C184,0))+ROW()/10000)</f>
        <v/>
      </c>
      <c r="AI184" s="87">
        <f>IF(AND(ISNUMBER($AG184),$AG184&gt;=1,$AG184&lt;=6,$M184&lt;&gt;"Rejected",$M184&lt;&gt;"Withdrawn"),(10-$AG184)*100000+IF(ISNUMBER($C184),$C184,0)+ROW()/10000,"")</f>
        <v/>
      </c>
    </row>
    <row r="185">
      <c r="A185" s="80" t="n"/>
      <c r="B185" s="81" t="n"/>
      <c r="C185" s="81" t="n"/>
      <c r="D185" s="82" t="n"/>
      <c r="E185" s="82" t="n"/>
      <c r="F185" s="82" t="n"/>
      <c r="G185" s="82" t="n"/>
      <c r="H185" s="82" t="n"/>
      <c r="I185" s="83" t="n"/>
      <c r="J185" s="82" t="n"/>
      <c r="K185" s="84" t="n"/>
      <c r="L185" s="85" t="n"/>
      <c r="M185" s="82" t="n"/>
      <c r="N185" s="86" t="n"/>
      <c r="O185" s="81" t="n"/>
      <c r="P185" s="82" t="n"/>
      <c r="Q185" s="83" t="n"/>
      <c r="R185" s="82" t="n"/>
      <c r="S185" s="84" t="n"/>
      <c r="T185" s="84" t="n"/>
      <c r="U185" s="82" t="n"/>
      <c r="V185" s="86" t="n"/>
      <c r="W185" s="86" t="n"/>
      <c r="X185" s="86" t="n"/>
      <c r="Y185" s="81" t="n"/>
      <c r="Z185" s="82" t="n"/>
      <c r="AA185" s="81" t="n"/>
      <c r="AB185" s="82" t="n"/>
      <c r="AC185" s="87">
        <f>IF(OR($D185="",$M185="Rejected",$M185="Withdrawn",$M185="Accepted"),"",IF(ISNUMBER($O185),IF(INT($O185)&lt;TODAY(),"FOLLOW UP REQUIRED",IF(INT($O185)=TODAY(),"ACTION DUE TODAY",IF(INT($O185)-TODAY()&lt;=Set_DueSoonDays,"DUE SOON",""))),IF(AND($M185="Applied",$AA185=""),IF(ISNUMBER($C185),IF(TODAY()-$C185&gt;=Set_FollowUpDays,"NO RESPONSE",""),""),"")))</f>
        <v/>
      </c>
      <c r="AD185" s="87">
        <f>IF(ISNUMBER($L185),IF($L185&gt;=90,"Excellent Match",IF($L185&gt;=75,"Strong Match",IF($L185&gt;=60,"Moderate Match","Low Match"))),"")</f>
        <v/>
      </c>
      <c r="AE185" s="87">
        <f>IF($D185="","",IF(OR($M185="Rejected",$M185="Withdrawn"),IF($AB185&lt;&gt;"",$AB185,IF(OR($M185="Rejected",ISNUMBER($C185)),"Applied","Wishlist")),IF($M185="",IF(ISNUMBER($C185),"Applied","Wishlist"),$M185)))</f>
        <v/>
      </c>
      <c r="AF185" s="88">
        <f>IF(AND(ISNUMBER($C185),ISNUMBER($AA185)),$AA185-$C185,"")</f>
        <v/>
      </c>
      <c r="AG185" s="87">
        <f>IF($AE185="","",IFERROR(MATCH($AE185,{"Wishlist","Applied","Screening","Interview 1","Interview 2","Final","Offer","Accepted"},0)-1,""))</f>
        <v/>
      </c>
      <c r="AH185" s="87">
        <f>IF($AC185="","",MATCH($AC185,{"FOLLOW UP REQUIRED","ACTION DUE TODAY","NO RESPONSE","DUE SOON"},0)*100000+IF(ISNUMBER($O185),$O185,IF(ISNUMBER($C185),$C185,0))+ROW()/10000)</f>
        <v/>
      </c>
      <c r="AI185" s="87">
        <f>IF(AND(ISNUMBER($AG185),$AG185&gt;=1,$AG185&lt;=6,$M185&lt;&gt;"Rejected",$M185&lt;&gt;"Withdrawn"),(10-$AG185)*100000+IF(ISNUMBER($C185),$C185,0)+ROW()/10000,"")</f>
        <v/>
      </c>
    </row>
    <row r="186">
      <c r="A186" s="80" t="n"/>
      <c r="B186" s="81" t="n"/>
      <c r="C186" s="81" t="n"/>
      <c r="D186" s="82" t="n"/>
      <c r="E186" s="82" t="n"/>
      <c r="F186" s="82" t="n"/>
      <c r="G186" s="82" t="n"/>
      <c r="H186" s="82" t="n"/>
      <c r="I186" s="83" t="n"/>
      <c r="J186" s="82" t="n"/>
      <c r="K186" s="84" t="n"/>
      <c r="L186" s="85" t="n"/>
      <c r="M186" s="82" t="n"/>
      <c r="N186" s="86" t="n"/>
      <c r="O186" s="81" t="n"/>
      <c r="P186" s="82" t="n"/>
      <c r="Q186" s="83" t="n"/>
      <c r="R186" s="82" t="n"/>
      <c r="S186" s="84" t="n"/>
      <c r="T186" s="84" t="n"/>
      <c r="U186" s="82" t="n"/>
      <c r="V186" s="86" t="n"/>
      <c r="W186" s="86" t="n"/>
      <c r="X186" s="86" t="n"/>
      <c r="Y186" s="81" t="n"/>
      <c r="Z186" s="82" t="n"/>
      <c r="AA186" s="81" t="n"/>
      <c r="AB186" s="82" t="n"/>
      <c r="AC186" s="87">
        <f>IF(OR($D186="",$M186="Rejected",$M186="Withdrawn",$M186="Accepted"),"",IF(ISNUMBER($O186),IF(INT($O186)&lt;TODAY(),"FOLLOW UP REQUIRED",IF(INT($O186)=TODAY(),"ACTION DUE TODAY",IF(INT($O186)-TODAY()&lt;=Set_DueSoonDays,"DUE SOON",""))),IF(AND($M186="Applied",$AA186=""),IF(ISNUMBER($C186),IF(TODAY()-$C186&gt;=Set_FollowUpDays,"NO RESPONSE",""),""),"")))</f>
        <v/>
      </c>
      <c r="AD186" s="87">
        <f>IF(ISNUMBER($L186),IF($L186&gt;=90,"Excellent Match",IF($L186&gt;=75,"Strong Match",IF($L186&gt;=60,"Moderate Match","Low Match"))),"")</f>
        <v/>
      </c>
      <c r="AE186" s="87">
        <f>IF($D186="","",IF(OR($M186="Rejected",$M186="Withdrawn"),IF($AB186&lt;&gt;"",$AB186,IF(OR($M186="Rejected",ISNUMBER($C186)),"Applied","Wishlist")),IF($M186="",IF(ISNUMBER($C186),"Applied","Wishlist"),$M186)))</f>
        <v/>
      </c>
      <c r="AF186" s="88">
        <f>IF(AND(ISNUMBER($C186),ISNUMBER($AA186)),$AA186-$C186,"")</f>
        <v/>
      </c>
      <c r="AG186" s="87">
        <f>IF($AE186="","",IFERROR(MATCH($AE186,{"Wishlist","Applied","Screening","Interview 1","Interview 2","Final","Offer","Accepted"},0)-1,""))</f>
        <v/>
      </c>
      <c r="AH186" s="87">
        <f>IF($AC186="","",MATCH($AC186,{"FOLLOW UP REQUIRED","ACTION DUE TODAY","NO RESPONSE","DUE SOON"},0)*100000+IF(ISNUMBER($O186),$O186,IF(ISNUMBER($C186),$C186,0))+ROW()/10000)</f>
        <v/>
      </c>
      <c r="AI186" s="87">
        <f>IF(AND(ISNUMBER($AG186),$AG186&gt;=1,$AG186&lt;=6,$M186&lt;&gt;"Rejected",$M186&lt;&gt;"Withdrawn"),(10-$AG186)*100000+IF(ISNUMBER($C186),$C186,0)+ROW()/10000,"")</f>
        <v/>
      </c>
    </row>
    <row r="187">
      <c r="A187" s="80" t="n"/>
      <c r="B187" s="81" t="n"/>
      <c r="C187" s="81" t="n"/>
      <c r="D187" s="82" t="n"/>
      <c r="E187" s="82" t="n"/>
      <c r="F187" s="82" t="n"/>
      <c r="G187" s="82" t="n"/>
      <c r="H187" s="82" t="n"/>
      <c r="I187" s="83" t="n"/>
      <c r="J187" s="82" t="n"/>
      <c r="K187" s="84" t="n"/>
      <c r="L187" s="85" t="n"/>
      <c r="M187" s="82" t="n"/>
      <c r="N187" s="86" t="n"/>
      <c r="O187" s="81" t="n"/>
      <c r="P187" s="82" t="n"/>
      <c r="Q187" s="83" t="n"/>
      <c r="R187" s="82" t="n"/>
      <c r="S187" s="84" t="n"/>
      <c r="T187" s="84" t="n"/>
      <c r="U187" s="82" t="n"/>
      <c r="V187" s="86" t="n"/>
      <c r="W187" s="86" t="n"/>
      <c r="X187" s="86" t="n"/>
      <c r="Y187" s="81" t="n"/>
      <c r="Z187" s="82" t="n"/>
      <c r="AA187" s="81" t="n"/>
      <c r="AB187" s="82" t="n"/>
      <c r="AC187" s="87">
        <f>IF(OR($D187="",$M187="Rejected",$M187="Withdrawn",$M187="Accepted"),"",IF(ISNUMBER($O187),IF(INT($O187)&lt;TODAY(),"FOLLOW UP REQUIRED",IF(INT($O187)=TODAY(),"ACTION DUE TODAY",IF(INT($O187)-TODAY()&lt;=Set_DueSoonDays,"DUE SOON",""))),IF(AND($M187="Applied",$AA187=""),IF(ISNUMBER($C187),IF(TODAY()-$C187&gt;=Set_FollowUpDays,"NO RESPONSE",""),""),"")))</f>
        <v/>
      </c>
      <c r="AD187" s="87">
        <f>IF(ISNUMBER($L187),IF($L187&gt;=90,"Excellent Match",IF($L187&gt;=75,"Strong Match",IF($L187&gt;=60,"Moderate Match","Low Match"))),"")</f>
        <v/>
      </c>
      <c r="AE187" s="87">
        <f>IF($D187="","",IF(OR($M187="Rejected",$M187="Withdrawn"),IF($AB187&lt;&gt;"",$AB187,IF(OR($M187="Rejected",ISNUMBER($C187)),"Applied","Wishlist")),IF($M187="",IF(ISNUMBER($C187),"Applied","Wishlist"),$M187)))</f>
        <v/>
      </c>
      <c r="AF187" s="88">
        <f>IF(AND(ISNUMBER($C187),ISNUMBER($AA187)),$AA187-$C187,"")</f>
        <v/>
      </c>
      <c r="AG187" s="87">
        <f>IF($AE187="","",IFERROR(MATCH($AE187,{"Wishlist","Applied","Screening","Interview 1","Interview 2","Final","Offer","Accepted"},0)-1,""))</f>
        <v/>
      </c>
      <c r="AH187" s="87">
        <f>IF($AC187="","",MATCH($AC187,{"FOLLOW UP REQUIRED","ACTION DUE TODAY","NO RESPONSE","DUE SOON"},0)*100000+IF(ISNUMBER($O187),$O187,IF(ISNUMBER($C187),$C187,0))+ROW()/10000)</f>
        <v/>
      </c>
      <c r="AI187" s="87">
        <f>IF(AND(ISNUMBER($AG187),$AG187&gt;=1,$AG187&lt;=6,$M187&lt;&gt;"Rejected",$M187&lt;&gt;"Withdrawn"),(10-$AG187)*100000+IF(ISNUMBER($C187),$C187,0)+ROW()/10000,"")</f>
        <v/>
      </c>
    </row>
    <row r="188">
      <c r="A188" s="80" t="n"/>
      <c r="B188" s="81" t="n"/>
      <c r="C188" s="81" t="n"/>
      <c r="D188" s="82" t="n"/>
      <c r="E188" s="82" t="n"/>
      <c r="F188" s="82" t="n"/>
      <c r="G188" s="82" t="n"/>
      <c r="H188" s="82" t="n"/>
      <c r="I188" s="83" t="n"/>
      <c r="J188" s="82" t="n"/>
      <c r="K188" s="84" t="n"/>
      <c r="L188" s="85" t="n"/>
      <c r="M188" s="82" t="n"/>
      <c r="N188" s="86" t="n"/>
      <c r="O188" s="81" t="n"/>
      <c r="P188" s="82" t="n"/>
      <c r="Q188" s="83" t="n"/>
      <c r="R188" s="82" t="n"/>
      <c r="S188" s="84" t="n"/>
      <c r="T188" s="84" t="n"/>
      <c r="U188" s="82" t="n"/>
      <c r="V188" s="86" t="n"/>
      <c r="W188" s="86" t="n"/>
      <c r="X188" s="86" t="n"/>
      <c r="Y188" s="81" t="n"/>
      <c r="Z188" s="82" t="n"/>
      <c r="AA188" s="81" t="n"/>
      <c r="AB188" s="82" t="n"/>
      <c r="AC188" s="87">
        <f>IF(OR($D188="",$M188="Rejected",$M188="Withdrawn",$M188="Accepted"),"",IF(ISNUMBER($O188),IF(INT($O188)&lt;TODAY(),"FOLLOW UP REQUIRED",IF(INT($O188)=TODAY(),"ACTION DUE TODAY",IF(INT($O188)-TODAY()&lt;=Set_DueSoonDays,"DUE SOON",""))),IF(AND($M188="Applied",$AA188=""),IF(ISNUMBER($C188),IF(TODAY()-$C188&gt;=Set_FollowUpDays,"NO RESPONSE",""),""),"")))</f>
        <v/>
      </c>
      <c r="AD188" s="87">
        <f>IF(ISNUMBER($L188),IF($L188&gt;=90,"Excellent Match",IF($L188&gt;=75,"Strong Match",IF($L188&gt;=60,"Moderate Match","Low Match"))),"")</f>
        <v/>
      </c>
      <c r="AE188" s="87">
        <f>IF($D188="","",IF(OR($M188="Rejected",$M188="Withdrawn"),IF($AB188&lt;&gt;"",$AB188,IF(OR($M188="Rejected",ISNUMBER($C188)),"Applied","Wishlist")),IF($M188="",IF(ISNUMBER($C188),"Applied","Wishlist"),$M188)))</f>
        <v/>
      </c>
      <c r="AF188" s="88">
        <f>IF(AND(ISNUMBER($C188),ISNUMBER($AA188)),$AA188-$C188,"")</f>
        <v/>
      </c>
      <c r="AG188" s="87">
        <f>IF($AE188="","",IFERROR(MATCH($AE188,{"Wishlist","Applied","Screening","Interview 1","Interview 2","Final","Offer","Accepted"},0)-1,""))</f>
        <v/>
      </c>
      <c r="AH188" s="87">
        <f>IF($AC188="","",MATCH($AC188,{"FOLLOW UP REQUIRED","ACTION DUE TODAY","NO RESPONSE","DUE SOON"},0)*100000+IF(ISNUMBER($O188),$O188,IF(ISNUMBER($C188),$C188,0))+ROW()/10000)</f>
        <v/>
      </c>
      <c r="AI188" s="87">
        <f>IF(AND(ISNUMBER($AG188),$AG188&gt;=1,$AG188&lt;=6,$M188&lt;&gt;"Rejected",$M188&lt;&gt;"Withdrawn"),(10-$AG188)*100000+IF(ISNUMBER($C188),$C188,0)+ROW()/10000,"")</f>
        <v/>
      </c>
    </row>
    <row r="189">
      <c r="A189" s="80" t="n"/>
      <c r="B189" s="81" t="n"/>
      <c r="C189" s="81" t="n"/>
      <c r="D189" s="82" t="n"/>
      <c r="E189" s="82" t="n"/>
      <c r="F189" s="82" t="n"/>
      <c r="G189" s="82" t="n"/>
      <c r="H189" s="82" t="n"/>
      <c r="I189" s="83" t="n"/>
      <c r="J189" s="82" t="n"/>
      <c r="K189" s="84" t="n"/>
      <c r="L189" s="85" t="n"/>
      <c r="M189" s="82" t="n"/>
      <c r="N189" s="86" t="n"/>
      <c r="O189" s="81" t="n"/>
      <c r="P189" s="82" t="n"/>
      <c r="Q189" s="83" t="n"/>
      <c r="R189" s="82" t="n"/>
      <c r="S189" s="84" t="n"/>
      <c r="T189" s="84" t="n"/>
      <c r="U189" s="82" t="n"/>
      <c r="V189" s="86" t="n"/>
      <c r="W189" s="86" t="n"/>
      <c r="X189" s="86" t="n"/>
      <c r="Y189" s="81" t="n"/>
      <c r="Z189" s="82" t="n"/>
      <c r="AA189" s="81" t="n"/>
      <c r="AB189" s="82" t="n"/>
      <c r="AC189" s="87">
        <f>IF(OR($D189="",$M189="Rejected",$M189="Withdrawn",$M189="Accepted"),"",IF(ISNUMBER($O189),IF(INT($O189)&lt;TODAY(),"FOLLOW UP REQUIRED",IF(INT($O189)=TODAY(),"ACTION DUE TODAY",IF(INT($O189)-TODAY()&lt;=Set_DueSoonDays,"DUE SOON",""))),IF(AND($M189="Applied",$AA189=""),IF(ISNUMBER($C189),IF(TODAY()-$C189&gt;=Set_FollowUpDays,"NO RESPONSE",""),""),"")))</f>
        <v/>
      </c>
      <c r="AD189" s="87">
        <f>IF(ISNUMBER($L189),IF($L189&gt;=90,"Excellent Match",IF($L189&gt;=75,"Strong Match",IF($L189&gt;=60,"Moderate Match","Low Match"))),"")</f>
        <v/>
      </c>
      <c r="AE189" s="87">
        <f>IF($D189="","",IF(OR($M189="Rejected",$M189="Withdrawn"),IF($AB189&lt;&gt;"",$AB189,IF(OR($M189="Rejected",ISNUMBER($C189)),"Applied","Wishlist")),IF($M189="",IF(ISNUMBER($C189),"Applied","Wishlist"),$M189)))</f>
        <v/>
      </c>
      <c r="AF189" s="88">
        <f>IF(AND(ISNUMBER($C189),ISNUMBER($AA189)),$AA189-$C189,"")</f>
        <v/>
      </c>
      <c r="AG189" s="87">
        <f>IF($AE189="","",IFERROR(MATCH($AE189,{"Wishlist","Applied","Screening","Interview 1","Interview 2","Final","Offer","Accepted"},0)-1,""))</f>
        <v/>
      </c>
      <c r="AH189" s="87">
        <f>IF($AC189="","",MATCH($AC189,{"FOLLOW UP REQUIRED","ACTION DUE TODAY","NO RESPONSE","DUE SOON"},0)*100000+IF(ISNUMBER($O189),$O189,IF(ISNUMBER($C189),$C189,0))+ROW()/10000)</f>
        <v/>
      </c>
      <c r="AI189" s="87">
        <f>IF(AND(ISNUMBER($AG189),$AG189&gt;=1,$AG189&lt;=6,$M189&lt;&gt;"Rejected",$M189&lt;&gt;"Withdrawn"),(10-$AG189)*100000+IF(ISNUMBER($C189),$C189,0)+ROW()/10000,"")</f>
        <v/>
      </c>
    </row>
    <row r="190">
      <c r="A190" s="80" t="n"/>
      <c r="B190" s="81" t="n"/>
      <c r="C190" s="81" t="n"/>
      <c r="D190" s="82" t="n"/>
      <c r="E190" s="82" t="n"/>
      <c r="F190" s="82" t="n"/>
      <c r="G190" s="82" t="n"/>
      <c r="H190" s="82" t="n"/>
      <c r="I190" s="83" t="n"/>
      <c r="J190" s="82" t="n"/>
      <c r="K190" s="84" t="n"/>
      <c r="L190" s="85" t="n"/>
      <c r="M190" s="82" t="n"/>
      <c r="N190" s="86" t="n"/>
      <c r="O190" s="81" t="n"/>
      <c r="P190" s="82" t="n"/>
      <c r="Q190" s="83" t="n"/>
      <c r="R190" s="82" t="n"/>
      <c r="S190" s="84" t="n"/>
      <c r="T190" s="84" t="n"/>
      <c r="U190" s="82" t="n"/>
      <c r="V190" s="86" t="n"/>
      <c r="W190" s="86" t="n"/>
      <c r="X190" s="86" t="n"/>
      <c r="Y190" s="81" t="n"/>
      <c r="Z190" s="82" t="n"/>
      <c r="AA190" s="81" t="n"/>
      <c r="AB190" s="82" t="n"/>
      <c r="AC190" s="87">
        <f>IF(OR($D190="",$M190="Rejected",$M190="Withdrawn",$M190="Accepted"),"",IF(ISNUMBER($O190),IF(INT($O190)&lt;TODAY(),"FOLLOW UP REQUIRED",IF(INT($O190)=TODAY(),"ACTION DUE TODAY",IF(INT($O190)-TODAY()&lt;=Set_DueSoonDays,"DUE SOON",""))),IF(AND($M190="Applied",$AA190=""),IF(ISNUMBER($C190),IF(TODAY()-$C190&gt;=Set_FollowUpDays,"NO RESPONSE",""),""),"")))</f>
        <v/>
      </c>
      <c r="AD190" s="87">
        <f>IF(ISNUMBER($L190),IF($L190&gt;=90,"Excellent Match",IF($L190&gt;=75,"Strong Match",IF($L190&gt;=60,"Moderate Match","Low Match"))),"")</f>
        <v/>
      </c>
      <c r="AE190" s="87">
        <f>IF($D190="","",IF(OR($M190="Rejected",$M190="Withdrawn"),IF($AB190&lt;&gt;"",$AB190,IF(OR($M190="Rejected",ISNUMBER($C190)),"Applied","Wishlist")),IF($M190="",IF(ISNUMBER($C190),"Applied","Wishlist"),$M190)))</f>
        <v/>
      </c>
      <c r="AF190" s="88">
        <f>IF(AND(ISNUMBER($C190),ISNUMBER($AA190)),$AA190-$C190,"")</f>
        <v/>
      </c>
      <c r="AG190" s="87">
        <f>IF($AE190="","",IFERROR(MATCH($AE190,{"Wishlist","Applied","Screening","Interview 1","Interview 2","Final","Offer","Accepted"},0)-1,""))</f>
        <v/>
      </c>
      <c r="AH190" s="87">
        <f>IF($AC190="","",MATCH($AC190,{"FOLLOW UP REQUIRED","ACTION DUE TODAY","NO RESPONSE","DUE SOON"},0)*100000+IF(ISNUMBER($O190),$O190,IF(ISNUMBER($C190),$C190,0))+ROW()/10000)</f>
        <v/>
      </c>
      <c r="AI190" s="87">
        <f>IF(AND(ISNUMBER($AG190),$AG190&gt;=1,$AG190&lt;=6,$M190&lt;&gt;"Rejected",$M190&lt;&gt;"Withdrawn"),(10-$AG190)*100000+IF(ISNUMBER($C190),$C190,0)+ROW()/10000,"")</f>
        <v/>
      </c>
    </row>
    <row r="191">
      <c r="A191" s="80" t="n"/>
      <c r="B191" s="81" t="n"/>
      <c r="C191" s="81" t="n"/>
      <c r="D191" s="82" t="n"/>
      <c r="E191" s="82" t="n"/>
      <c r="F191" s="82" t="n"/>
      <c r="G191" s="82" t="n"/>
      <c r="H191" s="82" t="n"/>
      <c r="I191" s="83" t="n"/>
      <c r="J191" s="82" t="n"/>
      <c r="K191" s="84" t="n"/>
      <c r="L191" s="85" t="n"/>
      <c r="M191" s="82" t="n"/>
      <c r="N191" s="86" t="n"/>
      <c r="O191" s="81" t="n"/>
      <c r="P191" s="82" t="n"/>
      <c r="Q191" s="83" t="n"/>
      <c r="R191" s="82" t="n"/>
      <c r="S191" s="84" t="n"/>
      <c r="T191" s="84" t="n"/>
      <c r="U191" s="82" t="n"/>
      <c r="V191" s="86" t="n"/>
      <c r="W191" s="86" t="n"/>
      <c r="X191" s="86" t="n"/>
      <c r="Y191" s="81" t="n"/>
      <c r="Z191" s="82" t="n"/>
      <c r="AA191" s="81" t="n"/>
      <c r="AB191" s="82" t="n"/>
      <c r="AC191" s="87">
        <f>IF(OR($D191="",$M191="Rejected",$M191="Withdrawn",$M191="Accepted"),"",IF(ISNUMBER($O191),IF(INT($O191)&lt;TODAY(),"FOLLOW UP REQUIRED",IF(INT($O191)=TODAY(),"ACTION DUE TODAY",IF(INT($O191)-TODAY()&lt;=Set_DueSoonDays,"DUE SOON",""))),IF(AND($M191="Applied",$AA191=""),IF(ISNUMBER($C191),IF(TODAY()-$C191&gt;=Set_FollowUpDays,"NO RESPONSE",""),""),"")))</f>
        <v/>
      </c>
      <c r="AD191" s="87">
        <f>IF(ISNUMBER($L191),IF($L191&gt;=90,"Excellent Match",IF($L191&gt;=75,"Strong Match",IF($L191&gt;=60,"Moderate Match","Low Match"))),"")</f>
        <v/>
      </c>
      <c r="AE191" s="87">
        <f>IF($D191="","",IF(OR($M191="Rejected",$M191="Withdrawn"),IF($AB191&lt;&gt;"",$AB191,IF(OR($M191="Rejected",ISNUMBER($C191)),"Applied","Wishlist")),IF($M191="",IF(ISNUMBER($C191),"Applied","Wishlist"),$M191)))</f>
        <v/>
      </c>
      <c r="AF191" s="88">
        <f>IF(AND(ISNUMBER($C191),ISNUMBER($AA191)),$AA191-$C191,"")</f>
        <v/>
      </c>
      <c r="AG191" s="87">
        <f>IF($AE191="","",IFERROR(MATCH($AE191,{"Wishlist","Applied","Screening","Interview 1","Interview 2","Final","Offer","Accepted"},0)-1,""))</f>
        <v/>
      </c>
      <c r="AH191" s="87">
        <f>IF($AC191="","",MATCH($AC191,{"FOLLOW UP REQUIRED","ACTION DUE TODAY","NO RESPONSE","DUE SOON"},0)*100000+IF(ISNUMBER($O191),$O191,IF(ISNUMBER($C191),$C191,0))+ROW()/10000)</f>
        <v/>
      </c>
      <c r="AI191" s="87">
        <f>IF(AND(ISNUMBER($AG191),$AG191&gt;=1,$AG191&lt;=6,$M191&lt;&gt;"Rejected",$M191&lt;&gt;"Withdrawn"),(10-$AG191)*100000+IF(ISNUMBER($C191),$C191,0)+ROW()/10000,"")</f>
        <v/>
      </c>
    </row>
    <row r="192">
      <c r="A192" s="80" t="n"/>
      <c r="B192" s="81" t="n"/>
      <c r="C192" s="81" t="n"/>
      <c r="D192" s="82" t="n"/>
      <c r="E192" s="82" t="n"/>
      <c r="F192" s="82" t="n"/>
      <c r="G192" s="82" t="n"/>
      <c r="H192" s="82" t="n"/>
      <c r="I192" s="83" t="n"/>
      <c r="J192" s="82" t="n"/>
      <c r="K192" s="84" t="n"/>
      <c r="L192" s="85" t="n"/>
      <c r="M192" s="82" t="n"/>
      <c r="N192" s="86" t="n"/>
      <c r="O192" s="81" t="n"/>
      <c r="P192" s="82" t="n"/>
      <c r="Q192" s="83" t="n"/>
      <c r="R192" s="82" t="n"/>
      <c r="S192" s="84" t="n"/>
      <c r="T192" s="84" t="n"/>
      <c r="U192" s="82" t="n"/>
      <c r="V192" s="86" t="n"/>
      <c r="W192" s="86" t="n"/>
      <c r="X192" s="86" t="n"/>
      <c r="Y192" s="81" t="n"/>
      <c r="Z192" s="82" t="n"/>
      <c r="AA192" s="81" t="n"/>
      <c r="AB192" s="82" t="n"/>
      <c r="AC192" s="87">
        <f>IF(OR($D192="",$M192="Rejected",$M192="Withdrawn",$M192="Accepted"),"",IF(ISNUMBER($O192),IF(INT($O192)&lt;TODAY(),"FOLLOW UP REQUIRED",IF(INT($O192)=TODAY(),"ACTION DUE TODAY",IF(INT($O192)-TODAY()&lt;=Set_DueSoonDays,"DUE SOON",""))),IF(AND($M192="Applied",$AA192=""),IF(ISNUMBER($C192),IF(TODAY()-$C192&gt;=Set_FollowUpDays,"NO RESPONSE",""),""),"")))</f>
        <v/>
      </c>
      <c r="AD192" s="87">
        <f>IF(ISNUMBER($L192),IF($L192&gt;=90,"Excellent Match",IF($L192&gt;=75,"Strong Match",IF($L192&gt;=60,"Moderate Match","Low Match"))),"")</f>
        <v/>
      </c>
      <c r="AE192" s="87">
        <f>IF($D192="","",IF(OR($M192="Rejected",$M192="Withdrawn"),IF($AB192&lt;&gt;"",$AB192,IF(OR($M192="Rejected",ISNUMBER($C192)),"Applied","Wishlist")),IF($M192="",IF(ISNUMBER($C192),"Applied","Wishlist"),$M192)))</f>
        <v/>
      </c>
      <c r="AF192" s="88">
        <f>IF(AND(ISNUMBER($C192),ISNUMBER($AA192)),$AA192-$C192,"")</f>
        <v/>
      </c>
      <c r="AG192" s="87">
        <f>IF($AE192="","",IFERROR(MATCH($AE192,{"Wishlist","Applied","Screening","Interview 1","Interview 2","Final","Offer","Accepted"},0)-1,""))</f>
        <v/>
      </c>
      <c r="AH192" s="87">
        <f>IF($AC192="","",MATCH($AC192,{"FOLLOW UP REQUIRED","ACTION DUE TODAY","NO RESPONSE","DUE SOON"},0)*100000+IF(ISNUMBER($O192),$O192,IF(ISNUMBER($C192),$C192,0))+ROW()/10000)</f>
        <v/>
      </c>
      <c r="AI192" s="87">
        <f>IF(AND(ISNUMBER($AG192),$AG192&gt;=1,$AG192&lt;=6,$M192&lt;&gt;"Rejected",$M192&lt;&gt;"Withdrawn"),(10-$AG192)*100000+IF(ISNUMBER($C192),$C192,0)+ROW()/10000,"")</f>
        <v/>
      </c>
    </row>
    <row r="193">
      <c r="A193" s="80" t="n"/>
      <c r="B193" s="81" t="n"/>
      <c r="C193" s="81" t="n"/>
      <c r="D193" s="82" t="n"/>
      <c r="E193" s="82" t="n"/>
      <c r="F193" s="82" t="n"/>
      <c r="G193" s="82" t="n"/>
      <c r="H193" s="82" t="n"/>
      <c r="I193" s="83" t="n"/>
      <c r="J193" s="82" t="n"/>
      <c r="K193" s="84" t="n"/>
      <c r="L193" s="85" t="n"/>
      <c r="M193" s="82" t="n"/>
      <c r="N193" s="86" t="n"/>
      <c r="O193" s="81" t="n"/>
      <c r="P193" s="82" t="n"/>
      <c r="Q193" s="83" t="n"/>
      <c r="R193" s="82" t="n"/>
      <c r="S193" s="84" t="n"/>
      <c r="T193" s="84" t="n"/>
      <c r="U193" s="82" t="n"/>
      <c r="V193" s="86" t="n"/>
      <c r="W193" s="86" t="n"/>
      <c r="X193" s="86" t="n"/>
      <c r="Y193" s="81" t="n"/>
      <c r="Z193" s="82" t="n"/>
      <c r="AA193" s="81" t="n"/>
      <c r="AB193" s="82" t="n"/>
      <c r="AC193" s="87">
        <f>IF(OR($D193="",$M193="Rejected",$M193="Withdrawn",$M193="Accepted"),"",IF(ISNUMBER($O193),IF(INT($O193)&lt;TODAY(),"FOLLOW UP REQUIRED",IF(INT($O193)=TODAY(),"ACTION DUE TODAY",IF(INT($O193)-TODAY()&lt;=Set_DueSoonDays,"DUE SOON",""))),IF(AND($M193="Applied",$AA193=""),IF(ISNUMBER($C193),IF(TODAY()-$C193&gt;=Set_FollowUpDays,"NO RESPONSE",""),""),"")))</f>
        <v/>
      </c>
      <c r="AD193" s="87">
        <f>IF(ISNUMBER($L193),IF($L193&gt;=90,"Excellent Match",IF($L193&gt;=75,"Strong Match",IF($L193&gt;=60,"Moderate Match","Low Match"))),"")</f>
        <v/>
      </c>
      <c r="AE193" s="87">
        <f>IF($D193="","",IF(OR($M193="Rejected",$M193="Withdrawn"),IF($AB193&lt;&gt;"",$AB193,IF(OR($M193="Rejected",ISNUMBER($C193)),"Applied","Wishlist")),IF($M193="",IF(ISNUMBER($C193),"Applied","Wishlist"),$M193)))</f>
        <v/>
      </c>
      <c r="AF193" s="88">
        <f>IF(AND(ISNUMBER($C193),ISNUMBER($AA193)),$AA193-$C193,"")</f>
        <v/>
      </c>
      <c r="AG193" s="87">
        <f>IF($AE193="","",IFERROR(MATCH($AE193,{"Wishlist","Applied","Screening","Interview 1","Interview 2","Final","Offer","Accepted"},0)-1,""))</f>
        <v/>
      </c>
      <c r="AH193" s="87">
        <f>IF($AC193="","",MATCH($AC193,{"FOLLOW UP REQUIRED","ACTION DUE TODAY","NO RESPONSE","DUE SOON"},0)*100000+IF(ISNUMBER($O193),$O193,IF(ISNUMBER($C193),$C193,0))+ROW()/10000)</f>
        <v/>
      </c>
      <c r="AI193" s="87">
        <f>IF(AND(ISNUMBER($AG193),$AG193&gt;=1,$AG193&lt;=6,$M193&lt;&gt;"Rejected",$M193&lt;&gt;"Withdrawn"),(10-$AG193)*100000+IF(ISNUMBER($C193),$C193,0)+ROW()/10000,"")</f>
        <v/>
      </c>
    </row>
    <row r="194">
      <c r="A194" s="80" t="n"/>
      <c r="B194" s="81" t="n"/>
      <c r="C194" s="81" t="n"/>
      <c r="D194" s="82" t="n"/>
      <c r="E194" s="82" t="n"/>
      <c r="F194" s="82" t="n"/>
      <c r="G194" s="82" t="n"/>
      <c r="H194" s="82" t="n"/>
      <c r="I194" s="83" t="n"/>
      <c r="J194" s="82" t="n"/>
      <c r="K194" s="84" t="n"/>
      <c r="L194" s="85" t="n"/>
      <c r="M194" s="82" t="n"/>
      <c r="N194" s="86" t="n"/>
      <c r="O194" s="81" t="n"/>
      <c r="P194" s="82" t="n"/>
      <c r="Q194" s="83" t="n"/>
      <c r="R194" s="82" t="n"/>
      <c r="S194" s="84" t="n"/>
      <c r="T194" s="84" t="n"/>
      <c r="U194" s="82" t="n"/>
      <c r="V194" s="86" t="n"/>
      <c r="W194" s="86" t="n"/>
      <c r="X194" s="86" t="n"/>
      <c r="Y194" s="81" t="n"/>
      <c r="Z194" s="82" t="n"/>
      <c r="AA194" s="81" t="n"/>
      <c r="AB194" s="82" t="n"/>
      <c r="AC194" s="87">
        <f>IF(OR($D194="",$M194="Rejected",$M194="Withdrawn",$M194="Accepted"),"",IF(ISNUMBER($O194),IF(INT($O194)&lt;TODAY(),"FOLLOW UP REQUIRED",IF(INT($O194)=TODAY(),"ACTION DUE TODAY",IF(INT($O194)-TODAY()&lt;=Set_DueSoonDays,"DUE SOON",""))),IF(AND($M194="Applied",$AA194=""),IF(ISNUMBER($C194),IF(TODAY()-$C194&gt;=Set_FollowUpDays,"NO RESPONSE",""),""),"")))</f>
        <v/>
      </c>
      <c r="AD194" s="87">
        <f>IF(ISNUMBER($L194),IF($L194&gt;=90,"Excellent Match",IF($L194&gt;=75,"Strong Match",IF($L194&gt;=60,"Moderate Match","Low Match"))),"")</f>
        <v/>
      </c>
      <c r="AE194" s="87">
        <f>IF($D194="","",IF(OR($M194="Rejected",$M194="Withdrawn"),IF($AB194&lt;&gt;"",$AB194,IF(OR($M194="Rejected",ISNUMBER($C194)),"Applied","Wishlist")),IF($M194="",IF(ISNUMBER($C194),"Applied","Wishlist"),$M194)))</f>
        <v/>
      </c>
      <c r="AF194" s="88">
        <f>IF(AND(ISNUMBER($C194),ISNUMBER($AA194)),$AA194-$C194,"")</f>
        <v/>
      </c>
      <c r="AG194" s="87">
        <f>IF($AE194="","",IFERROR(MATCH($AE194,{"Wishlist","Applied","Screening","Interview 1","Interview 2","Final","Offer","Accepted"},0)-1,""))</f>
        <v/>
      </c>
      <c r="AH194" s="87">
        <f>IF($AC194="","",MATCH($AC194,{"FOLLOW UP REQUIRED","ACTION DUE TODAY","NO RESPONSE","DUE SOON"},0)*100000+IF(ISNUMBER($O194),$O194,IF(ISNUMBER($C194),$C194,0))+ROW()/10000)</f>
        <v/>
      </c>
      <c r="AI194" s="87">
        <f>IF(AND(ISNUMBER($AG194),$AG194&gt;=1,$AG194&lt;=6,$M194&lt;&gt;"Rejected",$M194&lt;&gt;"Withdrawn"),(10-$AG194)*100000+IF(ISNUMBER($C194),$C194,0)+ROW()/10000,"")</f>
        <v/>
      </c>
    </row>
    <row r="195">
      <c r="A195" s="80" t="n"/>
      <c r="B195" s="81" t="n"/>
      <c r="C195" s="81" t="n"/>
      <c r="D195" s="82" t="n"/>
      <c r="E195" s="82" t="n"/>
      <c r="F195" s="82" t="n"/>
      <c r="G195" s="82" t="n"/>
      <c r="H195" s="82" t="n"/>
      <c r="I195" s="83" t="n"/>
      <c r="J195" s="82" t="n"/>
      <c r="K195" s="84" t="n"/>
      <c r="L195" s="85" t="n"/>
      <c r="M195" s="82" t="n"/>
      <c r="N195" s="86" t="n"/>
      <c r="O195" s="81" t="n"/>
      <c r="P195" s="82" t="n"/>
      <c r="Q195" s="83" t="n"/>
      <c r="R195" s="82" t="n"/>
      <c r="S195" s="84" t="n"/>
      <c r="T195" s="84" t="n"/>
      <c r="U195" s="82" t="n"/>
      <c r="V195" s="86" t="n"/>
      <c r="W195" s="86" t="n"/>
      <c r="X195" s="86" t="n"/>
      <c r="Y195" s="81" t="n"/>
      <c r="Z195" s="82" t="n"/>
      <c r="AA195" s="81" t="n"/>
      <c r="AB195" s="82" t="n"/>
      <c r="AC195" s="87">
        <f>IF(OR($D195="",$M195="Rejected",$M195="Withdrawn",$M195="Accepted"),"",IF(ISNUMBER($O195),IF(INT($O195)&lt;TODAY(),"FOLLOW UP REQUIRED",IF(INT($O195)=TODAY(),"ACTION DUE TODAY",IF(INT($O195)-TODAY()&lt;=Set_DueSoonDays,"DUE SOON",""))),IF(AND($M195="Applied",$AA195=""),IF(ISNUMBER($C195),IF(TODAY()-$C195&gt;=Set_FollowUpDays,"NO RESPONSE",""),""),"")))</f>
        <v/>
      </c>
      <c r="AD195" s="87">
        <f>IF(ISNUMBER($L195),IF($L195&gt;=90,"Excellent Match",IF($L195&gt;=75,"Strong Match",IF($L195&gt;=60,"Moderate Match","Low Match"))),"")</f>
        <v/>
      </c>
      <c r="AE195" s="87">
        <f>IF($D195="","",IF(OR($M195="Rejected",$M195="Withdrawn"),IF($AB195&lt;&gt;"",$AB195,IF(OR($M195="Rejected",ISNUMBER($C195)),"Applied","Wishlist")),IF($M195="",IF(ISNUMBER($C195),"Applied","Wishlist"),$M195)))</f>
        <v/>
      </c>
      <c r="AF195" s="88">
        <f>IF(AND(ISNUMBER($C195),ISNUMBER($AA195)),$AA195-$C195,"")</f>
        <v/>
      </c>
      <c r="AG195" s="87">
        <f>IF($AE195="","",IFERROR(MATCH($AE195,{"Wishlist","Applied","Screening","Interview 1","Interview 2","Final","Offer","Accepted"},0)-1,""))</f>
        <v/>
      </c>
      <c r="AH195" s="87">
        <f>IF($AC195="","",MATCH($AC195,{"FOLLOW UP REQUIRED","ACTION DUE TODAY","NO RESPONSE","DUE SOON"},0)*100000+IF(ISNUMBER($O195),$O195,IF(ISNUMBER($C195),$C195,0))+ROW()/10000)</f>
        <v/>
      </c>
      <c r="AI195" s="87">
        <f>IF(AND(ISNUMBER($AG195),$AG195&gt;=1,$AG195&lt;=6,$M195&lt;&gt;"Rejected",$M195&lt;&gt;"Withdrawn"),(10-$AG195)*100000+IF(ISNUMBER($C195),$C195,0)+ROW()/10000,"")</f>
        <v/>
      </c>
    </row>
    <row r="196">
      <c r="A196" s="80" t="n"/>
      <c r="B196" s="81" t="n"/>
      <c r="C196" s="81" t="n"/>
      <c r="D196" s="82" t="n"/>
      <c r="E196" s="82" t="n"/>
      <c r="F196" s="82" t="n"/>
      <c r="G196" s="82" t="n"/>
      <c r="H196" s="82" t="n"/>
      <c r="I196" s="83" t="n"/>
      <c r="J196" s="82" t="n"/>
      <c r="K196" s="84" t="n"/>
      <c r="L196" s="85" t="n"/>
      <c r="M196" s="82" t="n"/>
      <c r="N196" s="86" t="n"/>
      <c r="O196" s="81" t="n"/>
      <c r="P196" s="82" t="n"/>
      <c r="Q196" s="83" t="n"/>
      <c r="R196" s="82" t="n"/>
      <c r="S196" s="84" t="n"/>
      <c r="T196" s="84" t="n"/>
      <c r="U196" s="82" t="n"/>
      <c r="V196" s="86" t="n"/>
      <c r="W196" s="86" t="n"/>
      <c r="X196" s="86" t="n"/>
      <c r="Y196" s="81" t="n"/>
      <c r="Z196" s="82" t="n"/>
      <c r="AA196" s="81" t="n"/>
      <c r="AB196" s="82" t="n"/>
      <c r="AC196" s="87">
        <f>IF(OR($D196="",$M196="Rejected",$M196="Withdrawn",$M196="Accepted"),"",IF(ISNUMBER($O196),IF(INT($O196)&lt;TODAY(),"FOLLOW UP REQUIRED",IF(INT($O196)=TODAY(),"ACTION DUE TODAY",IF(INT($O196)-TODAY()&lt;=Set_DueSoonDays,"DUE SOON",""))),IF(AND($M196="Applied",$AA196=""),IF(ISNUMBER($C196),IF(TODAY()-$C196&gt;=Set_FollowUpDays,"NO RESPONSE",""),""),"")))</f>
        <v/>
      </c>
      <c r="AD196" s="87">
        <f>IF(ISNUMBER($L196),IF($L196&gt;=90,"Excellent Match",IF($L196&gt;=75,"Strong Match",IF($L196&gt;=60,"Moderate Match","Low Match"))),"")</f>
        <v/>
      </c>
      <c r="AE196" s="87">
        <f>IF($D196="","",IF(OR($M196="Rejected",$M196="Withdrawn"),IF($AB196&lt;&gt;"",$AB196,IF(OR($M196="Rejected",ISNUMBER($C196)),"Applied","Wishlist")),IF($M196="",IF(ISNUMBER($C196),"Applied","Wishlist"),$M196)))</f>
        <v/>
      </c>
      <c r="AF196" s="88">
        <f>IF(AND(ISNUMBER($C196),ISNUMBER($AA196)),$AA196-$C196,"")</f>
        <v/>
      </c>
      <c r="AG196" s="87">
        <f>IF($AE196="","",IFERROR(MATCH($AE196,{"Wishlist","Applied","Screening","Interview 1","Interview 2","Final","Offer","Accepted"},0)-1,""))</f>
        <v/>
      </c>
      <c r="AH196" s="87">
        <f>IF($AC196="","",MATCH($AC196,{"FOLLOW UP REQUIRED","ACTION DUE TODAY","NO RESPONSE","DUE SOON"},0)*100000+IF(ISNUMBER($O196),$O196,IF(ISNUMBER($C196),$C196,0))+ROW()/10000)</f>
        <v/>
      </c>
      <c r="AI196" s="87">
        <f>IF(AND(ISNUMBER($AG196),$AG196&gt;=1,$AG196&lt;=6,$M196&lt;&gt;"Rejected",$M196&lt;&gt;"Withdrawn"),(10-$AG196)*100000+IF(ISNUMBER($C196),$C196,0)+ROW()/10000,"")</f>
        <v/>
      </c>
    </row>
    <row r="197">
      <c r="A197" s="80" t="n"/>
      <c r="B197" s="81" t="n"/>
      <c r="C197" s="81" t="n"/>
      <c r="D197" s="82" t="n"/>
      <c r="E197" s="82" t="n"/>
      <c r="F197" s="82" t="n"/>
      <c r="G197" s="82" t="n"/>
      <c r="H197" s="82" t="n"/>
      <c r="I197" s="83" t="n"/>
      <c r="J197" s="82" t="n"/>
      <c r="K197" s="84" t="n"/>
      <c r="L197" s="85" t="n"/>
      <c r="M197" s="82" t="n"/>
      <c r="N197" s="86" t="n"/>
      <c r="O197" s="81" t="n"/>
      <c r="P197" s="82" t="n"/>
      <c r="Q197" s="83" t="n"/>
      <c r="R197" s="82" t="n"/>
      <c r="S197" s="84" t="n"/>
      <c r="T197" s="84" t="n"/>
      <c r="U197" s="82" t="n"/>
      <c r="V197" s="86" t="n"/>
      <c r="W197" s="86" t="n"/>
      <c r="X197" s="86" t="n"/>
      <c r="Y197" s="81" t="n"/>
      <c r="Z197" s="82" t="n"/>
      <c r="AA197" s="81" t="n"/>
      <c r="AB197" s="82" t="n"/>
      <c r="AC197" s="87">
        <f>IF(OR($D197="",$M197="Rejected",$M197="Withdrawn",$M197="Accepted"),"",IF(ISNUMBER($O197),IF(INT($O197)&lt;TODAY(),"FOLLOW UP REQUIRED",IF(INT($O197)=TODAY(),"ACTION DUE TODAY",IF(INT($O197)-TODAY()&lt;=Set_DueSoonDays,"DUE SOON",""))),IF(AND($M197="Applied",$AA197=""),IF(ISNUMBER($C197),IF(TODAY()-$C197&gt;=Set_FollowUpDays,"NO RESPONSE",""),""),"")))</f>
        <v/>
      </c>
      <c r="AD197" s="87">
        <f>IF(ISNUMBER($L197),IF($L197&gt;=90,"Excellent Match",IF($L197&gt;=75,"Strong Match",IF($L197&gt;=60,"Moderate Match","Low Match"))),"")</f>
        <v/>
      </c>
      <c r="AE197" s="87">
        <f>IF($D197="","",IF(OR($M197="Rejected",$M197="Withdrawn"),IF($AB197&lt;&gt;"",$AB197,IF(OR($M197="Rejected",ISNUMBER($C197)),"Applied","Wishlist")),IF($M197="",IF(ISNUMBER($C197),"Applied","Wishlist"),$M197)))</f>
        <v/>
      </c>
      <c r="AF197" s="88">
        <f>IF(AND(ISNUMBER($C197),ISNUMBER($AA197)),$AA197-$C197,"")</f>
        <v/>
      </c>
      <c r="AG197" s="87">
        <f>IF($AE197="","",IFERROR(MATCH($AE197,{"Wishlist","Applied","Screening","Interview 1","Interview 2","Final","Offer","Accepted"},0)-1,""))</f>
        <v/>
      </c>
      <c r="AH197" s="87">
        <f>IF($AC197="","",MATCH($AC197,{"FOLLOW UP REQUIRED","ACTION DUE TODAY","NO RESPONSE","DUE SOON"},0)*100000+IF(ISNUMBER($O197),$O197,IF(ISNUMBER($C197),$C197,0))+ROW()/10000)</f>
        <v/>
      </c>
      <c r="AI197" s="87">
        <f>IF(AND(ISNUMBER($AG197),$AG197&gt;=1,$AG197&lt;=6,$M197&lt;&gt;"Rejected",$M197&lt;&gt;"Withdrawn"),(10-$AG197)*100000+IF(ISNUMBER($C197),$C197,0)+ROW()/10000,"")</f>
        <v/>
      </c>
    </row>
    <row r="198">
      <c r="A198" s="80" t="n"/>
      <c r="B198" s="81" t="n"/>
      <c r="C198" s="81" t="n"/>
      <c r="D198" s="82" t="n"/>
      <c r="E198" s="82" t="n"/>
      <c r="F198" s="82" t="n"/>
      <c r="G198" s="82" t="n"/>
      <c r="H198" s="82" t="n"/>
      <c r="I198" s="83" t="n"/>
      <c r="J198" s="82" t="n"/>
      <c r="K198" s="84" t="n"/>
      <c r="L198" s="85" t="n"/>
      <c r="M198" s="82" t="n"/>
      <c r="N198" s="86" t="n"/>
      <c r="O198" s="81" t="n"/>
      <c r="P198" s="82" t="n"/>
      <c r="Q198" s="83" t="n"/>
      <c r="R198" s="82" t="n"/>
      <c r="S198" s="84" t="n"/>
      <c r="T198" s="84" t="n"/>
      <c r="U198" s="82" t="n"/>
      <c r="V198" s="86" t="n"/>
      <c r="W198" s="86" t="n"/>
      <c r="X198" s="86" t="n"/>
      <c r="Y198" s="81" t="n"/>
      <c r="Z198" s="82" t="n"/>
      <c r="AA198" s="81" t="n"/>
      <c r="AB198" s="82" t="n"/>
      <c r="AC198" s="87">
        <f>IF(OR($D198="",$M198="Rejected",$M198="Withdrawn",$M198="Accepted"),"",IF(ISNUMBER($O198),IF(INT($O198)&lt;TODAY(),"FOLLOW UP REQUIRED",IF(INT($O198)=TODAY(),"ACTION DUE TODAY",IF(INT($O198)-TODAY()&lt;=Set_DueSoonDays,"DUE SOON",""))),IF(AND($M198="Applied",$AA198=""),IF(ISNUMBER($C198),IF(TODAY()-$C198&gt;=Set_FollowUpDays,"NO RESPONSE",""),""),"")))</f>
        <v/>
      </c>
      <c r="AD198" s="87">
        <f>IF(ISNUMBER($L198),IF($L198&gt;=90,"Excellent Match",IF($L198&gt;=75,"Strong Match",IF($L198&gt;=60,"Moderate Match","Low Match"))),"")</f>
        <v/>
      </c>
      <c r="AE198" s="87">
        <f>IF($D198="","",IF(OR($M198="Rejected",$M198="Withdrawn"),IF($AB198&lt;&gt;"",$AB198,IF(OR($M198="Rejected",ISNUMBER($C198)),"Applied","Wishlist")),IF($M198="",IF(ISNUMBER($C198),"Applied","Wishlist"),$M198)))</f>
        <v/>
      </c>
      <c r="AF198" s="88">
        <f>IF(AND(ISNUMBER($C198),ISNUMBER($AA198)),$AA198-$C198,"")</f>
        <v/>
      </c>
      <c r="AG198" s="87">
        <f>IF($AE198="","",IFERROR(MATCH($AE198,{"Wishlist","Applied","Screening","Interview 1","Interview 2","Final","Offer","Accepted"},0)-1,""))</f>
        <v/>
      </c>
      <c r="AH198" s="87">
        <f>IF($AC198="","",MATCH($AC198,{"FOLLOW UP REQUIRED","ACTION DUE TODAY","NO RESPONSE","DUE SOON"},0)*100000+IF(ISNUMBER($O198),$O198,IF(ISNUMBER($C198),$C198,0))+ROW()/10000)</f>
        <v/>
      </c>
      <c r="AI198" s="87">
        <f>IF(AND(ISNUMBER($AG198),$AG198&gt;=1,$AG198&lt;=6,$M198&lt;&gt;"Rejected",$M198&lt;&gt;"Withdrawn"),(10-$AG198)*100000+IF(ISNUMBER($C198),$C198,0)+ROW()/10000,"")</f>
        <v/>
      </c>
    </row>
    <row r="199">
      <c r="A199" s="80" t="n"/>
      <c r="B199" s="81" t="n"/>
      <c r="C199" s="81" t="n"/>
      <c r="D199" s="82" t="n"/>
      <c r="E199" s="82" t="n"/>
      <c r="F199" s="82" t="n"/>
      <c r="G199" s="82" t="n"/>
      <c r="H199" s="82" t="n"/>
      <c r="I199" s="83" t="n"/>
      <c r="J199" s="82" t="n"/>
      <c r="K199" s="84" t="n"/>
      <c r="L199" s="85" t="n"/>
      <c r="M199" s="82" t="n"/>
      <c r="N199" s="86" t="n"/>
      <c r="O199" s="81" t="n"/>
      <c r="P199" s="82" t="n"/>
      <c r="Q199" s="83" t="n"/>
      <c r="R199" s="82" t="n"/>
      <c r="S199" s="84" t="n"/>
      <c r="T199" s="84" t="n"/>
      <c r="U199" s="82" t="n"/>
      <c r="V199" s="86" t="n"/>
      <c r="W199" s="86" t="n"/>
      <c r="X199" s="86" t="n"/>
      <c r="Y199" s="81" t="n"/>
      <c r="Z199" s="82" t="n"/>
      <c r="AA199" s="81" t="n"/>
      <c r="AB199" s="82" t="n"/>
      <c r="AC199" s="87">
        <f>IF(OR($D199="",$M199="Rejected",$M199="Withdrawn",$M199="Accepted"),"",IF(ISNUMBER($O199),IF(INT($O199)&lt;TODAY(),"FOLLOW UP REQUIRED",IF(INT($O199)=TODAY(),"ACTION DUE TODAY",IF(INT($O199)-TODAY()&lt;=Set_DueSoonDays,"DUE SOON",""))),IF(AND($M199="Applied",$AA199=""),IF(ISNUMBER($C199),IF(TODAY()-$C199&gt;=Set_FollowUpDays,"NO RESPONSE",""),""),"")))</f>
        <v/>
      </c>
      <c r="AD199" s="87">
        <f>IF(ISNUMBER($L199),IF($L199&gt;=90,"Excellent Match",IF($L199&gt;=75,"Strong Match",IF($L199&gt;=60,"Moderate Match","Low Match"))),"")</f>
        <v/>
      </c>
      <c r="AE199" s="87">
        <f>IF($D199="","",IF(OR($M199="Rejected",$M199="Withdrawn"),IF($AB199&lt;&gt;"",$AB199,IF(OR($M199="Rejected",ISNUMBER($C199)),"Applied","Wishlist")),IF($M199="",IF(ISNUMBER($C199),"Applied","Wishlist"),$M199)))</f>
        <v/>
      </c>
      <c r="AF199" s="88">
        <f>IF(AND(ISNUMBER($C199),ISNUMBER($AA199)),$AA199-$C199,"")</f>
        <v/>
      </c>
      <c r="AG199" s="87">
        <f>IF($AE199="","",IFERROR(MATCH($AE199,{"Wishlist","Applied","Screening","Interview 1","Interview 2","Final","Offer","Accepted"},0)-1,""))</f>
        <v/>
      </c>
      <c r="AH199" s="87">
        <f>IF($AC199="","",MATCH($AC199,{"FOLLOW UP REQUIRED","ACTION DUE TODAY","NO RESPONSE","DUE SOON"},0)*100000+IF(ISNUMBER($O199),$O199,IF(ISNUMBER($C199),$C199,0))+ROW()/10000)</f>
        <v/>
      </c>
      <c r="AI199" s="87">
        <f>IF(AND(ISNUMBER($AG199),$AG199&gt;=1,$AG199&lt;=6,$M199&lt;&gt;"Rejected",$M199&lt;&gt;"Withdrawn"),(10-$AG199)*100000+IF(ISNUMBER($C199),$C199,0)+ROW()/10000,"")</f>
        <v/>
      </c>
    </row>
    <row r="200">
      <c r="A200" s="80" t="n"/>
      <c r="B200" s="81" t="n"/>
      <c r="C200" s="81" t="n"/>
      <c r="D200" s="82" t="n"/>
      <c r="E200" s="82" t="n"/>
      <c r="F200" s="82" t="n"/>
      <c r="G200" s="82" t="n"/>
      <c r="H200" s="82" t="n"/>
      <c r="I200" s="83" t="n"/>
      <c r="J200" s="82" t="n"/>
      <c r="K200" s="84" t="n"/>
      <c r="L200" s="85" t="n"/>
      <c r="M200" s="82" t="n"/>
      <c r="N200" s="86" t="n"/>
      <c r="O200" s="81" t="n"/>
      <c r="P200" s="82" t="n"/>
      <c r="Q200" s="83" t="n"/>
      <c r="R200" s="82" t="n"/>
      <c r="S200" s="84" t="n"/>
      <c r="T200" s="84" t="n"/>
      <c r="U200" s="82" t="n"/>
      <c r="V200" s="86" t="n"/>
      <c r="W200" s="86" t="n"/>
      <c r="X200" s="86" t="n"/>
      <c r="Y200" s="81" t="n"/>
      <c r="Z200" s="82" t="n"/>
      <c r="AA200" s="81" t="n"/>
      <c r="AB200" s="82" t="n"/>
      <c r="AC200" s="87">
        <f>IF(OR($D200="",$M200="Rejected",$M200="Withdrawn",$M200="Accepted"),"",IF(ISNUMBER($O200),IF(INT($O200)&lt;TODAY(),"FOLLOW UP REQUIRED",IF(INT($O200)=TODAY(),"ACTION DUE TODAY",IF(INT($O200)-TODAY()&lt;=Set_DueSoonDays,"DUE SOON",""))),IF(AND($M200="Applied",$AA200=""),IF(ISNUMBER($C200),IF(TODAY()-$C200&gt;=Set_FollowUpDays,"NO RESPONSE",""),""),"")))</f>
        <v/>
      </c>
      <c r="AD200" s="87">
        <f>IF(ISNUMBER($L200),IF($L200&gt;=90,"Excellent Match",IF($L200&gt;=75,"Strong Match",IF($L200&gt;=60,"Moderate Match","Low Match"))),"")</f>
        <v/>
      </c>
      <c r="AE200" s="87">
        <f>IF($D200="","",IF(OR($M200="Rejected",$M200="Withdrawn"),IF($AB200&lt;&gt;"",$AB200,IF(OR($M200="Rejected",ISNUMBER($C200)),"Applied","Wishlist")),IF($M200="",IF(ISNUMBER($C200),"Applied","Wishlist"),$M200)))</f>
        <v/>
      </c>
      <c r="AF200" s="88">
        <f>IF(AND(ISNUMBER($C200),ISNUMBER($AA200)),$AA200-$C200,"")</f>
        <v/>
      </c>
      <c r="AG200" s="87">
        <f>IF($AE200="","",IFERROR(MATCH($AE200,{"Wishlist","Applied","Screening","Interview 1","Interview 2","Final","Offer","Accepted"},0)-1,""))</f>
        <v/>
      </c>
      <c r="AH200" s="87">
        <f>IF($AC200="","",MATCH($AC200,{"FOLLOW UP REQUIRED","ACTION DUE TODAY","NO RESPONSE","DUE SOON"},0)*100000+IF(ISNUMBER($O200),$O200,IF(ISNUMBER($C200),$C200,0))+ROW()/10000)</f>
        <v/>
      </c>
      <c r="AI200" s="87">
        <f>IF(AND(ISNUMBER($AG200),$AG200&gt;=1,$AG200&lt;=6,$M200&lt;&gt;"Rejected",$M200&lt;&gt;"Withdrawn"),(10-$AG200)*100000+IF(ISNUMBER($C200),$C200,0)+ROW()/10000,"")</f>
        <v/>
      </c>
    </row>
    <row r="201">
      <c r="A201" s="80" t="n"/>
      <c r="B201" s="81" t="n"/>
      <c r="C201" s="81" t="n"/>
      <c r="D201" s="82" t="n"/>
      <c r="E201" s="82" t="n"/>
      <c r="F201" s="82" t="n"/>
      <c r="G201" s="82" t="n"/>
      <c r="H201" s="82" t="n"/>
      <c r="I201" s="83" t="n"/>
      <c r="J201" s="82" t="n"/>
      <c r="K201" s="84" t="n"/>
      <c r="L201" s="85" t="n"/>
      <c r="M201" s="82" t="n"/>
      <c r="N201" s="86" t="n"/>
      <c r="O201" s="81" t="n"/>
      <c r="P201" s="82" t="n"/>
      <c r="Q201" s="83" t="n"/>
      <c r="R201" s="82" t="n"/>
      <c r="S201" s="84" t="n"/>
      <c r="T201" s="84" t="n"/>
      <c r="U201" s="82" t="n"/>
      <c r="V201" s="86" t="n"/>
      <c r="W201" s="86" t="n"/>
      <c r="X201" s="86" t="n"/>
      <c r="Y201" s="81" t="n"/>
      <c r="Z201" s="82" t="n"/>
      <c r="AA201" s="81" t="n"/>
      <c r="AB201" s="82" t="n"/>
      <c r="AC201" s="87">
        <f>IF(OR($D201="",$M201="Rejected",$M201="Withdrawn",$M201="Accepted"),"",IF(ISNUMBER($O201),IF(INT($O201)&lt;TODAY(),"FOLLOW UP REQUIRED",IF(INT($O201)=TODAY(),"ACTION DUE TODAY",IF(INT($O201)-TODAY()&lt;=Set_DueSoonDays,"DUE SOON",""))),IF(AND($M201="Applied",$AA201=""),IF(ISNUMBER($C201),IF(TODAY()-$C201&gt;=Set_FollowUpDays,"NO RESPONSE",""),""),"")))</f>
        <v/>
      </c>
      <c r="AD201" s="87">
        <f>IF(ISNUMBER($L201),IF($L201&gt;=90,"Excellent Match",IF($L201&gt;=75,"Strong Match",IF($L201&gt;=60,"Moderate Match","Low Match"))),"")</f>
        <v/>
      </c>
      <c r="AE201" s="87">
        <f>IF($D201="","",IF(OR($M201="Rejected",$M201="Withdrawn"),IF($AB201&lt;&gt;"",$AB201,IF(OR($M201="Rejected",ISNUMBER($C201)),"Applied","Wishlist")),IF($M201="",IF(ISNUMBER($C201),"Applied","Wishlist"),$M201)))</f>
        <v/>
      </c>
      <c r="AF201" s="88">
        <f>IF(AND(ISNUMBER($C201),ISNUMBER($AA201)),$AA201-$C201,"")</f>
        <v/>
      </c>
      <c r="AG201" s="87">
        <f>IF($AE201="","",IFERROR(MATCH($AE201,{"Wishlist","Applied","Screening","Interview 1","Interview 2","Final","Offer","Accepted"},0)-1,""))</f>
        <v/>
      </c>
      <c r="AH201" s="87">
        <f>IF($AC201="","",MATCH($AC201,{"FOLLOW UP REQUIRED","ACTION DUE TODAY","NO RESPONSE","DUE SOON"},0)*100000+IF(ISNUMBER($O201),$O201,IF(ISNUMBER($C201),$C201,0))+ROW()/10000)</f>
        <v/>
      </c>
      <c r="AI201" s="87">
        <f>IF(AND(ISNUMBER($AG201),$AG201&gt;=1,$AG201&lt;=6,$M201&lt;&gt;"Rejected",$M201&lt;&gt;"Withdrawn"),(10-$AG201)*100000+IF(ISNUMBER($C201),$C201,0)+ROW()/10000,"")</f>
        <v/>
      </c>
    </row>
    <row r="202">
      <c r="A202" s="80" t="n"/>
      <c r="B202" s="81" t="n"/>
      <c r="C202" s="81" t="n"/>
      <c r="D202" s="82" t="n"/>
      <c r="E202" s="82" t="n"/>
      <c r="F202" s="82" t="n"/>
      <c r="G202" s="82" t="n"/>
      <c r="H202" s="82" t="n"/>
      <c r="I202" s="83" t="n"/>
      <c r="J202" s="82" t="n"/>
      <c r="K202" s="84" t="n"/>
      <c r="L202" s="85" t="n"/>
      <c r="M202" s="82" t="n"/>
      <c r="N202" s="86" t="n"/>
      <c r="O202" s="81" t="n"/>
      <c r="P202" s="82" t="n"/>
      <c r="Q202" s="83" t="n"/>
      <c r="R202" s="82" t="n"/>
      <c r="S202" s="84" t="n"/>
      <c r="T202" s="84" t="n"/>
      <c r="U202" s="82" t="n"/>
      <c r="V202" s="86" t="n"/>
      <c r="W202" s="86" t="n"/>
      <c r="X202" s="86" t="n"/>
      <c r="Y202" s="81" t="n"/>
      <c r="Z202" s="82" t="n"/>
      <c r="AA202" s="81" t="n"/>
      <c r="AB202" s="82" t="n"/>
      <c r="AC202" s="87">
        <f>IF(OR($D202="",$M202="Rejected",$M202="Withdrawn",$M202="Accepted"),"",IF(ISNUMBER($O202),IF(INT($O202)&lt;TODAY(),"FOLLOW UP REQUIRED",IF(INT($O202)=TODAY(),"ACTION DUE TODAY",IF(INT($O202)-TODAY()&lt;=Set_DueSoonDays,"DUE SOON",""))),IF(AND($M202="Applied",$AA202=""),IF(ISNUMBER($C202),IF(TODAY()-$C202&gt;=Set_FollowUpDays,"NO RESPONSE",""),""),"")))</f>
        <v/>
      </c>
      <c r="AD202" s="87">
        <f>IF(ISNUMBER($L202),IF($L202&gt;=90,"Excellent Match",IF($L202&gt;=75,"Strong Match",IF($L202&gt;=60,"Moderate Match","Low Match"))),"")</f>
        <v/>
      </c>
      <c r="AE202" s="87">
        <f>IF($D202="","",IF(OR($M202="Rejected",$M202="Withdrawn"),IF($AB202&lt;&gt;"",$AB202,IF(OR($M202="Rejected",ISNUMBER($C202)),"Applied","Wishlist")),IF($M202="",IF(ISNUMBER($C202),"Applied","Wishlist"),$M202)))</f>
        <v/>
      </c>
      <c r="AF202" s="88">
        <f>IF(AND(ISNUMBER($C202),ISNUMBER($AA202)),$AA202-$C202,"")</f>
        <v/>
      </c>
      <c r="AG202" s="87">
        <f>IF($AE202="","",IFERROR(MATCH($AE202,{"Wishlist","Applied","Screening","Interview 1","Interview 2","Final","Offer","Accepted"},0)-1,""))</f>
        <v/>
      </c>
      <c r="AH202" s="87">
        <f>IF($AC202="","",MATCH($AC202,{"FOLLOW UP REQUIRED","ACTION DUE TODAY","NO RESPONSE","DUE SOON"},0)*100000+IF(ISNUMBER($O202),$O202,IF(ISNUMBER($C202),$C202,0))+ROW()/10000)</f>
        <v/>
      </c>
      <c r="AI202" s="87">
        <f>IF(AND(ISNUMBER($AG202),$AG202&gt;=1,$AG202&lt;=6,$M202&lt;&gt;"Rejected",$M202&lt;&gt;"Withdrawn"),(10-$AG202)*100000+IF(ISNUMBER($C202),$C202,0)+ROW()/10000,"")</f>
        <v/>
      </c>
    </row>
    <row r="203">
      <c r="A203" s="80" t="n"/>
      <c r="B203" s="81" t="n"/>
      <c r="C203" s="81" t="n"/>
      <c r="D203" s="82" t="n"/>
      <c r="E203" s="82" t="n"/>
      <c r="F203" s="82" t="n"/>
      <c r="G203" s="82" t="n"/>
      <c r="H203" s="82" t="n"/>
      <c r="I203" s="83" t="n"/>
      <c r="J203" s="82" t="n"/>
      <c r="K203" s="84" t="n"/>
      <c r="L203" s="85" t="n"/>
      <c r="M203" s="82" t="n"/>
      <c r="N203" s="86" t="n"/>
      <c r="O203" s="81" t="n"/>
      <c r="P203" s="82" t="n"/>
      <c r="Q203" s="83" t="n"/>
      <c r="R203" s="82" t="n"/>
      <c r="S203" s="84" t="n"/>
      <c r="T203" s="84" t="n"/>
      <c r="U203" s="82" t="n"/>
      <c r="V203" s="86" t="n"/>
      <c r="W203" s="86" t="n"/>
      <c r="X203" s="86" t="n"/>
      <c r="Y203" s="81" t="n"/>
      <c r="Z203" s="82" t="n"/>
      <c r="AA203" s="81" t="n"/>
      <c r="AB203" s="82" t="n"/>
      <c r="AC203" s="87">
        <f>IF(OR($D203="",$M203="Rejected",$M203="Withdrawn",$M203="Accepted"),"",IF(ISNUMBER($O203),IF(INT($O203)&lt;TODAY(),"FOLLOW UP REQUIRED",IF(INT($O203)=TODAY(),"ACTION DUE TODAY",IF(INT($O203)-TODAY()&lt;=Set_DueSoonDays,"DUE SOON",""))),IF(AND($M203="Applied",$AA203=""),IF(ISNUMBER($C203),IF(TODAY()-$C203&gt;=Set_FollowUpDays,"NO RESPONSE",""),""),"")))</f>
        <v/>
      </c>
      <c r="AD203" s="87">
        <f>IF(ISNUMBER($L203),IF($L203&gt;=90,"Excellent Match",IF($L203&gt;=75,"Strong Match",IF($L203&gt;=60,"Moderate Match","Low Match"))),"")</f>
        <v/>
      </c>
      <c r="AE203" s="87">
        <f>IF($D203="","",IF(OR($M203="Rejected",$M203="Withdrawn"),IF($AB203&lt;&gt;"",$AB203,IF(OR($M203="Rejected",ISNUMBER($C203)),"Applied","Wishlist")),IF($M203="",IF(ISNUMBER($C203),"Applied","Wishlist"),$M203)))</f>
        <v/>
      </c>
      <c r="AF203" s="88">
        <f>IF(AND(ISNUMBER($C203),ISNUMBER($AA203)),$AA203-$C203,"")</f>
        <v/>
      </c>
      <c r="AG203" s="87">
        <f>IF($AE203="","",IFERROR(MATCH($AE203,{"Wishlist","Applied","Screening","Interview 1","Interview 2","Final","Offer","Accepted"},0)-1,""))</f>
        <v/>
      </c>
      <c r="AH203" s="87">
        <f>IF($AC203="","",MATCH($AC203,{"FOLLOW UP REQUIRED","ACTION DUE TODAY","NO RESPONSE","DUE SOON"},0)*100000+IF(ISNUMBER($O203),$O203,IF(ISNUMBER($C203),$C203,0))+ROW()/10000)</f>
        <v/>
      </c>
      <c r="AI203" s="87">
        <f>IF(AND(ISNUMBER($AG203),$AG203&gt;=1,$AG203&lt;=6,$M203&lt;&gt;"Rejected",$M203&lt;&gt;"Withdrawn"),(10-$AG203)*100000+IF(ISNUMBER($C203),$C203,0)+ROW()/10000,"")</f>
        <v/>
      </c>
    </row>
    <row r="204">
      <c r="A204" s="80" t="n"/>
      <c r="B204" s="81" t="n"/>
      <c r="C204" s="81" t="n"/>
      <c r="D204" s="82" t="n"/>
      <c r="E204" s="82" t="n"/>
      <c r="F204" s="82" t="n"/>
      <c r="G204" s="82" t="n"/>
      <c r="H204" s="82" t="n"/>
      <c r="I204" s="83" t="n"/>
      <c r="J204" s="82" t="n"/>
      <c r="K204" s="84" t="n"/>
      <c r="L204" s="85" t="n"/>
      <c r="M204" s="82" t="n"/>
      <c r="N204" s="86" t="n"/>
      <c r="O204" s="81" t="n"/>
      <c r="P204" s="82" t="n"/>
      <c r="Q204" s="83" t="n"/>
      <c r="R204" s="82" t="n"/>
      <c r="S204" s="84" t="n"/>
      <c r="T204" s="84" t="n"/>
      <c r="U204" s="82" t="n"/>
      <c r="V204" s="86" t="n"/>
      <c r="W204" s="86" t="n"/>
      <c r="X204" s="86" t="n"/>
      <c r="Y204" s="81" t="n"/>
      <c r="Z204" s="82" t="n"/>
      <c r="AA204" s="81" t="n"/>
      <c r="AB204" s="82" t="n"/>
      <c r="AC204" s="87">
        <f>IF(OR($D204="",$M204="Rejected",$M204="Withdrawn",$M204="Accepted"),"",IF(ISNUMBER($O204),IF(INT($O204)&lt;TODAY(),"FOLLOW UP REQUIRED",IF(INT($O204)=TODAY(),"ACTION DUE TODAY",IF(INT($O204)-TODAY()&lt;=Set_DueSoonDays,"DUE SOON",""))),IF(AND($M204="Applied",$AA204=""),IF(ISNUMBER($C204),IF(TODAY()-$C204&gt;=Set_FollowUpDays,"NO RESPONSE",""),""),"")))</f>
        <v/>
      </c>
      <c r="AD204" s="87">
        <f>IF(ISNUMBER($L204),IF($L204&gt;=90,"Excellent Match",IF($L204&gt;=75,"Strong Match",IF($L204&gt;=60,"Moderate Match","Low Match"))),"")</f>
        <v/>
      </c>
      <c r="AE204" s="87">
        <f>IF($D204="","",IF(OR($M204="Rejected",$M204="Withdrawn"),IF($AB204&lt;&gt;"",$AB204,IF(OR($M204="Rejected",ISNUMBER($C204)),"Applied","Wishlist")),IF($M204="",IF(ISNUMBER($C204),"Applied","Wishlist"),$M204)))</f>
        <v/>
      </c>
      <c r="AF204" s="88">
        <f>IF(AND(ISNUMBER($C204),ISNUMBER($AA204)),$AA204-$C204,"")</f>
        <v/>
      </c>
      <c r="AG204" s="87">
        <f>IF($AE204="","",IFERROR(MATCH($AE204,{"Wishlist","Applied","Screening","Interview 1","Interview 2","Final","Offer","Accepted"},0)-1,""))</f>
        <v/>
      </c>
      <c r="AH204" s="87">
        <f>IF($AC204="","",MATCH($AC204,{"FOLLOW UP REQUIRED","ACTION DUE TODAY","NO RESPONSE","DUE SOON"},0)*100000+IF(ISNUMBER($O204),$O204,IF(ISNUMBER($C204),$C204,0))+ROW()/10000)</f>
        <v/>
      </c>
      <c r="AI204" s="87">
        <f>IF(AND(ISNUMBER($AG204),$AG204&gt;=1,$AG204&lt;=6,$M204&lt;&gt;"Rejected",$M204&lt;&gt;"Withdrawn"),(10-$AG204)*100000+IF(ISNUMBER($C204),$C204,0)+ROW()/10000,"")</f>
        <v/>
      </c>
    </row>
    <row r="205">
      <c r="A205" s="80" t="n"/>
      <c r="B205" s="81" t="n"/>
      <c r="C205" s="81" t="n"/>
      <c r="D205" s="82" t="n"/>
      <c r="E205" s="82" t="n"/>
      <c r="F205" s="82" t="n"/>
      <c r="G205" s="82" t="n"/>
      <c r="H205" s="82" t="n"/>
      <c r="I205" s="83" t="n"/>
      <c r="J205" s="82" t="n"/>
      <c r="K205" s="84" t="n"/>
      <c r="L205" s="85" t="n"/>
      <c r="M205" s="82" t="n"/>
      <c r="N205" s="86" t="n"/>
      <c r="O205" s="81" t="n"/>
      <c r="P205" s="82" t="n"/>
      <c r="Q205" s="83" t="n"/>
      <c r="R205" s="82" t="n"/>
      <c r="S205" s="84" t="n"/>
      <c r="T205" s="84" t="n"/>
      <c r="U205" s="82" t="n"/>
      <c r="V205" s="86" t="n"/>
      <c r="W205" s="86" t="n"/>
      <c r="X205" s="86" t="n"/>
      <c r="Y205" s="81" t="n"/>
      <c r="Z205" s="82" t="n"/>
      <c r="AA205" s="81" t="n"/>
      <c r="AB205" s="82" t="n"/>
      <c r="AC205" s="87">
        <f>IF(OR($D205="",$M205="Rejected",$M205="Withdrawn",$M205="Accepted"),"",IF(ISNUMBER($O205),IF(INT($O205)&lt;TODAY(),"FOLLOW UP REQUIRED",IF(INT($O205)=TODAY(),"ACTION DUE TODAY",IF(INT($O205)-TODAY()&lt;=Set_DueSoonDays,"DUE SOON",""))),IF(AND($M205="Applied",$AA205=""),IF(ISNUMBER($C205),IF(TODAY()-$C205&gt;=Set_FollowUpDays,"NO RESPONSE",""),""),"")))</f>
        <v/>
      </c>
      <c r="AD205" s="87">
        <f>IF(ISNUMBER($L205),IF($L205&gt;=90,"Excellent Match",IF($L205&gt;=75,"Strong Match",IF($L205&gt;=60,"Moderate Match","Low Match"))),"")</f>
        <v/>
      </c>
      <c r="AE205" s="87">
        <f>IF($D205="","",IF(OR($M205="Rejected",$M205="Withdrawn"),IF($AB205&lt;&gt;"",$AB205,IF(OR($M205="Rejected",ISNUMBER($C205)),"Applied","Wishlist")),IF($M205="",IF(ISNUMBER($C205),"Applied","Wishlist"),$M205)))</f>
        <v/>
      </c>
      <c r="AF205" s="88">
        <f>IF(AND(ISNUMBER($C205),ISNUMBER($AA205)),$AA205-$C205,"")</f>
        <v/>
      </c>
      <c r="AG205" s="87">
        <f>IF($AE205="","",IFERROR(MATCH($AE205,{"Wishlist","Applied","Screening","Interview 1","Interview 2","Final","Offer","Accepted"},0)-1,""))</f>
        <v/>
      </c>
      <c r="AH205" s="87">
        <f>IF($AC205="","",MATCH($AC205,{"FOLLOW UP REQUIRED","ACTION DUE TODAY","NO RESPONSE","DUE SOON"},0)*100000+IF(ISNUMBER($O205),$O205,IF(ISNUMBER($C205),$C205,0))+ROW()/10000)</f>
        <v/>
      </c>
      <c r="AI205" s="87">
        <f>IF(AND(ISNUMBER($AG205),$AG205&gt;=1,$AG205&lt;=6,$M205&lt;&gt;"Rejected",$M205&lt;&gt;"Withdrawn"),(10-$AG205)*100000+IF(ISNUMBER($C205),$C205,0)+ROW()/10000,"")</f>
        <v/>
      </c>
    </row>
    <row r="206">
      <c r="A206" s="80" t="n"/>
      <c r="B206" s="81" t="n"/>
      <c r="C206" s="81" t="n"/>
      <c r="D206" s="82" t="n"/>
      <c r="E206" s="82" t="n"/>
      <c r="F206" s="82" t="n"/>
      <c r="G206" s="82" t="n"/>
      <c r="H206" s="82" t="n"/>
      <c r="I206" s="83" t="n"/>
      <c r="J206" s="82" t="n"/>
      <c r="K206" s="84" t="n"/>
      <c r="L206" s="85" t="n"/>
      <c r="M206" s="82" t="n"/>
      <c r="N206" s="86" t="n"/>
      <c r="O206" s="81" t="n"/>
      <c r="P206" s="82" t="n"/>
      <c r="Q206" s="83" t="n"/>
      <c r="R206" s="82" t="n"/>
      <c r="S206" s="84" t="n"/>
      <c r="T206" s="84" t="n"/>
      <c r="U206" s="82" t="n"/>
      <c r="V206" s="86" t="n"/>
      <c r="W206" s="86" t="n"/>
      <c r="X206" s="86" t="n"/>
      <c r="Y206" s="81" t="n"/>
      <c r="Z206" s="82" t="n"/>
      <c r="AA206" s="81" t="n"/>
      <c r="AB206" s="82" t="n"/>
      <c r="AC206" s="87">
        <f>IF(OR($D206="",$M206="Rejected",$M206="Withdrawn",$M206="Accepted"),"",IF(ISNUMBER($O206),IF(INT($O206)&lt;TODAY(),"FOLLOW UP REQUIRED",IF(INT($O206)=TODAY(),"ACTION DUE TODAY",IF(INT($O206)-TODAY()&lt;=Set_DueSoonDays,"DUE SOON",""))),IF(AND($M206="Applied",$AA206=""),IF(ISNUMBER($C206),IF(TODAY()-$C206&gt;=Set_FollowUpDays,"NO RESPONSE",""),""),"")))</f>
        <v/>
      </c>
      <c r="AD206" s="87">
        <f>IF(ISNUMBER($L206),IF($L206&gt;=90,"Excellent Match",IF($L206&gt;=75,"Strong Match",IF($L206&gt;=60,"Moderate Match","Low Match"))),"")</f>
        <v/>
      </c>
      <c r="AE206" s="87">
        <f>IF($D206="","",IF(OR($M206="Rejected",$M206="Withdrawn"),IF($AB206&lt;&gt;"",$AB206,IF(OR($M206="Rejected",ISNUMBER($C206)),"Applied","Wishlist")),IF($M206="",IF(ISNUMBER($C206),"Applied","Wishlist"),$M206)))</f>
        <v/>
      </c>
      <c r="AF206" s="88">
        <f>IF(AND(ISNUMBER($C206),ISNUMBER($AA206)),$AA206-$C206,"")</f>
        <v/>
      </c>
      <c r="AG206" s="87">
        <f>IF($AE206="","",IFERROR(MATCH($AE206,{"Wishlist","Applied","Screening","Interview 1","Interview 2","Final","Offer","Accepted"},0)-1,""))</f>
        <v/>
      </c>
      <c r="AH206" s="87">
        <f>IF($AC206="","",MATCH($AC206,{"FOLLOW UP REQUIRED","ACTION DUE TODAY","NO RESPONSE","DUE SOON"},0)*100000+IF(ISNUMBER($O206),$O206,IF(ISNUMBER($C206),$C206,0))+ROW()/10000)</f>
        <v/>
      </c>
      <c r="AI206" s="87">
        <f>IF(AND(ISNUMBER($AG206),$AG206&gt;=1,$AG206&lt;=6,$M206&lt;&gt;"Rejected",$M206&lt;&gt;"Withdrawn"),(10-$AG206)*100000+IF(ISNUMBER($C206),$C206,0)+ROW()/10000,"")</f>
        <v/>
      </c>
    </row>
    <row r="207">
      <c r="A207" s="80" t="n"/>
      <c r="B207" s="81" t="n"/>
      <c r="C207" s="81" t="n"/>
      <c r="D207" s="82" t="n"/>
      <c r="E207" s="82" t="n"/>
      <c r="F207" s="82" t="n"/>
      <c r="G207" s="82" t="n"/>
      <c r="H207" s="82" t="n"/>
      <c r="I207" s="83" t="n"/>
      <c r="J207" s="82" t="n"/>
      <c r="K207" s="84" t="n"/>
      <c r="L207" s="85" t="n"/>
      <c r="M207" s="82" t="n"/>
      <c r="N207" s="86" t="n"/>
      <c r="O207" s="81" t="n"/>
      <c r="P207" s="82" t="n"/>
      <c r="Q207" s="83" t="n"/>
      <c r="R207" s="82" t="n"/>
      <c r="S207" s="84" t="n"/>
      <c r="T207" s="84" t="n"/>
      <c r="U207" s="82" t="n"/>
      <c r="V207" s="86" t="n"/>
      <c r="W207" s="86" t="n"/>
      <c r="X207" s="86" t="n"/>
      <c r="Y207" s="81" t="n"/>
      <c r="Z207" s="82" t="n"/>
      <c r="AA207" s="81" t="n"/>
      <c r="AB207" s="82" t="n"/>
      <c r="AC207" s="87">
        <f>IF(OR($D207="",$M207="Rejected",$M207="Withdrawn",$M207="Accepted"),"",IF(ISNUMBER($O207),IF(INT($O207)&lt;TODAY(),"FOLLOW UP REQUIRED",IF(INT($O207)=TODAY(),"ACTION DUE TODAY",IF(INT($O207)-TODAY()&lt;=Set_DueSoonDays,"DUE SOON",""))),IF(AND($M207="Applied",$AA207=""),IF(ISNUMBER($C207),IF(TODAY()-$C207&gt;=Set_FollowUpDays,"NO RESPONSE",""),""),"")))</f>
        <v/>
      </c>
      <c r="AD207" s="87">
        <f>IF(ISNUMBER($L207),IF($L207&gt;=90,"Excellent Match",IF($L207&gt;=75,"Strong Match",IF($L207&gt;=60,"Moderate Match","Low Match"))),"")</f>
        <v/>
      </c>
      <c r="AE207" s="87">
        <f>IF($D207="","",IF(OR($M207="Rejected",$M207="Withdrawn"),IF($AB207&lt;&gt;"",$AB207,IF(OR($M207="Rejected",ISNUMBER($C207)),"Applied","Wishlist")),IF($M207="",IF(ISNUMBER($C207),"Applied","Wishlist"),$M207)))</f>
        <v/>
      </c>
      <c r="AF207" s="88">
        <f>IF(AND(ISNUMBER($C207),ISNUMBER($AA207)),$AA207-$C207,"")</f>
        <v/>
      </c>
      <c r="AG207" s="87">
        <f>IF($AE207="","",IFERROR(MATCH($AE207,{"Wishlist","Applied","Screening","Interview 1","Interview 2","Final","Offer","Accepted"},0)-1,""))</f>
        <v/>
      </c>
      <c r="AH207" s="87">
        <f>IF($AC207="","",MATCH($AC207,{"FOLLOW UP REQUIRED","ACTION DUE TODAY","NO RESPONSE","DUE SOON"},0)*100000+IF(ISNUMBER($O207),$O207,IF(ISNUMBER($C207),$C207,0))+ROW()/10000)</f>
        <v/>
      </c>
      <c r="AI207" s="87">
        <f>IF(AND(ISNUMBER($AG207),$AG207&gt;=1,$AG207&lt;=6,$M207&lt;&gt;"Rejected",$M207&lt;&gt;"Withdrawn"),(10-$AG207)*100000+IF(ISNUMBER($C207),$C207,0)+ROW()/10000,"")</f>
        <v/>
      </c>
    </row>
    <row r="208">
      <c r="A208" s="80" t="n"/>
      <c r="B208" s="81" t="n"/>
      <c r="C208" s="81" t="n"/>
      <c r="D208" s="82" t="n"/>
      <c r="E208" s="82" t="n"/>
      <c r="F208" s="82" t="n"/>
      <c r="G208" s="82" t="n"/>
      <c r="H208" s="82" t="n"/>
      <c r="I208" s="83" t="n"/>
      <c r="J208" s="82" t="n"/>
      <c r="K208" s="84" t="n"/>
      <c r="L208" s="85" t="n"/>
      <c r="M208" s="82" t="n"/>
      <c r="N208" s="86" t="n"/>
      <c r="O208" s="81" t="n"/>
      <c r="P208" s="82" t="n"/>
      <c r="Q208" s="83" t="n"/>
      <c r="R208" s="82" t="n"/>
      <c r="S208" s="84" t="n"/>
      <c r="T208" s="84" t="n"/>
      <c r="U208" s="82" t="n"/>
      <c r="V208" s="86" t="n"/>
      <c r="W208" s="86" t="n"/>
      <c r="X208" s="86" t="n"/>
      <c r="Y208" s="81" t="n"/>
      <c r="Z208" s="82" t="n"/>
      <c r="AA208" s="81" t="n"/>
      <c r="AB208" s="82" t="n"/>
      <c r="AC208" s="87">
        <f>IF(OR($D208="",$M208="Rejected",$M208="Withdrawn",$M208="Accepted"),"",IF(ISNUMBER($O208),IF(INT($O208)&lt;TODAY(),"FOLLOW UP REQUIRED",IF(INT($O208)=TODAY(),"ACTION DUE TODAY",IF(INT($O208)-TODAY()&lt;=Set_DueSoonDays,"DUE SOON",""))),IF(AND($M208="Applied",$AA208=""),IF(ISNUMBER($C208),IF(TODAY()-$C208&gt;=Set_FollowUpDays,"NO RESPONSE",""),""),"")))</f>
        <v/>
      </c>
      <c r="AD208" s="87">
        <f>IF(ISNUMBER($L208),IF($L208&gt;=90,"Excellent Match",IF($L208&gt;=75,"Strong Match",IF($L208&gt;=60,"Moderate Match","Low Match"))),"")</f>
        <v/>
      </c>
      <c r="AE208" s="87">
        <f>IF($D208="","",IF(OR($M208="Rejected",$M208="Withdrawn"),IF($AB208&lt;&gt;"",$AB208,IF(OR($M208="Rejected",ISNUMBER($C208)),"Applied","Wishlist")),IF($M208="",IF(ISNUMBER($C208),"Applied","Wishlist"),$M208)))</f>
        <v/>
      </c>
      <c r="AF208" s="88">
        <f>IF(AND(ISNUMBER($C208),ISNUMBER($AA208)),$AA208-$C208,"")</f>
        <v/>
      </c>
      <c r="AG208" s="87">
        <f>IF($AE208="","",IFERROR(MATCH($AE208,{"Wishlist","Applied","Screening","Interview 1","Interview 2","Final","Offer","Accepted"},0)-1,""))</f>
        <v/>
      </c>
      <c r="AH208" s="87">
        <f>IF($AC208="","",MATCH($AC208,{"FOLLOW UP REQUIRED","ACTION DUE TODAY","NO RESPONSE","DUE SOON"},0)*100000+IF(ISNUMBER($O208),$O208,IF(ISNUMBER($C208),$C208,0))+ROW()/10000)</f>
        <v/>
      </c>
      <c r="AI208" s="87">
        <f>IF(AND(ISNUMBER($AG208),$AG208&gt;=1,$AG208&lt;=6,$M208&lt;&gt;"Rejected",$M208&lt;&gt;"Withdrawn"),(10-$AG208)*100000+IF(ISNUMBER($C208),$C208,0)+ROW()/10000,"")</f>
        <v/>
      </c>
    </row>
    <row r="209">
      <c r="A209" s="80" t="n"/>
      <c r="B209" s="81" t="n"/>
      <c r="C209" s="81" t="n"/>
      <c r="D209" s="82" t="n"/>
      <c r="E209" s="82" t="n"/>
      <c r="F209" s="82" t="n"/>
      <c r="G209" s="82" t="n"/>
      <c r="H209" s="82" t="n"/>
      <c r="I209" s="83" t="n"/>
      <c r="J209" s="82" t="n"/>
      <c r="K209" s="84" t="n"/>
      <c r="L209" s="85" t="n"/>
      <c r="M209" s="82" t="n"/>
      <c r="N209" s="86" t="n"/>
      <c r="O209" s="81" t="n"/>
      <c r="P209" s="82" t="n"/>
      <c r="Q209" s="83" t="n"/>
      <c r="R209" s="82" t="n"/>
      <c r="S209" s="84" t="n"/>
      <c r="T209" s="84" t="n"/>
      <c r="U209" s="82" t="n"/>
      <c r="V209" s="86" t="n"/>
      <c r="W209" s="86" t="n"/>
      <c r="X209" s="86" t="n"/>
      <c r="Y209" s="81" t="n"/>
      <c r="Z209" s="82" t="n"/>
      <c r="AA209" s="81" t="n"/>
      <c r="AB209" s="82" t="n"/>
      <c r="AC209" s="87">
        <f>IF(OR($D209="",$M209="Rejected",$M209="Withdrawn",$M209="Accepted"),"",IF(ISNUMBER($O209),IF(INT($O209)&lt;TODAY(),"FOLLOW UP REQUIRED",IF(INT($O209)=TODAY(),"ACTION DUE TODAY",IF(INT($O209)-TODAY()&lt;=Set_DueSoonDays,"DUE SOON",""))),IF(AND($M209="Applied",$AA209=""),IF(ISNUMBER($C209),IF(TODAY()-$C209&gt;=Set_FollowUpDays,"NO RESPONSE",""),""),"")))</f>
        <v/>
      </c>
      <c r="AD209" s="87">
        <f>IF(ISNUMBER($L209),IF($L209&gt;=90,"Excellent Match",IF($L209&gt;=75,"Strong Match",IF($L209&gt;=60,"Moderate Match","Low Match"))),"")</f>
        <v/>
      </c>
      <c r="AE209" s="87">
        <f>IF($D209="","",IF(OR($M209="Rejected",$M209="Withdrawn"),IF($AB209&lt;&gt;"",$AB209,IF(OR($M209="Rejected",ISNUMBER($C209)),"Applied","Wishlist")),IF($M209="",IF(ISNUMBER($C209),"Applied","Wishlist"),$M209)))</f>
        <v/>
      </c>
      <c r="AF209" s="88">
        <f>IF(AND(ISNUMBER($C209),ISNUMBER($AA209)),$AA209-$C209,"")</f>
        <v/>
      </c>
      <c r="AG209" s="87">
        <f>IF($AE209="","",IFERROR(MATCH($AE209,{"Wishlist","Applied","Screening","Interview 1","Interview 2","Final","Offer","Accepted"},0)-1,""))</f>
        <v/>
      </c>
      <c r="AH209" s="87">
        <f>IF($AC209="","",MATCH($AC209,{"FOLLOW UP REQUIRED","ACTION DUE TODAY","NO RESPONSE","DUE SOON"},0)*100000+IF(ISNUMBER($O209),$O209,IF(ISNUMBER($C209),$C209,0))+ROW()/10000)</f>
        <v/>
      </c>
      <c r="AI209" s="87">
        <f>IF(AND(ISNUMBER($AG209),$AG209&gt;=1,$AG209&lt;=6,$M209&lt;&gt;"Rejected",$M209&lt;&gt;"Withdrawn"),(10-$AG209)*100000+IF(ISNUMBER($C209),$C209,0)+ROW()/10000,"")</f>
        <v/>
      </c>
    </row>
    <row r="210">
      <c r="A210" s="80" t="n"/>
      <c r="B210" s="81" t="n"/>
      <c r="C210" s="81" t="n"/>
      <c r="D210" s="82" t="n"/>
      <c r="E210" s="82" t="n"/>
      <c r="F210" s="82" t="n"/>
      <c r="G210" s="82" t="n"/>
      <c r="H210" s="82" t="n"/>
      <c r="I210" s="83" t="n"/>
      <c r="J210" s="82" t="n"/>
      <c r="K210" s="84" t="n"/>
      <c r="L210" s="85" t="n"/>
      <c r="M210" s="82" t="n"/>
      <c r="N210" s="86" t="n"/>
      <c r="O210" s="81" t="n"/>
      <c r="P210" s="82" t="n"/>
      <c r="Q210" s="83" t="n"/>
      <c r="R210" s="82" t="n"/>
      <c r="S210" s="84" t="n"/>
      <c r="T210" s="84" t="n"/>
      <c r="U210" s="82" t="n"/>
      <c r="V210" s="86" t="n"/>
      <c r="W210" s="86" t="n"/>
      <c r="X210" s="86" t="n"/>
      <c r="Y210" s="81" t="n"/>
      <c r="Z210" s="82" t="n"/>
      <c r="AA210" s="81" t="n"/>
      <c r="AB210" s="82" t="n"/>
      <c r="AC210" s="87">
        <f>IF(OR($D210="",$M210="Rejected",$M210="Withdrawn",$M210="Accepted"),"",IF(ISNUMBER($O210),IF(INT($O210)&lt;TODAY(),"FOLLOW UP REQUIRED",IF(INT($O210)=TODAY(),"ACTION DUE TODAY",IF(INT($O210)-TODAY()&lt;=Set_DueSoonDays,"DUE SOON",""))),IF(AND($M210="Applied",$AA210=""),IF(ISNUMBER($C210),IF(TODAY()-$C210&gt;=Set_FollowUpDays,"NO RESPONSE",""),""),"")))</f>
        <v/>
      </c>
      <c r="AD210" s="87">
        <f>IF(ISNUMBER($L210),IF($L210&gt;=90,"Excellent Match",IF($L210&gt;=75,"Strong Match",IF($L210&gt;=60,"Moderate Match","Low Match"))),"")</f>
        <v/>
      </c>
      <c r="AE210" s="87">
        <f>IF($D210="","",IF(OR($M210="Rejected",$M210="Withdrawn"),IF($AB210&lt;&gt;"",$AB210,IF(OR($M210="Rejected",ISNUMBER($C210)),"Applied","Wishlist")),IF($M210="",IF(ISNUMBER($C210),"Applied","Wishlist"),$M210)))</f>
        <v/>
      </c>
      <c r="AF210" s="88">
        <f>IF(AND(ISNUMBER($C210),ISNUMBER($AA210)),$AA210-$C210,"")</f>
        <v/>
      </c>
      <c r="AG210" s="87">
        <f>IF($AE210="","",IFERROR(MATCH($AE210,{"Wishlist","Applied","Screening","Interview 1","Interview 2","Final","Offer","Accepted"},0)-1,""))</f>
        <v/>
      </c>
      <c r="AH210" s="87">
        <f>IF($AC210="","",MATCH($AC210,{"FOLLOW UP REQUIRED","ACTION DUE TODAY","NO RESPONSE","DUE SOON"},0)*100000+IF(ISNUMBER($O210),$O210,IF(ISNUMBER($C210),$C210,0))+ROW()/10000)</f>
        <v/>
      </c>
      <c r="AI210" s="87">
        <f>IF(AND(ISNUMBER($AG210),$AG210&gt;=1,$AG210&lt;=6,$M210&lt;&gt;"Rejected",$M210&lt;&gt;"Withdrawn"),(10-$AG210)*100000+IF(ISNUMBER($C210),$C210,0)+ROW()/10000,"")</f>
        <v/>
      </c>
    </row>
    <row r="211">
      <c r="A211" s="80" t="n"/>
      <c r="B211" s="81" t="n"/>
      <c r="C211" s="81" t="n"/>
      <c r="D211" s="82" t="n"/>
      <c r="E211" s="82" t="n"/>
      <c r="F211" s="82" t="n"/>
      <c r="G211" s="82" t="n"/>
      <c r="H211" s="82" t="n"/>
      <c r="I211" s="83" t="n"/>
      <c r="J211" s="82" t="n"/>
      <c r="K211" s="84" t="n"/>
      <c r="L211" s="85" t="n"/>
      <c r="M211" s="82" t="n"/>
      <c r="N211" s="86" t="n"/>
      <c r="O211" s="81" t="n"/>
      <c r="P211" s="82" t="n"/>
      <c r="Q211" s="83" t="n"/>
      <c r="R211" s="82" t="n"/>
      <c r="S211" s="84" t="n"/>
      <c r="T211" s="84" t="n"/>
      <c r="U211" s="82" t="n"/>
      <c r="V211" s="86" t="n"/>
      <c r="W211" s="86" t="n"/>
      <c r="X211" s="86" t="n"/>
      <c r="Y211" s="81" t="n"/>
      <c r="Z211" s="82" t="n"/>
      <c r="AA211" s="81" t="n"/>
      <c r="AB211" s="82" t="n"/>
      <c r="AC211" s="87">
        <f>IF(OR($D211="",$M211="Rejected",$M211="Withdrawn",$M211="Accepted"),"",IF(ISNUMBER($O211),IF(INT($O211)&lt;TODAY(),"FOLLOW UP REQUIRED",IF(INT($O211)=TODAY(),"ACTION DUE TODAY",IF(INT($O211)-TODAY()&lt;=Set_DueSoonDays,"DUE SOON",""))),IF(AND($M211="Applied",$AA211=""),IF(ISNUMBER($C211),IF(TODAY()-$C211&gt;=Set_FollowUpDays,"NO RESPONSE",""),""),"")))</f>
        <v/>
      </c>
      <c r="AD211" s="87">
        <f>IF(ISNUMBER($L211),IF($L211&gt;=90,"Excellent Match",IF($L211&gt;=75,"Strong Match",IF($L211&gt;=60,"Moderate Match","Low Match"))),"")</f>
        <v/>
      </c>
      <c r="AE211" s="87">
        <f>IF($D211="","",IF(OR($M211="Rejected",$M211="Withdrawn"),IF($AB211&lt;&gt;"",$AB211,IF(OR($M211="Rejected",ISNUMBER($C211)),"Applied","Wishlist")),IF($M211="",IF(ISNUMBER($C211),"Applied","Wishlist"),$M211)))</f>
        <v/>
      </c>
      <c r="AF211" s="88">
        <f>IF(AND(ISNUMBER($C211),ISNUMBER($AA211)),$AA211-$C211,"")</f>
        <v/>
      </c>
      <c r="AG211" s="87">
        <f>IF($AE211="","",IFERROR(MATCH($AE211,{"Wishlist","Applied","Screening","Interview 1","Interview 2","Final","Offer","Accepted"},0)-1,""))</f>
        <v/>
      </c>
      <c r="AH211" s="87">
        <f>IF($AC211="","",MATCH($AC211,{"FOLLOW UP REQUIRED","ACTION DUE TODAY","NO RESPONSE","DUE SOON"},0)*100000+IF(ISNUMBER($O211),$O211,IF(ISNUMBER($C211),$C211,0))+ROW()/10000)</f>
        <v/>
      </c>
      <c r="AI211" s="87">
        <f>IF(AND(ISNUMBER($AG211),$AG211&gt;=1,$AG211&lt;=6,$M211&lt;&gt;"Rejected",$M211&lt;&gt;"Withdrawn"),(10-$AG211)*100000+IF(ISNUMBER($C211),$C211,0)+ROW()/10000,"")</f>
        <v/>
      </c>
    </row>
    <row r="212">
      <c r="A212" s="80" t="n"/>
      <c r="B212" s="81" t="n"/>
      <c r="C212" s="81" t="n"/>
      <c r="D212" s="82" t="n"/>
      <c r="E212" s="82" t="n"/>
      <c r="F212" s="82" t="n"/>
      <c r="G212" s="82" t="n"/>
      <c r="H212" s="82" t="n"/>
      <c r="I212" s="83" t="n"/>
      <c r="J212" s="82" t="n"/>
      <c r="K212" s="84" t="n"/>
      <c r="L212" s="85" t="n"/>
      <c r="M212" s="82" t="n"/>
      <c r="N212" s="86" t="n"/>
      <c r="O212" s="81" t="n"/>
      <c r="P212" s="82" t="n"/>
      <c r="Q212" s="83" t="n"/>
      <c r="R212" s="82" t="n"/>
      <c r="S212" s="84" t="n"/>
      <c r="T212" s="84" t="n"/>
      <c r="U212" s="82" t="n"/>
      <c r="V212" s="86" t="n"/>
      <c r="W212" s="86" t="n"/>
      <c r="X212" s="86" t="n"/>
      <c r="Y212" s="81" t="n"/>
      <c r="Z212" s="82" t="n"/>
      <c r="AA212" s="81" t="n"/>
      <c r="AB212" s="82" t="n"/>
      <c r="AC212" s="87">
        <f>IF(OR($D212="",$M212="Rejected",$M212="Withdrawn",$M212="Accepted"),"",IF(ISNUMBER($O212),IF(INT($O212)&lt;TODAY(),"FOLLOW UP REQUIRED",IF(INT($O212)=TODAY(),"ACTION DUE TODAY",IF(INT($O212)-TODAY()&lt;=Set_DueSoonDays,"DUE SOON",""))),IF(AND($M212="Applied",$AA212=""),IF(ISNUMBER($C212),IF(TODAY()-$C212&gt;=Set_FollowUpDays,"NO RESPONSE",""),""),"")))</f>
        <v/>
      </c>
      <c r="AD212" s="87">
        <f>IF(ISNUMBER($L212),IF($L212&gt;=90,"Excellent Match",IF($L212&gt;=75,"Strong Match",IF($L212&gt;=60,"Moderate Match","Low Match"))),"")</f>
        <v/>
      </c>
      <c r="AE212" s="87">
        <f>IF($D212="","",IF(OR($M212="Rejected",$M212="Withdrawn"),IF($AB212&lt;&gt;"",$AB212,IF(OR($M212="Rejected",ISNUMBER($C212)),"Applied","Wishlist")),IF($M212="",IF(ISNUMBER($C212),"Applied","Wishlist"),$M212)))</f>
        <v/>
      </c>
      <c r="AF212" s="88">
        <f>IF(AND(ISNUMBER($C212),ISNUMBER($AA212)),$AA212-$C212,"")</f>
        <v/>
      </c>
      <c r="AG212" s="87">
        <f>IF($AE212="","",IFERROR(MATCH($AE212,{"Wishlist","Applied","Screening","Interview 1","Interview 2","Final","Offer","Accepted"},0)-1,""))</f>
        <v/>
      </c>
      <c r="AH212" s="87">
        <f>IF($AC212="","",MATCH($AC212,{"FOLLOW UP REQUIRED","ACTION DUE TODAY","NO RESPONSE","DUE SOON"},0)*100000+IF(ISNUMBER($O212),$O212,IF(ISNUMBER($C212),$C212,0))+ROW()/10000)</f>
        <v/>
      </c>
      <c r="AI212" s="87">
        <f>IF(AND(ISNUMBER($AG212),$AG212&gt;=1,$AG212&lt;=6,$M212&lt;&gt;"Rejected",$M212&lt;&gt;"Withdrawn"),(10-$AG212)*100000+IF(ISNUMBER($C212),$C212,0)+ROW()/10000,"")</f>
        <v/>
      </c>
    </row>
    <row r="213">
      <c r="A213" s="80" t="n"/>
      <c r="B213" s="81" t="n"/>
      <c r="C213" s="81" t="n"/>
      <c r="D213" s="82" t="n"/>
      <c r="E213" s="82" t="n"/>
      <c r="F213" s="82" t="n"/>
      <c r="G213" s="82" t="n"/>
      <c r="H213" s="82" t="n"/>
      <c r="I213" s="83" t="n"/>
      <c r="J213" s="82" t="n"/>
      <c r="K213" s="84" t="n"/>
      <c r="L213" s="85" t="n"/>
      <c r="M213" s="82" t="n"/>
      <c r="N213" s="86" t="n"/>
      <c r="O213" s="81" t="n"/>
      <c r="P213" s="82" t="n"/>
      <c r="Q213" s="83" t="n"/>
      <c r="R213" s="82" t="n"/>
      <c r="S213" s="84" t="n"/>
      <c r="T213" s="84" t="n"/>
      <c r="U213" s="82" t="n"/>
      <c r="V213" s="86" t="n"/>
      <c r="W213" s="86" t="n"/>
      <c r="X213" s="86" t="n"/>
      <c r="Y213" s="81" t="n"/>
      <c r="Z213" s="82" t="n"/>
      <c r="AA213" s="81" t="n"/>
      <c r="AB213" s="82" t="n"/>
      <c r="AC213" s="87">
        <f>IF(OR($D213="",$M213="Rejected",$M213="Withdrawn",$M213="Accepted"),"",IF(ISNUMBER($O213),IF(INT($O213)&lt;TODAY(),"FOLLOW UP REQUIRED",IF(INT($O213)=TODAY(),"ACTION DUE TODAY",IF(INT($O213)-TODAY()&lt;=Set_DueSoonDays,"DUE SOON",""))),IF(AND($M213="Applied",$AA213=""),IF(ISNUMBER($C213),IF(TODAY()-$C213&gt;=Set_FollowUpDays,"NO RESPONSE",""),""),"")))</f>
        <v/>
      </c>
      <c r="AD213" s="87">
        <f>IF(ISNUMBER($L213),IF($L213&gt;=90,"Excellent Match",IF($L213&gt;=75,"Strong Match",IF($L213&gt;=60,"Moderate Match","Low Match"))),"")</f>
        <v/>
      </c>
      <c r="AE213" s="87">
        <f>IF($D213="","",IF(OR($M213="Rejected",$M213="Withdrawn"),IF($AB213&lt;&gt;"",$AB213,IF(OR($M213="Rejected",ISNUMBER($C213)),"Applied","Wishlist")),IF($M213="",IF(ISNUMBER($C213),"Applied","Wishlist"),$M213)))</f>
        <v/>
      </c>
      <c r="AF213" s="88">
        <f>IF(AND(ISNUMBER($C213),ISNUMBER($AA213)),$AA213-$C213,"")</f>
        <v/>
      </c>
      <c r="AG213" s="87">
        <f>IF($AE213="","",IFERROR(MATCH($AE213,{"Wishlist","Applied","Screening","Interview 1","Interview 2","Final","Offer","Accepted"},0)-1,""))</f>
        <v/>
      </c>
      <c r="AH213" s="87">
        <f>IF($AC213="","",MATCH($AC213,{"FOLLOW UP REQUIRED","ACTION DUE TODAY","NO RESPONSE","DUE SOON"},0)*100000+IF(ISNUMBER($O213),$O213,IF(ISNUMBER($C213),$C213,0))+ROW()/10000)</f>
        <v/>
      </c>
      <c r="AI213" s="87">
        <f>IF(AND(ISNUMBER($AG213),$AG213&gt;=1,$AG213&lt;=6,$M213&lt;&gt;"Rejected",$M213&lt;&gt;"Withdrawn"),(10-$AG213)*100000+IF(ISNUMBER($C213),$C213,0)+ROW()/10000,"")</f>
        <v/>
      </c>
    </row>
    <row r="214">
      <c r="A214" s="80" t="n"/>
      <c r="B214" s="81" t="n"/>
      <c r="C214" s="81" t="n"/>
      <c r="D214" s="82" t="n"/>
      <c r="E214" s="82" t="n"/>
      <c r="F214" s="82" t="n"/>
      <c r="G214" s="82" t="n"/>
      <c r="H214" s="82" t="n"/>
      <c r="I214" s="83" t="n"/>
      <c r="J214" s="82" t="n"/>
      <c r="K214" s="84" t="n"/>
      <c r="L214" s="85" t="n"/>
      <c r="M214" s="82" t="n"/>
      <c r="N214" s="86" t="n"/>
      <c r="O214" s="81" t="n"/>
      <c r="P214" s="82" t="n"/>
      <c r="Q214" s="83" t="n"/>
      <c r="R214" s="82" t="n"/>
      <c r="S214" s="84" t="n"/>
      <c r="T214" s="84" t="n"/>
      <c r="U214" s="82" t="n"/>
      <c r="V214" s="86" t="n"/>
      <c r="W214" s="86" t="n"/>
      <c r="X214" s="86" t="n"/>
      <c r="Y214" s="81" t="n"/>
      <c r="Z214" s="82" t="n"/>
      <c r="AA214" s="81" t="n"/>
      <c r="AB214" s="82" t="n"/>
      <c r="AC214" s="87">
        <f>IF(OR($D214="",$M214="Rejected",$M214="Withdrawn",$M214="Accepted"),"",IF(ISNUMBER($O214),IF(INT($O214)&lt;TODAY(),"FOLLOW UP REQUIRED",IF(INT($O214)=TODAY(),"ACTION DUE TODAY",IF(INT($O214)-TODAY()&lt;=Set_DueSoonDays,"DUE SOON",""))),IF(AND($M214="Applied",$AA214=""),IF(ISNUMBER($C214),IF(TODAY()-$C214&gt;=Set_FollowUpDays,"NO RESPONSE",""),""),"")))</f>
        <v/>
      </c>
      <c r="AD214" s="87">
        <f>IF(ISNUMBER($L214),IF($L214&gt;=90,"Excellent Match",IF($L214&gt;=75,"Strong Match",IF($L214&gt;=60,"Moderate Match","Low Match"))),"")</f>
        <v/>
      </c>
      <c r="AE214" s="87">
        <f>IF($D214="","",IF(OR($M214="Rejected",$M214="Withdrawn"),IF($AB214&lt;&gt;"",$AB214,IF(OR($M214="Rejected",ISNUMBER($C214)),"Applied","Wishlist")),IF($M214="",IF(ISNUMBER($C214),"Applied","Wishlist"),$M214)))</f>
        <v/>
      </c>
      <c r="AF214" s="88">
        <f>IF(AND(ISNUMBER($C214),ISNUMBER($AA214)),$AA214-$C214,"")</f>
        <v/>
      </c>
      <c r="AG214" s="87">
        <f>IF($AE214="","",IFERROR(MATCH($AE214,{"Wishlist","Applied","Screening","Interview 1","Interview 2","Final","Offer","Accepted"},0)-1,""))</f>
        <v/>
      </c>
      <c r="AH214" s="87">
        <f>IF($AC214="","",MATCH($AC214,{"FOLLOW UP REQUIRED","ACTION DUE TODAY","NO RESPONSE","DUE SOON"},0)*100000+IF(ISNUMBER($O214),$O214,IF(ISNUMBER($C214),$C214,0))+ROW()/10000)</f>
        <v/>
      </c>
      <c r="AI214" s="87">
        <f>IF(AND(ISNUMBER($AG214),$AG214&gt;=1,$AG214&lt;=6,$M214&lt;&gt;"Rejected",$M214&lt;&gt;"Withdrawn"),(10-$AG214)*100000+IF(ISNUMBER($C214),$C214,0)+ROW()/10000,"")</f>
        <v/>
      </c>
    </row>
    <row r="215">
      <c r="A215" s="80" t="n"/>
      <c r="B215" s="81" t="n"/>
      <c r="C215" s="81" t="n"/>
      <c r="D215" s="82" t="n"/>
      <c r="E215" s="82" t="n"/>
      <c r="F215" s="82" t="n"/>
      <c r="G215" s="82" t="n"/>
      <c r="H215" s="82" t="n"/>
      <c r="I215" s="83" t="n"/>
      <c r="J215" s="82" t="n"/>
      <c r="K215" s="84" t="n"/>
      <c r="L215" s="85" t="n"/>
      <c r="M215" s="82" t="n"/>
      <c r="N215" s="86" t="n"/>
      <c r="O215" s="81" t="n"/>
      <c r="P215" s="82" t="n"/>
      <c r="Q215" s="83" t="n"/>
      <c r="R215" s="82" t="n"/>
      <c r="S215" s="84" t="n"/>
      <c r="T215" s="84" t="n"/>
      <c r="U215" s="82" t="n"/>
      <c r="V215" s="86" t="n"/>
      <c r="W215" s="86" t="n"/>
      <c r="X215" s="86" t="n"/>
      <c r="Y215" s="81" t="n"/>
      <c r="Z215" s="82" t="n"/>
      <c r="AA215" s="81" t="n"/>
      <c r="AB215" s="82" t="n"/>
      <c r="AC215" s="87">
        <f>IF(OR($D215="",$M215="Rejected",$M215="Withdrawn",$M215="Accepted"),"",IF(ISNUMBER($O215),IF(INT($O215)&lt;TODAY(),"FOLLOW UP REQUIRED",IF(INT($O215)=TODAY(),"ACTION DUE TODAY",IF(INT($O215)-TODAY()&lt;=Set_DueSoonDays,"DUE SOON",""))),IF(AND($M215="Applied",$AA215=""),IF(ISNUMBER($C215),IF(TODAY()-$C215&gt;=Set_FollowUpDays,"NO RESPONSE",""),""),"")))</f>
        <v/>
      </c>
      <c r="AD215" s="87">
        <f>IF(ISNUMBER($L215),IF($L215&gt;=90,"Excellent Match",IF($L215&gt;=75,"Strong Match",IF($L215&gt;=60,"Moderate Match","Low Match"))),"")</f>
        <v/>
      </c>
      <c r="AE215" s="87">
        <f>IF($D215="","",IF(OR($M215="Rejected",$M215="Withdrawn"),IF($AB215&lt;&gt;"",$AB215,IF(OR($M215="Rejected",ISNUMBER($C215)),"Applied","Wishlist")),IF($M215="",IF(ISNUMBER($C215),"Applied","Wishlist"),$M215)))</f>
        <v/>
      </c>
      <c r="AF215" s="88">
        <f>IF(AND(ISNUMBER($C215),ISNUMBER($AA215)),$AA215-$C215,"")</f>
        <v/>
      </c>
      <c r="AG215" s="87">
        <f>IF($AE215="","",IFERROR(MATCH($AE215,{"Wishlist","Applied","Screening","Interview 1","Interview 2","Final","Offer","Accepted"},0)-1,""))</f>
        <v/>
      </c>
      <c r="AH215" s="87">
        <f>IF($AC215="","",MATCH($AC215,{"FOLLOW UP REQUIRED","ACTION DUE TODAY","NO RESPONSE","DUE SOON"},0)*100000+IF(ISNUMBER($O215),$O215,IF(ISNUMBER($C215),$C215,0))+ROW()/10000)</f>
        <v/>
      </c>
      <c r="AI215" s="87">
        <f>IF(AND(ISNUMBER($AG215),$AG215&gt;=1,$AG215&lt;=6,$M215&lt;&gt;"Rejected",$M215&lt;&gt;"Withdrawn"),(10-$AG215)*100000+IF(ISNUMBER($C215),$C215,0)+ROW()/10000,"")</f>
        <v/>
      </c>
    </row>
    <row r="216">
      <c r="A216" s="80" t="n"/>
      <c r="B216" s="81" t="n"/>
      <c r="C216" s="81" t="n"/>
      <c r="D216" s="82" t="n"/>
      <c r="E216" s="82" t="n"/>
      <c r="F216" s="82" t="n"/>
      <c r="G216" s="82" t="n"/>
      <c r="H216" s="82" t="n"/>
      <c r="I216" s="83" t="n"/>
      <c r="J216" s="82" t="n"/>
      <c r="K216" s="84" t="n"/>
      <c r="L216" s="85" t="n"/>
      <c r="M216" s="82" t="n"/>
      <c r="N216" s="86" t="n"/>
      <c r="O216" s="81" t="n"/>
      <c r="P216" s="82" t="n"/>
      <c r="Q216" s="83" t="n"/>
      <c r="R216" s="82" t="n"/>
      <c r="S216" s="84" t="n"/>
      <c r="T216" s="84" t="n"/>
      <c r="U216" s="82" t="n"/>
      <c r="V216" s="86" t="n"/>
      <c r="W216" s="86" t="n"/>
      <c r="X216" s="86" t="n"/>
      <c r="Y216" s="81" t="n"/>
      <c r="Z216" s="82" t="n"/>
      <c r="AA216" s="81" t="n"/>
      <c r="AB216" s="82" t="n"/>
      <c r="AC216" s="87">
        <f>IF(OR($D216="",$M216="Rejected",$M216="Withdrawn",$M216="Accepted"),"",IF(ISNUMBER($O216),IF(INT($O216)&lt;TODAY(),"FOLLOW UP REQUIRED",IF(INT($O216)=TODAY(),"ACTION DUE TODAY",IF(INT($O216)-TODAY()&lt;=Set_DueSoonDays,"DUE SOON",""))),IF(AND($M216="Applied",$AA216=""),IF(ISNUMBER($C216),IF(TODAY()-$C216&gt;=Set_FollowUpDays,"NO RESPONSE",""),""),"")))</f>
        <v/>
      </c>
      <c r="AD216" s="87">
        <f>IF(ISNUMBER($L216),IF($L216&gt;=90,"Excellent Match",IF($L216&gt;=75,"Strong Match",IF($L216&gt;=60,"Moderate Match","Low Match"))),"")</f>
        <v/>
      </c>
      <c r="AE216" s="87">
        <f>IF($D216="","",IF(OR($M216="Rejected",$M216="Withdrawn"),IF($AB216&lt;&gt;"",$AB216,IF(OR($M216="Rejected",ISNUMBER($C216)),"Applied","Wishlist")),IF($M216="",IF(ISNUMBER($C216),"Applied","Wishlist"),$M216)))</f>
        <v/>
      </c>
      <c r="AF216" s="88">
        <f>IF(AND(ISNUMBER($C216),ISNUMBER($AA216)),$AA216-$C216,"")</f>
        <v/>
      </c>
      <c r="AG216" s="87">
        <f>IF($AE216="","",IFERROR(MATCH($AE216,{"Wishlist","Applied","Screening","Interview 1","Interview 2","Final","Offer","Accepted"},0)-1,""))</f>
        <v/>
      </c>
      <c r="AH216" s="87">
        <f>IF($AC216="","",MATCH($AC216,{"FOLLOW UP REQUIRED","ACTION DUE TODAY","NO RESPONSE","DUE SOON"},0)*100000+IF(ISNUMBER($O216),$O216,IF(ISNUMBER($C216),$C216,0))+ROW()/10000)</f>
        <v/>
      </c>
      <c r="AI216" s="87">
        <f>IF(AND(ISNUMBER($AG216),$AG216&gt;=1,$AG216&lt;=6,$M216&lt;&gt;"Rejected",$M216&lt;&gt;"Withdrawn"),(10-$AG216)*100000+IF(ISNUMBER($C216),$C216,0)+ROW()/10000,"")</f>
        <v/>
      </c>
    </row>
    <row r="217">
      <c r="A217" s="80" t="n"/>
      <c r="B217" s="81" t="n"/>
      <c r="C217" s="81" t="n"/>
      <c r="D217" s="82" t="n"/>
      <c r="E217" s="82" t="n"/>
      <c r="F217" s="82" t="n"/>
      <c r="G217" s="82" t="n"/>
      <c r="H217" s="82" t="n"/>
      <c r="I217" s="83" t="n"/>
      <c r="J217" s="82" t="n"/>
      <c r="K217" s="84" t="n"/>
      <c r="L217" s="85" t="n"/>
      <c r="M217" s="82" t="n"/>
      <c r="N217" s="86" t="n"/>
      <c r="O217" s="81" t="n"/>
      <c r="P217" s="82" t="n"/>
      <c r="Q217" s="83" t="n"/>
      <c r="R217" s="82" t="n"/>
      <c r="S217" s="84" t="n"/>
      <c r="T217" s="84" t="n"/>
      <c r="U217" s="82" t="n"/>
      <c r="V217" s="86" t="n"/>
      <c r="W217" s="86" t="n"/>
      <c r="X217" s="86" t="n"/>
      <c r="Y217" s="81" t="n"/>
      <c r="Z217" s="82" t="n"/>
      <c r="AA217" s="81" t="n"/>
      <c r="AB217" s="82" t="n"/>
      <c r="AC217" s="87">
        <f>IF(OR($D217="",$M217="Rejected",$M217="Withdrawn",$M217="Accepted"),"",IF(ISNUMBER($O217),IF(INT($O217)&lt;TODAY(),"FOLLOW UP REQUIRED",IF(INT($O217)=TODAY(),"ACTION DUE TODAY",IF(INT($O217)-TODAY()&lt;=Set_DueSoonDays,"DUE SOON",""))),IF(AND($M217="Applied",$AA217=""),IF(ISNUMBER($C217),IF(TODAY()-$C217&gt;=Set_FollowUpDays,"NO RESPONSE",""),""),"")))</f>
        <v/>
      </c>
      <c r="AD217" s="87">
        <f>IF(ISNUMBER($L217),IF($L217&gt;=90,"Excellent Match",IF($L217&gt;=75,"Strong Match",IF($L217&gt;=60,"Moderate Match","Low Match"))),"")</f>
        <v/>
      </c>
      <c r="AE217" s="87">
        <f>IF($D217="","",IF(OR($M217="Rejected",$M217="Withdrawn"),IF($AB217&lt;&gt;"",$AB217,IF(OR($M217="Rejected",ISNUMBER($C217)),"Applied","Wishlist")),IF($M217="",IF(ISNUMBER($C217),"Applied","Wishlist"),$M217)))</f>
        <v/>
      </c>
      <c r="AF217" s="88">
        <f>IF(AND(ISNUMBER($C217),ISNUMBER($AA217)),$AA217-$C217,"")</f>
        <v/>
      </c>
      <c r="AG217" s="87">
        <f>IF($AE217="","",IFERROR(MATCH($AE217,{"Wishlist","Applied","Screening","Interview 1","Interview 2","Final","Offer","Accepted"},0)-1,""))</f>
        <v/>
      </c>
      <c r="AH217" s="87">
        <f>IF($AC217="","",MATCH($AC217,{"FOLLOW UP REQUIRED","ACTION DUE TODAY","NO RESPONSE","DUE SOON"},0)*100000+IF(ISNUMBER($O217),$O217,IF(ISNUMBER($C217),$C217,0))+ROW()/10000)</f>
        <v/>
      </c>
      <c r="AI217" s="87">
        <f>IF(AND(ISNUMBER($AG217),$AG217&gt;=1,$AG217&lt;=6,$M217&lt;&gt;"Rejected",$M217&lt;&gt;"Withdrawn"),(10-$AG217)*100000+IF(ISNUMBER($C217),$C217,0)+ROW()/10000,"")</f>
        <v/>
      </c>
    </row>
    <row r="218">
      <c r="A218" s="80" t="n"/>
      <c r="B218" s="81" t="n"/>
      <c r="C218" s="81" t="n"/>
      <c r="D218" s="82" t="n"/>
      <c r="E218" s="82" t="n"/>
      <c r="F218" s="82" t="n"/>
      <c r="G218" s="82" t="n"/>
      <c r="H218" s="82" t="n"/>
      <c r="I218" s="83" t="n"/>
      <c r="J218" s="82" t="n"/>
      <c r="K218" s="84" t="n"/>
      <c r="L218" s="85" t="n"/>
      <c r="M218" s="82" t="n"/>
      <c r="N218" s="86" t="n"/>
      <c r="O218" s="81" t="n"/>
      <c r="P218" s="82" t="n"/>
      <c r="Q218" s="83" t="n"/>
      <c r="R218" s="82" t="n"/>
      <c r="S218" s="84" t="n"/>
      <c r="T218" s="84" t="n"/>
      <c r="U218" s="82" t="n"/>
      <c r="V218" s="86" t="n"/>
      <c r="W218" s="86" t="n"/>
      <c r="X218" s="86" t="n"/>
      <c r="Y218" s="81" t="n"/>
      <c r="Z218" s="82" t="n"/>
      <c r="AA218" s="81" t="n"/>
      <c r="AB218" s="82" t="n"/>
      <c r="AC218" s="87">
        <f>IF(OR($D218="",$M218="Rejected",$M218="Withdrawn",$M218="Accepted"),"",IF(ISNUMBER($O218),IF(INT($O218)&lt;TODAY(),"FOLLOW UP REQUIRED",IF(INT($O218)=TODAY(),"ACTION DUE TODAY",IF(INT($O218)-TODAY()&lt;=Set_DueSoonDays,"DUE SOON",""))),IF(AND($M218="Applied",$AA218=""),IF(ISNUMBER($C218),IF(TODAY()-$C218&gt;=Set_FollowUpDays,"NO RESPONSE",""),""),"")))</f>
        <v/>
      </c>
      <c r="AD218" s="87">
        <f>IF(ISNUMBER($L218),IF($L218&gt;=90,"Excellent Match",IF($L218&gt;=75,"Strong Match",IF($L218&gt;=60,"Moderate Match","Low Match"))),"")</f>
        <v/>
      </c>
      <c r="AE218" s="87">
        <f>IF($D218="","",IF(OR($M218="Rejected",$M218="Withdrawn"),IF($AB218&lt;&gt;"",$AB218,IF(OR($M218="Rejected",ISNUMBER($C218)),"Applied","Wishlist")),IF($M218="",IF(ISNUMBER($C218),"Applied","Wishlist"),$M218)))</f>
        <v/>
      </c>
      <c r="AF218" s="88">
        <f>IF(AND(ISNUMBER($C218),ISNUMBER($AA218)),$AA218-$C218,"")</f>
        <v/>
      </c>
      <c r="AG218" s="87">
        <f>IF($AE218="","",IFERROR(MATCH($AE218,{"Wishlist","Applied","Screening","Interview 1","Interview 2","Final","Offer","Accepted"},0)-1,""))</f>
        <v/>
      </c>
      <c r="AH218" s="87">
        <f>IF($AC218="","",MATCH($AC218,{"FOLLOW UP REQUIRED","ACTION DUE TODAY","NO RESPONSE","DUE SOON"},0)*100000+IF(ISNUMBER($O218),$O218,IF(ISNUMBER($C218),$C218,0))+ROW()/10000)</f>
        <v/>
      </c>
      <c r="AI218" s="87">
        <f>IF(AND(ISNUMBER($AG218),$AG218&gt;=1,$AG218&lt;=6,$M218&lt;&gt;"Rejected",$M218&lt;&gt;"Withdrawn"),(10-$AG218)*100000+IF(ISNUMBER($C218),$C218,0)+ROW()/10000,"")</f>
        <v/>
      </c>
    </row>
    <row r="219">
      <c r="A219" s="80" t="n"/>
      <c r="B219" s="81" t="n"/>
      <c r="C219" s="81" t="n"/>
      <c r="D219" s="82" t="n"/>
      <c r="E219" s="82" t="n"/>
      <c r="F219" s="82" t="n"/>
      <c r="G219" s="82" t="n"/>
      <c r="H219" s="82" t="n"/>
      <c r="I219" s="83" t="n"/>
      <c r="J219" s="82" t="n"/>
      <c r="K219" s="84" t="n"/>
      <c r="L219" s="85" t="n"/>
      <c r="M219" s="82" t="n"/>
      <c r="N219" s="86" t="n"/>
      <c r="O219" s="81" t="n"/>
      <c r="P219" s="82" t="n"/>
      <c r="Q219" s="83" t="n"/>
      <c r="R219" s="82" t="n"/>
      <c r="S219" s="84" t="n"/>
      <c r="T219" s="84" t="n"/>
      <c r="U219" s="82" t="n"/>
      <c r="V219" s="86" t="n"/>
      <c r="W219" s="86" t="n"/>
      <c r="X219" s="86" t="n"/>
      <c r="Y219" s="81" t="n"/>
      <c r="Z219" s="82" t="n"/>
      <c r="AA219" s="81" t="n"/>
      <c r="AB219" s="82" t="n"/>
      <c r="AC219" s="87">
        <f>IF(OR($D219="",$M219="Rejected",$M219="Withdrawn",$M219="Accepted"),"",IF(ISNUMBER($O219),IF(INT($O219)&lt;TODAY(),"FOLLOW UP REQUIRED",IF(INT($O219)=TODAY(),"ACTION DUE TODAY",IF(INT($O219)-TODAY()&lt;=Set_DueSoonDays,"DUE SOON",""))),IF(AND($M219="Applied",$AA219=""),IF(ISNUMBER($C219),IF(TODAY()-$C219&gt;=Set_FollowUpDays,"NO RESPONSE",""),""),"")))</f>
        <v/>
      </c>
      <c r="AD219" s="87">
        <f>IF(ISNUMBER($L219),IF($L219&gt;=90,"Excellent Match",IF($L219&gt;=75,"Strong Match",IF($L219&gt;=60,"Moderate Match","Low Match"))),"")</f>
        <v/>
      </c>
      <c r="AE219" s="87">
        <f>IF($D219="","",IF(OR($M219="Rejected",$M219="Withdrawn"),IF($AB219&lt;&gt;"",$AB219,IF(OR($M219="Rejected",ISNUMBER($C219)),"Applied","Wishlist")),IF($M219="",IF(ISNUMBER($C219),"Applied","Wishlist"),$M219)))</f>
        <v/>
      </c>
      <c r="AF219" s="88">
        <f>IF(AND(ISNUMBER($C219),ISNUMBER($AA219)),$AA219-$C219,"")</f>
        <v/>
      </c>
      <c r="AG219" s="87">
        <f>IF($AE219="","",IFERROR(MATCH($AE219,{"Wishlist","Applied","Screening","Interview 1","Interview 2","Final","Offer","Accepted"},0)-1,""))</f>
        <v/>
      </c>
      <c r="AH219" s="87">
        <f>IF($AC219="","",MATCH($AC219,{"FOLLOW UP REQUIRED","ACTION DUE TODAY","NO RESPONSE","DUE SOON"},0)*100000+IF(ISNUMBER($O219),$O219,IF(ISNUMBER($C219),$C219,0))+ROW()/10000)</f>
        <v/>
      </c>
      <c r="AI219" s="87">
        <f>IF(AND(ISNUMBER($AG219),$AG219&gt;=1,$AG219&lt;=6,$M219&lt;&gt;"Rejected",$M219&lt;&gt;"Withdrawn"),(10-$AG219)*100000+IF(ISNUMBER($C219),$C219,0)+ROW()/10000,"")</f>
        <v/>
      </c>
    </row>
    <row r="220">
      <c r="A220" s="80" t="n"/>
      <c r="B220" s="81" t="n"/>
      <c r="C220" s="81" t="n"/>
      <c r="D220" s="82" t="n"/>
      <c r="E220" s="82" t="n"/>
      <c r="F220" s="82" t="n"/>
      <c r="G220" s="82" t="n"/>
      <c r="H220" s="82" t="n"/>
      <c r="I220" s="83" t="n"/>
      <c r="J220" s="82" t="n"/>
      <c r="K220" s="84" t="n"/>
      <c r="L220" s="85" t="n"/>
      <c r="M220" s="82" t="n"/>
      <c r="N220" s="86" t="n"/>
      <c r="O220" s="81" t="n"/>
      <c r="P220" s="82" t="n"/>
      <c r="Q220" s="83" t="n"/>
      <c r="R220" s="82" t="n"/>
      <c r="S220" s="84" t="n"/>
      <c r="T220" s="84" t="n"/>
      <c r="U220" s="82" t="n"/>
      <c r="V220" s="86" t="n"/>
      <c r="W220" s="86" t="n"/>
      <c r="X220" s="86" t="n"/>
      <c r="Y220" s="81" t="n"/>
      <c r="Z220" s="82" t="n"/>
      <c r="AA220" s="81" t="n"/>
      <c r="AB220" s="82" t="n"/>
      <c r="AC220" s="87">
        <f>IF(OR($D220="",$M220="Rejected",$M220="Withdrawn",$M220="Accepted"),"",IF(ISNUMBER($O220),IF(INT($O220)&lt;TODAY(),"FOLLOW UP REQUIRED",IF(INT($O220)=TODAY(),"ACTION DUE TODAY",IF(INT($O220)-TODAY()&lt;=Set_DueSoonDays,"DUE SOON",""))),IF(AND($M220="Applied",$AA220=""),IF(ISNUMBER($C220),IF(TODAY()-$C220&gt;=Set_FollowUpDays,"NO RESPONSE",""),""),"")))</f>
        <v/>
      </c>
      <c r="AD220" s="87">
        <f>IF(ISNUMBER($L220),IF($L220&gt;=90,"Excellent Match",IF($L220&gt;=75,"Strong Match",IF($L220&gt;=60,"Moderate Match","Low Match"))),"")</f>
        <v/>
      </c>
      <c r="AE220" s="87">
        <f>IF($D220="","",IF(OR($M220="Rejected",$M220="Withdrawn"),IF($AB220&lt;&gt;"",$AB220,IF(OR($M220="Rejected",ISNUMBER($C220)),"Applied","Wishlist")),IF($M220="",IF(ISNUMBER($C220),"Applied","Wishlist"),$M220)))</f>
        <v/>
      </c>
      <c r="AF220" s="88">
        <f>IF(AND(ISNUMBER($C220),ISNUMBER($AA220)),$AA220-$C220,"")</f>
        <v/>
      </c>
      <c r="AG220" s="87">
        <f>IF($AE220="","",IFERROR(MATCH($AE220,{"Wishlist","Applied","Screening","Interview 1","Interview 2","Final","Offer","Accepted"},0)-1,""))</f>
        <v/>
      </c>
      <c r="AH220" s="87">
        <f>IF($AC220="","",MATCH($AC220,{"FOLLOW UP REQUIRED","ACTION DUE TODAY","NO RESPONSE","DUE SOON"},0)*100000+IF(ISNUMBER($O220),$O220,IF(ISNUMBER($C220),$C220,0))+ROW()/10000)</f>
        <v/>
      </c>
      <c r="AI220" s="87">
        <f>IF(AND(ISNUMBER($AG220),$AG220&gt;=1,$AG220&lt;=6,$M220&lt;&gt;"Rejected",$M220&lt;&gt;"Withdrawn"),(10-$AG220)*100000+IF(ISNUMBER($C220),$C220,0)+ROW()/10000,"")</f>
        <v/>
      </c>
    </row>
    <row r="221">
      <c r="A221" s="80" t="n"/>
      <c r="B221" s="81" t="n"/>
      <c r="C221" s="81" t="n"/>
      <c r="D221" s="82" t="n"/>
      <c r="E221" s="82" t="n"/>
      <c r="F221" s="82" t="n"/>
      <c r="G221" s="82" t="n"/>
      <c r="H221" s="82" t="n"/>
      <c r="I221" s="83" t="n"/>
      <c r="J221" s="82" t="n"/>
      <c r="K221" s="84" t="n"/>
      <c r="L221" s="85" t="n"/>
      <c r="M221" s="82" t="n"/>
      <c r="N221" s="86" t="n"/>
      <c r="O221" s="81" t="n"/>
      <c r="P221" s="82" t="n"/>
      <c r="Q221" s="83" t="n"/>
      <c r="R221" s="82" t="n"/>
      <c r="S221" s="84" t="n"/>
      <c r="T221" s="84" t="n"/>
      <c r="U221" s="82" t="n"/>
      <c r="V221" s="86" t="n"/>
      <c r="W221" s="86" t="n"/>
      <c r="X221" s="86" t="n"/>
      <c r="Y221" s="81" t="n"/>
      <c r="Z221" s="82" t="n"/>
      <c r="AA221" s="81" t="n"/>
      <c r="AB221" s="82" t="n"/>
      <c r="AC221" s="87">
        <f>IF(OR($D221="",$M221="Rejected",$M221="Withdrawn",$M221="Accepted"),"",IF(ISNUMBER($O221),IF(INT($O221)&lt;TODAY(),"FOLLOW UP REQUIRED",IF(INT($O221)=TODAY(),"ACTION DUE TODAY",IF(INT($O221)-TODAY()&lt;=Set_DueSoonDays,"DUE SOON",""))),IF(AND($M221="Applied",$AA221=""),IF(ISNUMBER($C221),IF(TODAY()-$C221&gt;=Set_FollowUpDays,"NO RESPONSE",""),""),"")))</f>
        <v/>
      </c>
      <c r="AD221" s="87">
        <f>IF(ISNUMBER($L221),IF($L221&gt;=90,"Excellent Match",IF($L221&gt;=75,"Strong Match",IF($L221&gt;=60,"Moderate Match","Low Match"))),"")</f>
        <v/>
      </c>
      <c r="AE221" s="87">
        <f>IF($D221="","",IF(OR($M221="Rejected",$M221="Withdrawn"),IF($AB221&lt;&gt;"",$AB221,IF(OR($M221="Rejected",ISNUMBER($C221)),"Applied","Wishlist")),IF($M221="",IF(ISNUMBER($C221),"Applied","Wishlist"),$M221)))</f>
        <v/>
      </c>
      <c r="AF221" s="88">
        <f>IF(AND(ISNUMBER($C221),ISNUMBER($AA221)),$AA221-$C221,"")</f>
        <v/>
      </c>
      <c r="AG221" s="87">
        <f>IF($AE221="","",IFERROR(MATCH($AE221,{"Wishlist","Applied","Screening","Interview 1","Interview 2","Final","Offer","Accepted"},0)-1,""))</f>
        <v/>
      </c>
      <c r="AH221" s="87">
        <f>IF($AC221="","",MATCH($AC221,{"FOLLOW UP REQUIRED","ACTION DUE TODAY","NO RESPONSE","DUE SOON"},0)*100000+IF(ISNUMBER($O221),$O221,IF(ISNUMBER($C221),$C221,0))+ROW()/10000)</f>
        <v/>
      </c>
      <c r="AI221" s="87">
        <f>IF(AND(ISNUMBER($AG221),$AG221&gt;=1,$AG221&lt;=6,$M221&lt;&gt;"Rejected",$M221&lt;&gt;"Withdrawn"),(10-$AG221)*100000+IF(ISNUMBER($C221),$C221,0)+ROW()/10000,"")</f>
        <v/>
      </c>
    </row>
    <row r="222">
      <c r="A222" s="80" t="n"/>
      <c r="B222" s="81" t="n"/>
      <c r="C222" s="81" t="n"/>
      <c r="D222" s="82" t="n"/>
      <c r="E222" s="82" t="n"/>
      <c r="F222" s="82" t="n"/>
      <c r="G222" s="82" t="n"/>
      <c r="H222" s="82" t="n"/>
      <c r="I222" s="83" t="n"/>
      <c r="J222" s="82" t="n"/>
      <c r="K222" s="84" t="n"/>
      <c r="L222" s="85" t="n"/>
      <c r="M222" s="82" t="n"/>
      <c r="N222" s="86" t="n"/>
      <c r="O222" s="81" t="n"/>
      <c r="P222" s="82" t="n"/>
      <c r="Q222" s="83" t="n"/>
      <c r="R222" s="82" t="n"/>
      <c r="S222" s="84" t="n"/>
      <c r="T222" s="84" t="n"/>
      <c r="U222" s="82" t="n"/>
      <c r="V222" s="86" t="n"/>
      <c r="W222" s="86" t="n"/>
      <c r="X222" s="86" t="n"/>
      <c r="Y222" s="81" t="n"/>
      <c r="Z222" s="82" t="n"/>
      <c r="AA222" s="81" t="n"/>
      <c r="AB222" s="82" t="n"/>
      <c r="AC222" s="87">
        <f>IF(OR($D222="",$M222="Rejected",$M222="Withdrawn",$M222="Accepted"),"",IF(ISNUMBER($O222),IF(INT($O222)&lt;TODAY(),"FOLLOW UP REQUIRED",IF(INT($O222)=TODAY(),"ACTION DUE TODAY",IF(INT($O222)-TODAY()&lt;=Set_DueSoonDays,"DUE SOON",""))),IF(AND($M222="Applied",$AA222=""),IF(ISNUMBER($C222),IF(TODAY()-$C222&gt;=Set_FollowUpDays,"NO RESPONSE",""),""),"")))</f>
        <v/>
      </c>
      <c r="AD222" s="87">
        <f>IF(ISNUMBER($L222),IF($L222&gt;=90,"Excellent Match",IF($L222&gt;=75,"Strong Match",IF($L222&gt;=60,"Moderate Match","Low Match"))),"")</f>
        <v/>
      </c>
      <c r="AE222" s="87">
        <f>IF($D222="","",IF(OR($M222="Rejected",$M222="Withdrawn"),IF($AB222&lt;&gt;"",$AB222,IF(OR($M222="Rejected",ISNUMBER($C222)),"Applied","Wishlist")),IF($M222="",IF(ISNUMBER($C222),"Applied","Wishlist"),$M222)))</f>
        <v/>
      </c>
      <c r="AF222" s="88">
        <f>IF(AND(ISNUMBER($C222),ISNUMBER($AA222)),$AA222-$C222,"")</f>
        <v/>
      </c>
      <c r="AG222" s="87">
        <f>IF($AE222="","",IFERROR(MATCH($AE222,{"Wishlist","Applied","Screening","Interview 1","Interview 2","Final","Offer","Accepted"},0)-1,""))</f>
        <v/>
      </c>
      <c r="AH222" s="87">
        <f>IF($AC222="","",MATCH($AC222,{"FOLLOW UP REQUIRED","ACTION DUE TODAY","NO RESPONSE","DUE SOON"},0)*100000+IF(ISNUMBER($O222),$O222,IF(ISNUMBER($C222),$C222,0))+ROW()/10000)</f>
        <v/>
      </c>
      <c r="AI222" s="87">
        <f>IF(AND(ISNUMBER($AG222),$AG222&gt;=1,$AG222&lt;=6,$M222&lt;&gt;"Rejected",$M222&lt;&gt;"Withdrawn"),(10-$AG222)*100000+IF(ISNUMBER($C222),$C222,0)+ROW()/10000,"")</f>
        <v/>
      </c>
    </row>
    <row r="223">
      <c r="A223" s="80" t="n"/>
      <c r="B223" s="81" t="n"/>
      <c r="C223" s="81" t="n"/>
      <c r="D223" s="82" t="n"/>
      <c r="E223" s="82" t="n"/>
      <c r="F223" s="82" t="n"/>
      <c r="G223" s="82" t="n"/>
      <c r="H223" s="82" t="n"/>
      <c r="I223" s="83" t="n"/>
      <c r="J223" s="82" t="n"/>
      <c r="K223" s="84" t="n"/>
      <c r="L223" s="85" t="n"/>
      <c r="M223" s="82" t="n"/>
      <c r="N223" s="86" t="n"/>
      <c r="O223" s="81" t="n"/>
      <c r="P223" s="82" t="n"/>
      <c r="Q223" s="83" t="n"/>
      <c r="R223" s="82" t="n"/>
      <c r="S223" s="84" t="n"/>
      <c r="T223" s="84" t="n"/>
      <c r="U223" s="82" t="n"/>
      <c r="V223" s="86" t="n"/>
      <c r="W223" s="86" t="n"/>
      <c r="X223" s="86" t="n"/>
      <c r="Y223" s="81" t="n"/>
      <c r="Z223" s="82" t="n"/>
      <c r="AA223" s="81" t="n"/>
      <c r="AB223" s="82" t="n"/>
      <c r="AC223" s="87">
        <f>IF(OR($D223="",$M223="Rejected",$M223="Withdrawn",$M223="Accepted"),"",IF(ISNUMBER($O223),IF(INT($O223)&lt;TODAY(),"FOLLOW UP REQUIRED",IF(INT($O223)=TODAY(),"ACTION DUE TODAY",IF(INT($O223)-TODAY()&lt;=Set_DueSoonDays,"DUE SOON",""))),IF(AND($M223="Applied",$AA223=""),IF(ISNUMBER($C223),IF(TODAY()-$C223&gt;=Set_FollowUpDays,"NO RESPONSE",""),""),"")))</f>
        <v/>
      </c>
      <c r="AD223" s="87">
        <f>IF(ISNUMBER($L223),IF($L223&gt;=90,"Excellent Match",IF($L223&gt;=75,"Strong Match",IF($L223&gt;=60,"Moderate Match","Low Match"))),"")</f>
        <v/>
      </c>
      <c r="AE223" s="87">
        <f>IF($D223="","",IF(OR($M223="Rejected",$M223="Withdrawn"),IF($AB223&lt;&gt;"",$AB223,IF(OR($M223="Rejected",ISNUMBER($C223)),"Applied","Wishlist")),IF($M223="",IF(ISNUMBER($C223),"Applied","Wishlist"),$M223)))</f>
        <v/>
      </c>
      <c r="AF223" s="88">
        <f>IF(AND(ISNUMBER($C223),ISNUMBER($AA223)),$AA223-$C223,"")</f>
        <v/>
      </c>
      <c r="AG223" s="87">
        <f>IF($AE223="","",IFERROR(MATCH($AE223,{"Wishlist","Applied","Screening","Interview 1","Interview 2","Final","Offer","Accepted"},0)-1,""))</f>
        <v/>
      </c>
      <c r="AH223" s="87">
        <f>IF($AC223="","",MATCH($AC223,{"FOLLOW UP REQUIRED","ACTION DUE TODAY","NO RESPONSE","DUE SOON"},0)*100000+IF(ISNUMBER($O223),$O223,IF(ISNUMBER($C223),$C223,0))+ROW()/10000)</f>
        <v/>
      </c>
      <c r="AI223" s="87">
        <f>IF(AND(ISNUMBER($AG223),$AG223&gt;=1,$AG223&lt;=6,$M223&lt;&gt;"Rejected",$M223&lt;&gt;"Withdrawn"),(10-$AG223)*100000+IF(ISNUMBER($C223),$C223,0)+ROW()/10000,"")</f>
        <v/>
      </c>
    </row>
    <row r="224">
      <c r="A224" s="80" t="n"/>
      <c r="B224" s="81" t="n"/>
      <c r="C224" s="81" t="n"/>
      <c r="D224" s="82" t="n"/>
      <c r="E224" s="82" t="n"/>
      <c r="F224" s="82" t="n"/>
      <c r="G224" s="82" t="n"/>
      <c r="H224" s="82" t="n"/>
      <c r="I224" s="83" t="n"/>
      <c r="J224" s="82" t="n"/>
      <c r="K224" s="84" t="n"/>
      <c r="L224" s="85" t="n"/>
      <c r="M224" s="82" t="n"/>
      <c r="N224" s="86" t="n"/>
      <c r="O224" s="81" t="n"/>
      <c r="P224" s="82" t="n"/>
      <c r="Q224" s="83" t="n"/>
      <c r="R224" s="82" t="n"/>
      <c r="S224" s="84" t="n"/>
      <c r="T224" s="84" t="n"/>
      <c r="U224" s="82" t="n"/>
      <c r="V224" s="86" t="n"/>
      <c r="W224" s="86" t="n"/>
      <c r="X224" s="86" t="n"/>
      <c r="Y224" s="81" t="n"/>
      <c r="Z224" s="82" t="n"/>
      <c r="AA224" s="81" t="n"/>
      <c r="AB224" s="82" t="n"/>
      <c r="AC224" s="87">
        <f>IF(OR($D224="",$M224="Rejected",$M224="Withdrawn",$M224="Accepted"),"",IF(ISNUMBER($O224),IF(INT($O224)&lt;TODAY(),"FOLLOW UP REQUIRED",IF(INT($O224)=TODAY(),"ACTION DUE TODAY",IF(INT($O224)-TODAY()&lt;=Set_DueSoonDays,"DUE SOON",""))),IF(AND($M224="Applied",$AA224=""),IF(ISNUMBER($C224),IF(TODAY()-$C224&gt;=Set_FollowUpDays,"NO RESPONSE",""),""),"")))</f>
        <v/>
      </c>
      <c r="AD224" s="87">
        <f>IF(ISNUMBER($L224),IF($L224&gt;=90,"Excellent Match",IF($L224&gt;=75,"Strong Match",IF($L224&gt;=60,"Moderate Match","Low Match"))),"")</f>
        <v/>
      </c>
      <c r="AE224" s="87">
        <f>IF($D224="","",IF(OR($M224="Rejected",$M224="Withdrawn"),IF($AB224&lt;&gt;"",$AB224,IF(OR($M224="Rejected",ISNUMBER($C224)),"Applied","Wishlist")),IF($M224="",IF(ISNUMBER($C224),"Applied","Wishlist"),$M224)))</f>
        <v/>
      </c>
      <c r="AF224" s="88">
        <f>IF(AND(ISNUMBER($C224),ISNUMBER($AA224)),$AA224-$C224,"")</f>
        <v/>
      </c>
      <c r="AG224" s="87">
        <f>IF($AE224="","",IFERROR(MATCH($AE224,{"Wishlist","Applied","Screening","Interview 1","Interview 2","Final","Offer","Accepted"},0)-1,""))</f>
        <v/>
      </c>
      <c r="AH224" s="87">
        <f>IF($AC224="","",MATCH($AC224,{"FOLLOW UP REQUIRED","ACTION DUE TODAY","NO RESPONSE","DUE SOON"},0)*100000+IF(ISNUMBER($O224),$O224,IF(ISNUMBER($C224),$C224,0))+ROW()/10000)</f>
        <v/>
      </c>
      <c r="AI224" s="87">
        <f>IF(AND(ISNUMBER($AG224),$AG224&gt;=1,$AG224&lt;=6,$M224&lt;&gt;"Rejected",$M224&lt;&gt;"Withdrawn"),(10-$AG224)*100000+IF(ISNUMBER($C224),$C224,0)+ROW()/10000,"")</f>
        <v/>
      </c>
    </row>
    <row r="225">
      <c r="A225" s="80" t="n"/>
      <c r="B225" s="81" t="n"/>
      <c r="C225" s="81" t="n"/>
      <c r="D225" s="82" t="n"/>
      <c r="E225" s="82" t="n"/>
      <c r="F225" s="82" t="n"/>
      <c r="G225" s="82" t="n"/>
      <c r="H225" s="82" t="n"/>
      <c r="I225" s="83" t="n"/>
      <c r="J225" s="82" t="n"/>
      <c r="K225" s="84" t="n"/>
      <c r="L225" s="85" t="n"/>
      <c r="M225" s="82" t="n"/>
      <c r="N225" s="86" t="n"/>
      <c r="O225" s="81" t="n"/>
      <c r="P225" s="82" t="n"/>
      <c r="Q225" s="83" t="n"/>
      <c r="R225" s="82" t="n"/>
      <c r="S225" s="84" t="n"/>
      <c r="T225" s="84" t="n"/>
      <c r="U225" s="82" t="n"/>
      <c r="V225" s="86" t="n"/>
      <c r="W225" s="86" t="n"/>
      <c r="X225" s="86" t="n"/>
      <c r="Y225" s="81" t="n"/>
      <c r="Z225" s="82" t="n"/>
      <c r="AA225" s="81" t="n"/>
      <c r="AB225" s="82" t="n"/>
      <c r="AC225" s="87">
        <f>IF(OR($D225="",$M225="Rejected",$M225="Withdrawn",$M225="Accepted"),"",IF(ISNUMBER($O225),IF(INT($O225)&lt;TODAY(),"FOLLOW UP REQUIRED",IF(INT($O225)=TODAY(),"ACTION DUE TODAY",IF(INT($O225)-TODAY()&lt;=Set_DueSoonDays,"DUE SOON",""))),IF(AND($M225="Applied",$AA225=""),IF(ISNUMBER($C225),IF(TODAY()-$C225&gt;=Set_FollowUpDays,"NO RESPONSE",""),""),"")))</f>
        <v/>
      </c>
      <c r="AD225" s="87">
        <f>IF(ISNUMBER($L225),IF($L225&gt;=90,"Excellent Match",IF($L225&gt;=75,"Strong Match",IF($L225&gt;=60,"Moderate Match","Low Match"))),"")</f>
        <v/>
      </c>
      <c r="AE225" s="87">
        <f>IF($D225="","",IF(OR($M225="Rejected",$M225="Withdrawn"),IF($AB225&lt;&gt;"",$AB225,IF(OR($M225="Rejected",ISNUMBER($C225)),"Applied","Wishlist")),IF($M225="",IF(ISNUMBER($C225),"Applied","Wishlist"),$M225)))</f>
        <v/>
      </c>
      <c r="AF225" s="88">
        <f>IF(AND(ISNUMBER($C225),ISNUMBER($AA225)),$AA225-$C225,"")</f>
        <v/>
      </c>
      <c r="AG225" s="87">
        <f>IF($AE225="","",IFERROR(MATCH($AE225,{"Wishlist","Applied","Screening","Interview 1","Interview 2","Final","Offer","Accepted"},0)-1,""))</f>
        <v/>
      </c>
      <c r="AH225" s="87">
        <f>IF($AC225="","",MATCH($AC225,{"FOLLOW UP REQUIRED","ACTION DUE TODAY","NO RESPONSE","DUE SOON"},0)*100000+IF(ISNUMBER($O225),$O225,IF(ISNUMBER($C225),$C225,0))+ROW()/10000)</f>
        <v/>
      </c>
      <c r="AI225" s="87">
        <f>IF(AND(ISNUMBER($AG225),$AG225&gt;=1,$AG225&lt;=6,$M225&lt;&gt;"Rejected",$M225&lt;&gt;"Withdrawn"),(10-$AG225)*100000+IF(ISNUMBER($C225),$C225,0)+ROW()/10000,"")</f>
        <v/>
      </c>
    </row>
    <row r="226">
      <c r="A226" s="80" t="n"/>
      <c r="B226" s="81" t="n"/>
      <c r="C226" s="81" t="n"/>
      <c r="D226" s="82" t="n"/>
      <c r="E226" s="82" t="n"/>
      <c r="F226" s="82" t="n"/>
      <c r="G226" s="82" t="n"/>
      <c r="H226" s="82" t="n"/>
      <c r="I226" s="83" t="n"/>
      <c r="J226" s="82" t="n"/>
      <c r="K226" s="84" t="n"/>
      <c r="L226" s="85" t="n"/>
      <c r="M226" s="82" t="n"/>
      <c r="N226" s="86" t="n"/>
      <c r="O226" s="81" t="n"/>
      <c r="P226" s="82" t="n"/>
      <c r="Q226" s="83" t="n"/>
      <c r="R226" s="82" t="n"/>
      <c r="S226" s="84" t="n"/>
      <c r="T226" s="84" t="n"/>
      <c r="U226" s="82" t="n"/>
      <c r="V226" s="86" t="n"/>
      <c r="W226" s="86" t="n"/>
      <c r="X226" s="86" t="n"/>
      <c r="Y226" s="81" t="n"/>
      <c r="Z226" s="82" t="n"/>
      <c r="AA226" s="81" t="n"/>
      <c r="AB226" s="82" t="n"/>
      <c r="AC226" s="87">
        <f>IF(OR($D226="",$M226="Rejected",$M226="Withdrawn",$M226="Accepted"),"",IF(ISNUMBER($O226),IF(INT($O226)&lt;TODAY(),"FOLLOW UP REQUIRED",IF(INT($O226)=TODAY(),"ACTION DUE TODAY",IF(INT($O226)-TODAY()&lt;=Set_DueSoonDays,"DUE SOON",""))),IF(AND($M226="Applied",$AA226=""),IF(ISNUMBER($C226),IF(TODAY()-$C226&gt;=Set_FollowUpDays,"NO RESPONSE",""),""),"")))</f>
        <v/>
      </c>
      <c r="AD226" s="87">
        <f>IF(ISNUMBER($L226),IF($L226&gt;=90,"Excellent Match",IF($L226&gt;=75,"Strong Match",IF($L226&gt;=60,"Moderate Match","Low Match"))),"")</f>
        <v/>
      </c>
      <c r="AE226" s="87">
        <f>IF($D226="","",IF(OR($M226="Rejected",$M226="Withdrawn"),IF($AB226&lt;&gt;"",$AB226,IF(OR($M226="Rejected",ISNUMBER($C226)),"Applied","Wishlist")),IF($M226="",IF(ISNUMBER($C226),"Applied","Wishlist"),$M226)))</f>
        <v/>
      </c>
      <c r="AF226" s="88">
        <f>IF(AND(ISNUMBER($C226),ISNUMBER($AA226)),$AA226-$C226,"")</f>
        <v/>
      </c>
      <c r="AG226" s="87">
        <f>IF($AE226="","",IFERROR(MATCH($AE226,{"Wishlist","Applied","Screening","Interview 1","Interview 2","Final","Offer","Accepted"},0)-1,""))</f>
        <v/>
      </c>
      <c r="AH226" s="87">
        <f>IF($AC226="","",MATCH($AC226,{"FOLLOW UP REQUIRED","ACTION DUE TODAY","NO RESPONSE","DUE SOON"},0)*100000+IF(ISNUMBER($O226),$O226,IF(ISNUMBER($C226),$C226,0))+ROW()/10000)</f>
        <v/>
      </c>
      <c r="AI226" s="87">
        <f>IF(AND(ISNUMBER($AG226),$AG226&gt;=1,$AG226&lt;=6,$M226&lt;&gt;"Rejected",$M226&lt;&gt;"Withdrawn"),(10-$AG226)*100000+IF(ISNUMBER($C226),$C226,0)+ROW()/10000,"")</f>
        <v/>
      </c>
    </row>
    <row r="227">
      <c r="A227" s="80" t="n"/>
      <c r="B227" s="81" t="n"/>
      <c r="C227" s="81" t="n"/>
      <c r="D227" s="82" t="n"/>
      <c r="E227" s="82" t="n"/>
      <c r="F227" s="82" t="n"/>
      <c r="G227" s="82" t="n"/>
      <c r="H227" s="82" t="n"/>
      <c r="I227" s="83" t="n"/>
      <c r="J227" s="82" t="n"/>
      <c r="K227" s="84" t="n"/>
      <c r="L227" s="85" t="n"/>
      <c r="M227" s="82" t="n"/>
      <c r="N227" s="86" t="n"/>
      <c r="O227" s="81" t="n"/>
      <c r="P227" s="82" t="n"/>
      <c r="Q227" s="83" t="n"/>
      <c r="R227" s="82" t="n"/>
      <c r="S227" s="84" t="n"/>
      <c r="T227" s="84" t="n"/>
      <c r="U227" s="82" t="n"/>
      <c r="V227" s="86" t="n"/>
      <c r="W227" s="86" t="n"/>
      <c r="X227" s="86" t="n"/>
      <c r="Y227" s="81" t="n"/>
      <c r="Z227" s="82" t="n"/>
      <c r="AA227" s="81" t="n"/>
      <c r="AB227" s="82" t="n"/>
      <c r="AC227" s="87">
        <f>IF(OR($D227="",$M227="Rejected",$M227="Withdrawn",$M227="Accepted"),"",IF(ISNUMBER($O227),IF(INT($O227)&lt;TODAY(),"FOLLOW UP REQUIRED",IF(INT($O227)=TODAY(),"ACTION DUE TODAY",IF(INT($O227)-TODAY()&lt;=Set_DueSoonDays,"DUE SOON",""))),IF(AND($M227="Applied",$AA227=""),IF(ISNUMBER($C227),IF(TODAY()-$C227&gt;=Set_FollowUpDays,"NO RESPONSE",""),""),"")))</f>
        <v/>
      </c>
      <c r="AD227" s="87">
        <f>IF(ISNUMBER($L227),IF($L227&gt;=90,"Excellent Match",IF($L227&gt;=75,"Strong Match",IF($L227&gt;=60,"Moderate Match","Low Match"))),"")</f>
        <v/>
      </c>
      <c r="AE227" s="87">
        <f>IF($D227="","",IF(OR($M227="Rejected",$M227="Withdrawn"),IF($AB227&lt;&gt;"",$AB227,IF(OR($M227="Rejected",ISNUMBER($C227)),"Applied","Wishlist")),IF($M227="",IF(ISNUMBER($C227),"Applied","Wishlist"),$M227)))</f>
        <v/>
      </c>
      <c r="AF227" s="88">
        <f>IF(AND(ISNUMBER($C227),ISNUMBER($AA227)),$AA227-$C227,"")</f>
        <v/>
      </c>
      <c r="AG227" s="87">
        <f>IF($AE227="","",IFERROR(MATCH($AE227,{"Wishlist","Applied","Screening","Interview 1","Interview 2","Final","Offer","Accepted"},0)-1,""))</f>
        <v/>
      </c>
      <c r="AH227" s="87">
        <f>IF($AC227="","",MATCH($AC227,{"FOLLOW UP REQUIRED","ACTION DUE TODAY","NO RESPONSE","DUE SOON"},0)*100000+IF(ISNUMBER($O227),$O227,IF(ISNUMBER($C227),$C227,0))+ROW()/10000)</f>
        <v/>
      </c>
      <c r="AI227" s="87">
        <f>IF(AND(ISNUMBER($AG227),$AG227&gt;=1,$AG227&lt;=6,$M227&lt;&gt;"Rejected",$M227&lt;&gt;"Withdrawn"),(10-$AG227)*100000+IF(ISNUMBER($C227),$C227,0)+ROW()/10000,"")</f>
        <v/>
      </c>
    </row>
    <row r="228">
      <c r="A228" s="80" t="n"/>
      <c r="B228" s="81" t="n"/>
      <c r="C228" s="81" t="n"/>
      <c r="D228" s="82" t="n"/>
      <c r="E228" s="82" t="n"/>
      <c r="F228" s="82" t="n"/>
      <c r="G228" s="82" t="n"/>
      <c r="H228" s="82" t="n"/>
      <c r="I228" s="83" t="n"/>
      <c r="J228" s="82" t="n"/>
      <c r="K228" s="84" t="n"/>
      <c r="L228" s="85" t="n"/>
      <c r="M228" s="82" t="n"/>
      <c r="N228" s="86" t="n"/>
      <c r="O228" s="81" t="n"/>
      <c r="P228" s="82" t="n"/>
      <c r="Q228" s="83" t="n"/>
      <c r="R228" s="82" t="n"/>
      <c r="S228" s="84" t="n"/>
      <c r="T228" s="84" t="n"/>
      <c r="U228" s="82" t="n"/>
      <c r="V228" s="86" t="n"/>
      <c r="W228" s="86" t="n"/>
      <c r="X228" s="86" t="n"/>
      <c r="Y228" s="81" t="n"/>
      <c r="Z228" s="82" t="n"/>
      <c r="AA228" s="81" t="n"/>
      <c r="AB228" s="82" t="n"/>
      <c r="AC228" s="87">
        <f>IF(OR($D228="",$M228="Rejected",$M228="Withdrawn",$M228="Accepted"),"",IF(ISNUMBER($O228),IF(INT($O228)&lt;TODAY(),"FOLLOW UP REQUIRED",IF(INT($O228)=TODAY(),"ACTION DUE TODAY",IF(INT($O228)-TODAY()&lt;=Set_DueSoonDays,"DUE SOON",""))),IF(AND($M228="Applied",$AA228=""),IF(ISNUMBER($C228),IF(TODAY()-$C228&gt;=Set_FollowUpDays,"NO RESPONSE",""),""),"")))</f>
        <v/>
      </c>
      <c r="AD228" s="87">
        <f>IF(ISNUMBER($L228),IF($L228&gt;=90,"Excellent Match",IF($L228&gt;=75,"Strong Match",IF($L228&gt;=60,"Moderate Match","Low Match"))),"")</f>
        <v/>
      </c>
      <c r="AE228" s="87">
        <f>IF($D228="","",IF(OR($M228="Rejected",$M228="Withdrawn"),IF($AB228&lt;&gt;"",$AB228,IF(OR($M228="Rejected",ISNUMBER($C228)),"Applied","Wishlist")),IF($M228="",IF(ISNUMBER($C228),"Applied","Wishlist"),$M228)))</f>
        <v/>
      </c>
      <c r="AF228" s="88">
        <f>IF(AND(ISNUMBER($C228),ISNUMBER($AA228)),$AA228-$C228,"")</f>
        <v/>
      </c>
      <c r="AG228" s="87">
        <f>IF($AE228="","",IFERROR(MATCH($AE228,{"Wishlist","Applied","Screening","Interview 1","Interview 2","Final","Offer","Accepted"},0)-1,""))</f>
        <v/>
      </c>
      <c r="AH228" s="87">
        <f>IF($AC228="","",MATCH($AC228,{"FOLLOW UP REQUIRED","ACTION DUE TODAY","NO RESPONSE","DUE SOON"},0)*100000+IF(ISNUMBER($O228),$O228,IF(ISNUMBER($C228),$C228,0))+ROW()/10000)</f>
        <v/>
      </c>
      <c r="AI228" s="87">
        <f>IF(AND(ISNUMBER($AG228),$AG228&gt;=1,$AG228&lt;=6,$M228&lt;&gt;"Rejected",$M228&lt;&gt;"Withdrawn"),(10-$AG228)*100000+IF(ISNUMBER($C228),$C228,0)+ROW()/10000,"")</f>
        <v/>
      </c>
    </row>
    <row r="229">
      <c r="A229" s="80" t="n"/>
      <c r="B229" s="81" t="n"/>
      <c r="C229" s="81" t="n"/>
      <c r="D229" s="82" t="n"/>
      <c r="E229" s="82" t="n"/>
      <c r="F229" s="82" t="n"/>
      <c r="G229" s="82" t="n"/>
      <c r="H229" s="82" t="n"/>
      <c r="I229" s="83" t="n"/>
      <c r="J229" s="82" t="n"/>
      <c r="K229" s="84" t="n"/>
      <c r="L229" s="85" t="n"/>
      <c r="M229" s="82" t="n"/>
      <c r="N229" s="86" t="n"/>
      <c r="O229" s="81" t="n"/>
      <c r="P229" s="82" t="n"/>
      <c r="Q229" s="83" t="n"/>
      <c r="R229" s="82" t="n"/>
      <c r="S229" s="84" t="n"/>
      <c r="T229" s="84" t="n"/>
      <c r="U229" s="82" t="n"/>
      <c r="V229" s="86" t="n"/>
      <c r="W229" s="86" t="n"/>
      <c r="X229" s="86" t="n"/>
      <c r="Y229" s="81" t="n"/>
      <c r="Z229" s="82" t="n"/>
      <c r="AA229" s="81" t="n"/>
      <c r="AB229" s="82" t="n"/>
      <c r="AC229" s="87">
        <f>IF(OR($D229="",$M229="Rejected",$M229="Withdrawn",$M229="Accepted"),"",IF(ISNUMBER($O229),IF(INT($O229)&lt;TODAY(),"FOLLOW UP REQUIRED",IF(INT($O229)=TODAY(),"ACTION DUE TODAY",IF(INT($O229)-TODAY()&lt;=Set_DueSoonDays,"DUE SOON",""))),IF(AND($M229="Applied",$AA229=""),IF(ISNUMBER($C229),IF(TODAY()-$C229&gt;=Set_FollowUpDays,"NO RESPONSE",""),""),"")))</f>
        <v/>
      </c>
      <c r="AD229" s="87">
        <f>IF(ISNUMBER($L229),IF($L229&gt;=90,"Excellent Match",IF($L229&gt;=75,"Strong Match",IF($L229&gt;=60,"Moderate Match","Low Match"))),"")</f>
        <v/>
      </c>
      <c r="AE229" s="87">
        <f>IF($D229="","",IF(OR($M229="Rejected",$M229="Withdrawn"),IF($AB229&lt;&gt;"",$AB229,IF(OR($M229="Rejected",ISNUMBER($C229)),"Applied","Wishlist")),IF($M229="",IF(ISNUMBER($C229),"Applied","Wishlist"),$M229)))</f>
        <v/>
      </c>
      <c r="AF229" s="88">
        <f>IF(AND(ISNUMBER($C229),ISNUMBER($AA229)),$AA229-$C229,"")</f>
        <v/>
      </c>
      <c r="AG229" s="87">
        <f>IF($AE229="","",IFERROR(MATCH($AE229,{"Wishlist","Applied","Screening","Interview 1","Interview 2","Final","Offer","Accepted"},0)-1,""))</f>
        <v/>
      </c>
      <c r="AH229" s="87">
        <f>IF($AC229="","",MATCH($AC229,{"FOLLOW UP REQUIRED","ACTION DUE TODAY","NO RESPONSE","DUE SOON"},0)*100000+IF(ISNUMBER($O229),$O229,IF(ISNUMBER($C229),$C229,0))+ROW()/10000)</f>
        <v/>
      </c>
      <c r="AI229" s="87">
        <f>IF(AND(ISNUMBER($AG229),$AG229&gt;=1,$AG229&lt;=6,$M229&lt;&gt;"Rejected",$M229&lt;&gt;"Withdrawn"),(10-$AG229)*100000+IF(ISNUMBER($C229),$C229,0)+ROW()/10000,"")</f>
        <v/>
      </c>
    </row>
    <row r="230">
      <c r="A230" s="80" t="n"/>
      <c r="B230" s="81" t="n"/>
      <c r="C230" s="81" t="n"/>
      <c r="D230" s="82" t="n"/>
      <c r="E230" s="82" t="n"/>
      <c r="F230" s="82" t="n"/>
      <c r="G230" s="82" t="n"/>
      <c r="H230" s="82" t="n"/>
      <c r="I230" s="83" t="n"/>
      <c r="J230" s="82" t="n"/>
      <c r="K230" s="84" t="n"/>
      <c r="L230" s="85" t="n"/>
      <c r="M230" s="82" t="n"/>
      <c r="N230" s="86" t="n"/>
      <c r="O230" s="81" t="n"/>
      <c r="P230" s="82" t="n"/>
      <c r="Q230" s="83" t="n"/>
      <c r="R230" s="82" t="n"/>
      <c r="S230" s="84" t="n"/>
      <c r="T230" s="84" t="n"/>
      <c r="U230" s="82" t="n"/>
      <c r="V230" s="86" t="n"/>
      <c r="W230" s="86" t="n"/>
      <c r="X230" s="86" t="n"/>
      <c r="Y230" s="81" t="n"/>
      <c r="Z230" s="82" t="n"/>
      <c r="AA230" s="81" t="n"/>
      <c r="AB230" s="82" t="n"/>
      <c r="AC230" s="87">
        <f>IF(OR($D230="",$M230="Rejected",$M230="Withdrawn",$M230="Accepted"),"",IF(ISNUMBER($O230),IF(INT($O230)&lt;TODAY(),"FOLLOW UP REQUIRED",IF(INT($O230)=TODAY(),"ACTION DUE TODAY",IF(INT($O230)-TODAY()&lt;=Set_DueSoonDays,"DUE SOON",""))),IF(AND($M230="Applied",$AA230=""),IF(ISNUMBER($C230),IF(TODAY()-$C230&gt;=Set_FollowUpDays,"NO RESPONSE",""),""),"")))</f>
        <v/>
      </c>
      <c r="AD230" s="87">
        <f>IF(ISNUMBER($L230),IF($L230&gt;=90,"Excellent Match",IF($L230&gt;=75,"Strong Match",IF($L230&gt;=60,"Moderate Match","Low Match"))),"")</f>
        <v/>
      </c>
      <c r="AE230" s="87">
        <f>IF($D230="","",IF(OR($M230="Rejected",$M230="Withdrawn"),IF($AB230&lt;&gt;"",$AB230,IF(OR($M230="Rejected",ISNUMBER($C230)),"Applied","Wishlist")),IF($M230="",IF(ISNUMBER($C230),"Applied","Wishlist"),$M230)))</f>
        <v/>
      </c>
      <c r="AF230" s="88">
        <f>IF(AND(ISNUMBER($C230),ISNUMBER($AA230)),$AA230-$C230,"")</f>
        <v/>
      </c>
      <c r="AG230" s="87">
        <f>IF($AE230="","",IFERROR(MATCH($AE230,{"Wishlist","Applied","Screening","Interview 1","Interview 2","Final","Offer","Accepted"},0)-1,""))</f>
        <v/>
      </c>
      <c r="AH230" s="87">
        <f>IF($AC230="","",MATCH($AC230,{"FOLLOW UP REQUIRED","ACTION DUE TODAY","NO RESPONSE","DUE SOON"},0)*100000+IF(ISNUMBER($O230),$O230,IF(ISNUMBER($C230),$C230,0))+ROW()/10000)</f>
        <v/>
      </c>
      <c r="AI230" s="87">
        <f>IF(AND(ISNUMBER($AG230),$AG230&gt;=1,$AG230&lt;=6,$M230&lt;&gt;"Rejected",$M230&lt;&gt;"Withdrawn"),(10-$AG230)*100000+IF(ISNUMBER($C230),$C230,0)+ROW()/10000,"")</f>
        <v/>
      </c>
    </row>
    <row r="231">
      <c r="A231" s="80" t="n"/>
      <c r="B231" s="81" t="n"/>
      <c r="C231" s="81" t="n"/>
      <c r="D231" s="82" t="n"/>
      <c r="E231" s="82" t="n"/>
      <c r="F231" s="82" t="n"/>
      <c r="G231" s="82" t="n"/>
      <c r="H231" s="82" t="n"/>
      <c r="I231" s="83" t="n"/>
      <c r="J231" s="82" t="n"/>
      <c r="K231" s="84" t="n"/>
      <c r="L231" s="85" t="n"/>
      <c r="M231" s="82" t="n"/>
      <c r="N231" s="86" t="n"/>
      <c r="O231" s="81" t="n"/>
      <c r="P231" s="82" t="n"/>
      <c r="Q231" s="83" t="n"/>
      <c r="R231" s="82" t="n"/>
      <c r="S231" s="84" t="n"/>
      <c r="T231" s="84" t="n"/>
      <c r="U231" s="82" t="n"/>
      <c r="V231" s="86" t="n"/>
      <c r="W231" s="86" t="n"/>
      <c r="X231" s="86" t="n"/>
      <c r="Y231" s="81" t="n"/>
      <c r="Z231" s="82" t="n"/>
      <c r="AA231" s="81" t="n"/>
      <c r="AB231" s="82" t="n"/>
      <c r="AC231" s="87">
        <f>IF(OR($D231="",$M231="Rejected",$M231="Withdrawn",$M231="Accepted"),"",IF(ISNUMBER($O231),IF(INT($O231)&lt;TODAY(),"FOLLOW UP REQUIRED",IF(INT($O231)=TODAY(),"ACTION DUE TODAY",IF(INT($O231)-TODAY()&lt;=Set_DueSoonDays,"DUE SOON",""))),IF(AND($M231="Applied",$AA231=""),IF(ISNUMBER($C231),IF(TODAY()-$C231&gt;=Set_FollowUpDays,"NO RESPONSE",""),""),"")))</f>
        <v/>
      </c>
      <c r="AD231" s="87">
        <f>IF(ISNUMBER($L231),IF($L231&gt;=90,"Excellent Match",IF($L231&gt;=75,"Strong Match",IF($L231&gt;=60,"Moderate Match","Low Match"))),"")</f>
        <v/>
      </c>
      <c r="AE231" s="87">
        <f>IF($D231="","",IF(OR($M231="Rejected",$M231="Withdrawn"),IF($AB231&lt;&gt;"",$AB231,IF(OR($M231="Rejected",ISNUMBER($C231)),"Applied","Wishlist")),IF($M231="",IF(ISNUMBER($C231),"Applied","Wishlist"),$M231)))</f>
        <v/>
      </c>
      <c r="AF231" s="88">
        <f>IF(AND(ISNUMBER($C231),ISNUMBER($AA231)),$AA231-$C231,"")</f>
        <v/>
      </c>
      <c r="AG231" s="87">
        <f>IF($AE231="","",IFERROR(MATCH($AE231,{"Wishlist","Applied","Screening","Interview 1","Interview 2","Final","Offer","Accepted"},0)-1,""))</f>
        <v/>
      </c>
      <c r="AH231" s="87">
        <f>IF($AC231="","",MATCH($AC231,{"FOLLOW UP REQUIRED","ACTION DUE TODAY","NO RESPONSE","DUE SOON"},0)*100000+IF(ISNUMBER($O231),$O231,IF(ISNUMBER($C231),$C231,0))+ROW()/10000)</f>
        <v/>
      </c>
      <c r="AI231" s="87">
        <f>IF(AND(ISNUMBER($AG231),$AG231&gt;=1,$AG231&lt;=6,$M231&lt;&gt;"Rejected",$M231&lt;&gt;"Withdrawn"),(10-$AG231)*100000+IF(ISNUMBER($C231),$C231,0)+ROW()/10000,"")</f>
        <v/>
      </c>
    </row>
    <row r="232">
      <c r="A232" s="80" t="n"/>
      <c r="B232" s="81" t="n"/>
      <c r="C232" s="81" t="n"/>
      <c r="D232" s="82" t="n"/>
      <c r="E232" s="82" t="n"/>
      <c r="F232" s="82" t="n"/>
      <c r="G232" s="82" t="n"/>
      <c r="H232" s="82" t="n"/>
      <c r="I232" s="83" t="n"/>
      <c r="J232" s="82" t="n"/>
      <c r="K232" s="84" t="n"/>
      <c r="L232" s="85" t="n"/>
      <c r="M232" s="82" t="n"/>
      <c r="N232" s="86" t="n"/>
      <c r="O232" s="81" t="n"/>
      <c r="P232" s="82" t="n"/>
      <c r="Q232" s="83" t="n"/>
      <c r="R232" s="82" t="n"/>
      <c r="S232" s="84" t="n"/>
      <c r="T232" s="84" t="n"/>
      <c r="U232" s="82" t="n"/>
      <c r="V232" s="86" t="n"/>
      <c r="W232" s="86" t="n"/>
      <c r="X232" s="86" t="n"/>
      <c r="Y232" s="81" t="n"/>
      <c r="Z232" s="82" t="n"/>
      <c r="AA232" s="81" t="n"/>
      <c r="AB232" s="82" t="n"/>
      <c r="AC232" s="87">
        <f>IF(OR($D232="",$M232="Rejected",$M232="Withdrawn",$M232="Accepted"),"",IF(ISNUMBER($O232),IF(INT($O232)&lt;TODAY(),"FOLLOW UP REQUIRED",IF(INT($O232)=TODAY(),"ACTION DUE TODAY",IF(INT($O232)-TODAY()&lt;=Set_DueSoonDays,"DUE SOON",""))),IF(AND($M232="Applied",$AA232=""),IF(ISNUMBER($C232),IF(TODAY()-$C232&gt;=Set_FollowUpDays,"NO RESPONSE",""),""),"")))</f>
        <v/>
      </c>
      <c r="AD232" s="87">
        <f>IF(ISNUMBER($L232),IF($L232&gt;=90,"Excellent Match",IF($L232&gt;=75,"Strong Match",IF($L232&gt;=60,"Moderate Match","Low Match"))),"")</f>
        <v/>
      </c>
      <c r="AE232" s="87">
        <f>IF($D232="","",IF(OR($M232="Rejected",$M232="Withdrawn"),IF($AB232&lt;&gt;"",$AB232,IF(OR($M232="Rejected",ISNUMBER($C232)),"Applied","Wishlist")),IF($M232="",IF(ISNUMBER($C232),"Applied","Wishlist"),$M232)))</f>
        <v/>
      </c>
      <c r="AF232" s="88">
        <f>IF(AND(ISNUMBER($C232),ISNUMBER($AA232)),$AA232-$C232,"")</f>
        <v/>
      </c>
      <c r="AG232" s="87">
        <f>IF($AE232="","",IFERROR(MATCH($AE232,{"Wishlist","Applied","Screening","Interview 1","Interview 2","Final","Offer","Accepted"},0)-1,""))</f>
        <v/>
      </c>
      <c r="AH232" s="87">
        <f>IF($AC232="","",MATCH($AC232,{"FOLLOW UP REQUIRED","ACTION DUE TODAY","NO RESPONSE","DUE SOON"},0)*100000+IF(ISNUMBER($O232),$O232,IF(ISNUMBER($C232),$C232,0))+ROW()/10000)</f>
        <v/>
      </c>
      <c r="AI232" s="87">
        <f>IF(AND(ISNUMBER($AG232),$AG232&gt;=1,$AG232&lt;=6,$M232&lt;&gt;"Rejected",$M232&lt;&gt;"Withdrawn"),(10-$AG232)*100000+IF(ISNUMBER($C232),$C232,0)+ROW()/10000,"")</f>
        <v/>
      </c>
    </row>
    <row r="233">
      <c r="A233" s="80" t="n"/>
      <c r="B233" s="81" t="n"/>
      <c r="C233" s="81" t="n"/>
      <c r="D233" s="82" t="n"/>
      <c r="E233" s="82" t="n"/>
      <c r="F233" s="82" t="n"/>
      <c r="G233" s="82" t="n"/>
      <c r="H233" s="82" t="n"/>
      <c r="I233" s="83" t="n"/>
      <c r="J233" s="82" t="n"/>
      <c r="K233" s="84" t="n"/>
      <c r="L233" s="85" t="n"/>
      <c r="M233" s="82" t="n"/>
      <c r="N233" s="86" t="n"/>
      <c r="O233" s="81" t="n"/>
      <c r="P233" s="82" t="n"/>
      <c r="Q233" s="83" t="n"/>
      <c r="R233" s="82" t="n"/>
      <c r="S233" s="84" t="n"/>
      <c r="T233" s="84" t="n"/>
      <c r="U233" s="82" t="n"/>
      <c r="V233" s="86" t="n"/>
      <c r="W233" s="86" t="n"/>
      <c r="X233" s="86" t="n"/>
      <c r="Y233" s="81" t="n"/>
      <c r="Z233" s="82" t="n"/>
      <c r="AA233" s="81" t="n"/>
      <c r="AB233" s="82" t="n"/>
      <c r="AC233" s="87">
        <f>IF(OR($D233="",$M233="Rejected",$M233="Withdrawn",$M233="Accepted"),"",IF(ISNUMBER($O233),IF(INT($O233)&lt;TODAY(),"FOLLOW UP REQUIRED",IF(INT($O233)=TODAY(),"ACTION DUE TODAY",IF(INT($O233)-TODAY()&lt;=Set_DueSoonDays,"DUE SOON",""))),IF(AND($M233="Applied",$AA233=""),IF(ISNUMBER($C233),IF(TODAY()-$C233&gt;=Set_FollowUpDays,"NO RESPONSE",""),""),"")))</f>
        <v/>
      </c>
      <c r="AD233" s="87">
        <f>IF(ISNUMBER($L233),IF($L233&gt;=90,"Excellent Match",IF($L233&gt;=75,"Strong Match",IF($L233&gt;=60,"Moderate Match","Low Match"))),"")</f>
        <v/>
      </c>
      <c r="AE233" s="87">
        <f>IF($D233="","",IF(OR($M233="Rejected",$M233="Withdrawn"),IF($AB233&lt;&gt;"",$AB233,IF(OR($M233="Rejected",ISNUMBER($C233)),"Applied","Wishlist")),IF($M233="",IF(ISNUMBER($C233),"Applied","Wishlist"),$M233)))</f>
        <v/>
      </c>
      <c r="AF233" s="88">
        <f>IF(AND(ISNUMBER($C233),ISNUMBER($AA233)),$AA233-$C233,"")</f>
        <v/>
      </c>
      <c r="AG233" s="87">
        <f>IF($AE233="","",IFERROR(MATCH($AE233,{"Wishlist","Applied","Screening","Interview 1","Interview 2","Final","Offer","Accepted"},0)-1,""))</f>
        <v/>
      </c>
      <c r="AH233" s="87">
        <f>IF($AC233="","",MATCH($AC233,{"FOLLOW UP REQUIRED","ACTION DUE TODAY","NO RESPONSE","DUE SOON"},0)*100000+IF(ISNUMBER($O233),$O233,IF(ISNUMBER($C233),$C233,0))+ROW()/10000)</f>
        <v/>
      </c>
      <c r="AI233" s="87">
        <f>IF(AND(ISNUMBER($AG233),$AG233&gt;=1,$AG233&lt;=6,$M233&lt;&gt;"Rejected",$M233&lt;&gt;"Withdrawn"),(10-$AG233)*100000+IF(ISNUMBER($C233),$C233,0)+ROW()/10000,"")</f>
        <v/>
      </c>
    </row>
    <row r="234">
      <c r="A234" s="80" t="n"/>
      <c r="B234" s="81" t="n"/>
      <c r="C234" s="81" t="n"/>
      <c r="D234" s="82" t="n"/>
      <c r="E234" s="82" t="n"/>
      <c r="F234" s="82" t="n"/>
      <c r="G234" s="82" t="n"/>
      <c r="H234" s="82" t="n"/>
      <c r="I234" s="83" t="n"/>
      <c r="J234" s="82" t="n"/>
      <c r="K234" s="84" t="n"/>
      <c r="L234" s="85" t="n"/>
      <c r="M234" s="82" t="n"/>
      <c r="N234" s="86" t="n"/>
      <c r="O234" s="81" t="n"/>
      <c r="P234" s="82" t="n"/>
      <c r="Q234" s="83" t="n"/>
      <c r="R234" s="82" t="n"/>
      <c r="S234" s="84" t="n"/>
      <c r="T234" s="84" t="n"/>
      <c r="U234" s="82" t="n"/>
      <c r="V234" s="86" t="n"/>
      <c r="W234" s="86" t="n"/>
      <c r="X234" s="86" t="n"/>
      <c r="Y234" s="81" t="n"/>
      <c r="Z234" s="82" t="n"/>
      <c r="AA234" s="81" t="n"/>
      <c r="AB234" s="82" t="n"/>
      <c r="AC234" s="87">
        <f>IF(OR($D234="",$M234="Rejected",$M234="Withdrawn",$M234="Accepted"),"",IF(ISNUMBER($O234),IF(INT($O234)&lt;TODAY(),"FOLLOW UP REQUIRED",IF(INT($O234)=TODAY(),"ACTION DUE TODAY",IF(INT($O234)-TODAY()&lt;=Set_DueSoonDays,"DUE SOON",""))),IF(AND($M234="Applied",$AA234=""),IF(ISNUMBER($C234),IF(TODAY()-$C234&gt;=Set_FollowUpDays,"NO RESPONSE",""),""),"")))</f>
        <v/>
      </c>
      <c r="AD234" s="87">
        <f>IF(ISNUMBER($L234),IF($L234&gt;=90,"Excellent Match",IF($L234&gt;=75,"Strong Match",IF($L234&gt;=60,"Moderate Match","Low Match"))),"")</f>
        <v/>
      </c>
      <c r="AE234" s="87">
        <f>IF($D234="","",IF(OR($M234="Rejected",$M234="Withdrawn"),IF($AB234&lt;&gt;"",$AB234,IF(OR($M234="Rejected",ISNUMBER($C234)),"Applied","Wishlist")),IF($M234="",IF(ISNUMBER($C234),"Applied","Wishlist"),$M234)))</f>
        <v/>
      </c>
      <c r="AF234" s="88">
        <f>IF(AND(ISNUMBER($C234),ISNUMBER($AA234)),$AA234-$C234,"")</f>
        <v/>
      </c>
      <c r="AG234" s="87">
        <f>IF($AE234="","",IFERROR(MATCH($AE234,{"Wishlist","Applied","Screening","Interview 1","Interview 2","Final","Offer","Accepted"},0)-1,""))</f>
        <v/>
      </c>
      <c r="AH234" s="87">
        <f>IF($AC234="","",MATCH($AC234,{"FOLLOW UP REQUIRED","ACTION DUE TODAY","NO RESPONSE","DUE SOON"},0)*100000+IF(ISNUMBER($O234),$O234,IF(ISNUMBER($C234),$C234,0))+ROW()/10000)</f>
        <v/>
      </c>
      <c r="AI234" s="87">
        <f>IF(AND(ISNUMBER($AG234),$AG234&gt;=1,$AG234&lt;=6,$M234&lt;&gt;"Rejected",$M234&lt;&gt;"Withdrawn"),(10-$AG234)*100000+IF(ISNUMBER($C234),$C234,0)+ROW()/10000,"")</f>
        <v/>
      </c>
    </row>
    <row r="235">
      <c r="A235" s="80" t="n"/>
      <c r="B235" s="81" t="n"/>
      <c r="C235" s="81" t="n"/>
      <c r="D235" s="82" t="n"/>
      <c r="E235" s="82" t="n"/>
      <c r="F235" s="82" t="n"/>
      <c r="G235" s="82" t="n"/>
      <c r="H235" s="82" t="n"/>
      <c r="I235" s="83" t="n"/>
      <c r="J235" s="82" t="n"/>
      <c r="K235" s="84" t="n"/>
      <c r="L235" s="85" t="n"/>
      <c r="M235" s="82" t="n"/>
      <c r="N235" s="86" t="n"/>
      <c r="O235" s="81" t="n"/>
      <c r="P235" s="82" t="n"/>
      <c r="Q235" s="83" t="n"/>
      <c r="R235" s="82" t="n"/>
      <c r="S235" s="84" t="n"/>
      <c r="T235" s="84" t="n"/>
      <c r="U235" s="82" t="n"/>
      <c r="V235" s="86" t="n"/>
      <c r="W235" s="86" t="n"/>
      <c r="X235" s="86" t="n"/>
      <c r="Y235" s="81" t="n"/>
      <c r="Z235" s="82" t="n"/>
      <c r="AA235" s="81" t="n"/>
      <c r="AB235" s="82" t="n"/>
      <c r="AC235" s="87">
        <f>IF(OR($D235="",$M235="Rejected",$M235="Withdrawn",$M235="Accepted"),"",IF(ISNUMBER($O235),IF(INT($O235)&lt;TODAY(),"FOLLOW UP REQUIRED",IF(INT($O235)=TODAY(),"ACTION DUE TODAY",IF(INT($O235)-TODAY()&lt;=Set_DueSoonDays,"DUE SOON",""))),IF(AND($M235="Applied",$AA235=""),IF(ISNUMBER($C235),IF(TODAY()-$C235&gt;=Set_FollowUpDays,"NO RESPONSE",""),""),"")))</f>
        <v/>
      </c>
      <c r="AD235" s="87">
        <f>IF(ISNUMBER($L235),IF($L235&gt;=90,"Excellent Match",IF($L235&gt;=75,"Strong Match",IF($L235&gt;=60,"Moderate Match","Low Match"))),"")</f>
        <v/>
      </c>
      <c r="AE235" s="87">
        <f>IF($D235="","",IF(OR($M235="Rejected",$M235="Withdrawn"),IF($AB235&lt;&gt;"",$AB235,IF(OR($M235="Rejected",ISNUMBER($C235)),"Applied","Wishlist")),IF($M235="",IF(ISNUMBER($C235),"Applied","Wishlist"),$M235)))</f>
        <v/>
      </c>
      <c r="AF235" s="88">
        <f>IF(AND(ISNUMBER($C235),ISNUMBER($AA235)),$AA235-$C235,"")</f>
        <v/>
      </c>
      <c r="AG235" s="87">
        <f>IF($AE235="","",IFERROR(MATCH($AE235,{"Wishlist","Applied","Screening","Interview 1","Interview 2","Final","Offer","Accepted"},0)-1,""))</f>
        <v/>
      </c>
      <c r="AH235" s="87">
        <f>IF($AC235="","",MATCH($AC235,{"FOLLOW UP REQUIRED","ACTION DUE TODAY","NO RESPONSE","DUE SOON"},0)*100000+IF(ISNUMBER($O235),$O235,IF(ISNUMBER($C235),$C235,0))+ROW()/10000)</f>
        <v/>
      </c>
      <c r="AI235" s="87">
        <f>IF(AND(ISNUMBER($AG235),$AG235&gt;=1,$AG235&lt;=6,$M235&lt;&gt;"Rejected",$M235&lt;&gt;"Withdrawn"),(10-$AG235)*100000+IF(ISNUMBER($C235),$C235,0)+ROW()/10000,"")</f>
        <v/>
      </c>
    </row>
    <row r="236">
      <c r="A236" s="80" t="n"/>
      <c r="B236" s="81" t="n"/>
      <c r="C236" s="81" t="n"/>
      <c r="D236" s="82" t="n"/>
      <c r="E236" s="82" t="n"/>
      <c r="F236" s="82" t="n"/>
      <c r="G236" s="82" t="n"/>
      <c r="H236" s="82" t="n"/>
      <c r="I236" s="83" t="n"/>
      <c r="J236" s="82" t="n"/>
      <c r="K236" s="84" t="n"/>
      <c r="L236" s="85" t="n"/>
      <c r="M236" s="82" t="n"/>
      <c r="N236" s="86" t="n"/>
      <c r="O236" s="81" t="n"/>
      <c r="P236" s="82" t="n"/>
      <c r="Q236" s="83" t="n"/>
      <c r="R236" s="82" t="n"/>
      <c r="S236" s="84" t="n"/>
      <c r="T236" s="84" t="n"/>
      <c r="U236" s="82" t="n"/>
      <c r="V236" s="86" t="n"/>
      <c r="W236" s="86" t="n"/>
      <c r="X236" s="86" t="n"/>
      <c r="Y236" s="81" t="n"/>
      <c r="Z236" s="82" t="n"/>
      <c r="AA236" s="81" t="n"/>
      <c r="AB236" s="82" t="n"/>
      <c r="AC236" s="87">
        <f>IF(OR($D236="",$M236="Rejected",$M236="Withdrawn",$M236="Accepted"),"",IF(ISNUMBER($O236),IF(INT($O236)&lt;TODAY(),"FOLLOW UP REQUIRED",IF(INT($O236)=TODAY(),"ACTION DUE TODAY",IF(INT($O236)-TODAY()&lt;=Set_DueSoonDays,"DUE SOON",""))),IF(AND($M236="Applied",$AA236=""),IF(ISNUMBER($C236),IF(TODAY()-$C236&gt;=Set_FollowUpDays,"NO RESPONSE",""),""),"")))</f>
        <v/>
      </c>
      <c r="AD236" s="87">
        <f>IF(ISNUMBER($L236),IF($L236&gt;=90,"Excellent Match",IF($L236&gt;=75,"Strong Match",IF($L236&gt;=60,"Moderate Match","Low Match"))),"")</f>
        <v/>
      </c>
      <c r="AE236" s="87">
        <f>IF($D236="","",IF(OR($M236="Rejected",$M236="Withdrawn"),IF($AB236&lt;&gt;"",$AB236,IF(OR($M236="Rejected",ISNUMBER($C236)),"Applied","Wishlist")),IF($M236="",IF(ISNUMBER($C236),"Applied","Wishlist"),$M236)))</f>
        <v/>
      </c>
      <c r="AF236" s="88">
        <f>IF(AND(ISNUMBER($C236),ISNUMBER($AA236)),$AA236-$C236,"")</f>
        <v/>
      </c>
      <c r="AG236" s="87">
        <f>IF($AE236="","",IFERROR(MATCH($AE236,{"Wishlist","Applied","Screening","Interview 1","Interview 2","Final","Offer","Accepted"},0)-1,""))</f>
        <v/>
      </c>
      <c r="AH236" s="87">
        <f>IF($AC236="","",MATCH($AC236,{"FOLLOW UP REQUIRED","ACTION DUE TODAY","NO RESPONSE","DUE SOON"},0)*100000+IF(ISNUMBER($O236),$O236,IF(ISNUMBER($C236),$C236,0))+ROW()/10000)</f>
        <v/>
      </c>
      <c r="AI236" s="87">
        <f>IF(AND(ISNUMBER($AG236),$AG236&gt;=1,$AG236&lt;=6,$M236&lt;&gt;"Rejected",$M236&lt;&gt;"Withdrawn"),(10-$AG236)*100000+IF(ISNUMBER($C236),$C236,0)+ROW()/10000,"")</f>
        <v/>
      </c>
    </row>
    <row r="237">
      <c r="A237" s="80" t="n"/>
      <c r="B237" s="81" t="n"/>
      <c r="C237" s="81" t="n"/>
      <c r="D237" s="82" t="n"/>
      <c r="E237" s="82" t="n"/>
      <c r="F237" s="82" t="n"/>
      <c r="G237" s="82" t="n"/>
      <c r="H237" s="82" t="n"/>
      <c r="I237" s="83" t="n"/>
      <c r="J237" s="82" t="n"/>
      <c r="K237" s="84" t="n"/>
      <c r="L237" s="85" t="n"/>
      <c r="M237" s="82" t="n"/>
      <c r="N237" s="86" t="n"/>
      <c r="O237" s="81" t="n"/>
      <c r="P237" s="82" t="n"/>
      <c r="Q237" s="83" t="n"/>
      <c r="R237" s="82" t="n"/>
      <c r="S237" s="84" t="n"/>
      <c r="T237" s="84" t="n"/>
      <c r="U237" s="82" t="n"/>
      <c r="V237" s="86" t="n"/>
      <c r="W237" s="86" t="n"/>
      <c r="X237" s="86" t="n"/>
      <c r="Y237" s="81" t="n"/>
      <c r="Z237" s="82" t="n"/>
      <c r="AA237" s="81" t="n"/>
      <c r="AB237" s="82" t="n"/>
      <c r="AC237" s="87">
        <f>IF(OR($D237="",$M237="Rejected",$M237="Withdrawn",$M237="Accepted"),"",IF(ISNUMBER($O237),IF(INT($O237)&lt;TODAY(),"FOLLOW UP REQUIRED",IF(INT($O237)=TODAY(),"ACTION DUE TODAY",IF(INT($O237)-TODAY()&lt;=Set_DueSoonDays,"DUE SOON",""))),IF(AND($M237="Applied",$AA237=""),IF(ISNUMBER($C237),IF(TODAY()-$C237&gt;=Set_FollowUpDays,"NO RESPONSE",""),""),"")))</f>
        <v/>
      </c>
      <c r="AD237" s="87">
        <f>IF(ISNUMBER($L237),IF($L237&gt;=90,"Excellent Match",IF($L237&gt;=75,"Strong Match",IF($L237&gt;=60,"Moderate Match","Low Match"))),"")</f>
        <v/>
      </c>
      <c r="AE237" s="87">
        <f>IF($D237="","",IF(OR($M237="Rejected",$M237="Withdrawn"),IF($AB237&lt;&gt;"",$AB237,IF(OR($M237="Rejected",ISNUMBER($C237)),"Applied","Wishlist")),IF($M237="",IF(ISNUMBER($C237),"Applied","Wishlist"),$M237)))</f>
        <v/>
      </c>
      <c r="AF237" s="88">
        <f>IF(AND(ISNUMBER($C237),ISNUMBER($AA237)),$AA237-$C237,"")</f>
        <v/>
      </c>
      <c r="AG237" s="87">
        <f>IF($AE237="","",IFERROR(MATCH($AE237,{"Wishlist","Applied","Screening","Interview 1","Interview 2","Final","Offer","Accepted"},0)-1,""))</f>
        <v/>
      </c>
      <c r="AH237" s="87">
        <f>IF($AC237="","",MATCH($AC237,{"FOLLOW UP REQUIRED","ACTION DUE TODAY","NO RESPONSE","DUE SOON"},0)*100000+IF(ISNUMBER($O237),$O237,IF(ISNUMBER($C237),$C237,0))+ROW()/10000)</f>
        <v/>
      </c>
      <c r="AI237" s="87">
        <f>IF(AND(ISNUMBER($AG237),$AG237&gt;=1,$AG237&lt;=6,$M237&lt;&gt;"Rejected",$M237&lt;&gt;"Withdrawn"),(10-$AG237)*100000+IF(ISNUMBER($C237),$C237,0)+ROW()/10000,"")</f>
        <v/>
      </c>
    </row>
    <row r="238">
      <c r="A238" s="80" t="n"/>
      <c r="B238" s="81" t="n"/>
      <c r="C238" s="81" t="n"/>
      <c r="D238" s="82" t="n"/>
      <c r="E238" s="82" t="n"/>
      <c r="F238" s="82" t="n"/>
      <c r="G238" s="82" t="n"/>
      <c r="H238" s="82" t="n"/>
      <c r="I238" s="83" t="n"/>
      <c r="J238" s="82" t="n"/>
      <c r="K238" s="84" t="n"/>
      <c r="L238" s="85" t="n"/>
      <c r="M238" s="82" t="n"/>
      <c r="N238" s="86" t="n"/>
      <c r="O238" s="81" t="n"/>
      <c r="P238" s="82" t="n"/>
      <c r="Q238" s="83" t="n"/>
      <c r="R238" s="82" t="n"/>
      <c r="S238" s="84" t="n"/>
      <c r="T238" s="84" t="n"/>
      <c r="U238" s="82" t="n"/>
      <c r="V238" s="86" t="n"/>
      <c r="W238" s="86" t="n"/>
      <c r="X238" s="86" t="n"/>
      <c r="Y238" s="81" t="n"/>
      <c r="Z238" s="82" t="n"/>
      <c r="AA238" s="81" t="n"/>
      <c r="AB238" s="82" t="n"/>
      <c r="AC238" s="87">
        <f>IF(OR($D238="",$M238="Rejected",$M238="Withdrawn",$M238="Accepted"),"",IF(ISNUMBER($O238),IF(INT($O238)&lt;TODAY(),"FOLLOW UP REQUIRED",IF(INT($O238)=TODAY(),"ACTION DUE TODAY",IF(INT($O238)-TODAY()&lt;=Set_DueSoonDays,"DUE SOON",""))),IF(AND($M238="Applied",$AA238=""),IF(ISNUMBER($C238),IF(TODAY()-$C238&gt;=Set_FollowUpDays,"NO RESPONSE",""),""),"")))</f>
        <v/>
      </c>
      <c r="AD238" s="87">
        <f>IF(ISNUMBER($L238),IF($L238&gt;=90,"Excellent Match",IF($L238&gt;=75,"Strong Match",IF($L238&gt;=60,"Moderate Match","Low Match"))),"")</f>
        <v/>
      </c>
      <c r="AE238" s="87">
        <f>IF($D238="","",IF(OR($M238="Rejected",$M238="Withdrawn"),IF($AB238&lt;&gt;"",$AB238,IF(OR($M238="Rejected",ISNUMBER($C238)),"Applied","Wishlist")),IF($M238="",IF(ISNUMBER($C238),"Applied","Wishlist"),$M238)))</f>
        <v/>
      </c>
      <c r="AF238" s="88">
        <f>IF(AND(ISNUMBER($C238),ISNUMBER($AA238)),$AA238-$C238,"")</f>
        <v/>
      </c>
      <c r="AG238" s="87">
        <f>IF($AE238="","",IFERROR(MATCH($AE238,{"Wishlist","Applied","Screening","Interview 1","Interview 2","Final","Offer","Accepted"},0)-1,""))</f>
        <v/>
      </c>
      <c r="AH238" s="87">
        <f>IF($AC238="","",MATCH($AC238,{"FOLLOW UP REQUIRED","ACTION DUE TODAY","NO RESPONSE","DUE SOON"},0)*100000+IF(ISNUMBER($O238),$O238,IF(ISNUMBER($C238),$C238,0))+ROW()/10000)</f>
        <v/>
      </c>
      <c r="AI238" s="87">
        <f>IF(AND(ISNUMBER($AG238),$AG238&gt;=1,$AG238&lt;=6,$M238&lt;&gt;"Rejected",$M238&lt;&gt;"Withdrawn"),(10-$AG238)*100000+IF(ISNUMBER($C238),$C238,0)+ROW()/10000,"")</f>
        <v/>
      </c>
    </row>
    <row r="239">
      <c r="A239" s="80" t="n"/>
      <c r="B239" s="81" t="n"/>
      <c r="C239" s="81" t="n"/>
      <c r="D239" s="82" t="n"/>
      <c r="E239" s="82" t="n"/>
      <c r="F239" s="82" t="n"/>
      <c r="G239" s="82" t="n"/>
      <c r="H239" s="82" t="n"/>
      <c r="I239" s="83" t="n"/>
      <c r="J239" s="82" t="n"/>
      <c r="K239" s="84" t="n"/>
      <c r="L239" s="85" t="n"/>
      <c r="M239" s="82" t="n"/>
      <c r="N239" s="86" t="n"/>
      <c r="O239" s="81" t="n"/>
      <c r="P239" s="82" t="n"/>
      <c r="Q239" s="83" t="n"/>
      <c r="R239" s="82" t="n"/>
      <c r="S239" s="84" t="n"/>
      <c r="T239" s="84" t="n"/>
      <c r="U239" s="82" t="n"/>
      <c r="V239" s="86" t="n"/>
      <c r="W239" s="86" t="n"/>
      <c r="X239" s="86" t="n"/>
      <c r="Y239" s="81" t="n"/>
      <c r="Z239" s="82" t="n"/>
      <c r="AA239" s="81" t="n"/>
      <c r="AB239" s="82" t="n"/>
      <c r="AC239" s="87">
        <f>IF(OR($D239="",$M239="Rejected",$M239="Withdrawn",$M239="Accepted"),"",IF(ISNUMBER($O239),IF(INT($O239)&lt;TODAY(),"FOLLOW UP REQUIRED",IF(INT($O239)=TODAY(),"ACTION DUE TODAY",IF(INT($O239)-TODAY()&lt;=Set_DueSoonDays,"DUE SOON",""))),IF(AND($M239="Applied",$AA239=""),IF(ISNUMBER($C239),IF(TODAY()-$C239&gt;=Set_FollowUpDays,"NO RESPONSE",""),""),"")))</f>
        <v/>
      </c>
      <c r="AD239" s="87">
        <f>IF(ISNUMBER($L239),IF($L239&gt;=90,"Excellent Match",IF($L239&gt;=75,"Strong Match",IF($L239&gt;=60,"Moderate Match","Low Match"))),"")</f>
        <v/>
      </c>
      <c r="AE239" s="87">
        <f>IF($D239="","",IF(OR($M239="Rejected",$M239="Withdrawn"),IF($AB239&lt;&gt;"",$AB239,IF(OR($M239="Rejected",ISNUMBER($C239)),"Applied","Wishlist")),IF($M239="",IF(ISNUMBER($C239),"Applied","Wishlist"),$M239)))</f>
        <v/>
      </c>
      <c r="AF239" s="88">
        <f>IF(AND(ISNUMBER($C239),ISNUMBER($AA239)),$AA239-$C239,"")</f>
        <v/>
      </c>
      <c r="AG239" s="87">
        <f>IF($AE239="","",IFERROR(MATCH($AE239,{"Wishlist","Applied","Screening","Interview 1","Interview 2","Final","Offer","Accepted"},0)-1,""))</f>
        <v/>
      </c>
      <c r="AH239" s="87">
        <f>IF($AC239="","",MATCH($AC239,{"FOLLOW UP REQUIRED","ACTION DUE TODAY","NO RESPONSE","DUE SOON"},0)*100000+IF(ISNUMBER($O239),$O239,IF(ISNUMBER($C239),$C239,0))+ROW()/10000)</f>
        <v/>
      </c>
      <c r="AI239" s="87">
        <f>IF(AND(ISNUMBER($AG239),$AG239&gt;=1,$AG239&lt;=6,$M239&lt;&gt;"Rejected",$M239&lt;&gt;"Withdrawn"),(10-$AG239)*100000+IF(ISNUMBER($C239),$C239,0)+ROW()/10000,"")</f>
        <v/>
      </c>
    </row>
    <row r="240">
      <c r="A240" s="80" t="n"/>
      <c r="B240" s="81" t="n"/>
      <c r="C240" s="81" t="n"/>
      <c r="D240" s="82" t="n"/>
      <c r="E240" s="82" t="n"/>
      <c r="F240" s="82" t="n"/>
      <c r="G240" s="82" t="n"/>
      <c r="H240" s="82" t="n"/>
      <c r="I240" s="83" t="n"/>
      <c r="J240" s="82" t="n"/>
      <c r="K240" s="84" t="n"/>
      <c r="L240" s="85" t="n"/>
      <c r="M240" s="82" t="n"/>
      <c r="N240" s="86" t="n"/>
      <c r="O240" s="81" t="n"/>
      <c r="P240" s="82" t="n"/>
      <c r="Q240" s="83" t="n"/>
      <c r="R240" s="82" t="n"/>
      <c r="S240" s="84" t="n"/>
      <c r="T240" s="84" t="n"/>
      <c r="U240" s="82" t="n"/>
      <c r="V240" s="86" t="n"/>
      <c r="W240" s="86" t="n"/>
      <c r="X240" s="86" t="n"/>
      <c r="Y240" s="81" t="n"/>
      <c r="Z240" s="82" t="n"/>
      <c r="AA240" s="81" t="n"/>
      <c r="AB240" s="82" t="n"/>
      <c r="AC240" s="87">
        <f>IF(OR($D240="",$M240="Rejected",$M240="Withdrawn",$M240="Accepted"),"",IF(ISNUMBER($O240),IF(INT($O240)&lt;TODAY(),"FOLLOW UP REQUIRED",IF(INT($O240)=TODAY(),"ACTION DUE TODAY",IF(INT($O240)-TODAY()&lt;=Set_DueSoonDays,"DUE SOON",""))),IF(AND($M240="Applied",$AA240=""),IF(ISNUMBER($C240),IF(TODAY()-$C240&gt;=Set_FollowUpDays,"NO RESPONSE",""),""),"")))</f>
        <v/>
      </c>
      <c r="AD240" s="87">
        <f>IF(ISNUMBER($L240),IF($L240&gt;=90,"Excellent Match",IF($L240&gt;=75,"Strong Match",IF($L240&gt;=60,"Moderate Match","Low Match"))),"")</f>
        <v/>
      </c>
      <c r="AE240" s="87">
        <f>IF($D240="","",IF(OR($M240="Rejected",$M240="Withdrawn"),IF($AB240&lt;&gt;"",$AB240,IF(OR($M240="Rejected",ISNUMBER($C240)),"Applied","Wishlist")),IF($M240="",IF(ISNUMBER($C240),"Applied","Wishlist"),$M240)))</f>
        <v/>
      </c>
      <c r="AF240" s="88">
        <f>IF(AND(ISNUMBER($C240),ISNUMBER($AA240)),$AA240-$C240,"")</f>
        <v/>
      </c>
      <c r="AG240" s="87">
        <f>IF($AE240="","",IFERROR(MATCH($AE240,{"Wishlist","Applied","Screening","Interview 1","Interview 2","Final","Offer","Accepted"},0)-1,""))</f>
        <v/>
      </c>
      <c r="AH240" s="87">
        <f>IF($AC240="","",MATCH($AC240,{"FOLLOW UP REQUIRED","ACTION DUE TODAY","NO RESPONSE","DUE SOON"},0)*100000+IF(ISNUMBER($O240),$O240,IF(ISNUMBER($C240),$C240,0))+ROW()/10000)</f>
        <v/>
      </c>
      <c r="AI240" s="87">
        <f>IF(AND(ISNUMBER($AG240),$AG240&gt;=1,$AG240&lt;=6,$M240&lt;&gt;"Rejected",$M240&lt;&gt;"Withdrawn"),(10-$AG240)*100000+IF(ISNUMBER($C240),$C240,0)+ROW()/10000,"")</f>
        <v/>
      </c>
    </row>
    <row r="241">
      <c r="A241" s="80" t="n"/>
      <c r="B241" s="81" t="n"/>
      <c r="C241" s="81" t="n"/>
      <c r="D241" s="82" t="n"/>
      <c r="E241" s="82" t="n"/>
      <c r="F241" s="82" t="n"/>
      <c r="G241" s="82" t="n"/>
      <c r="H241" s="82" t="n"/>
      <c r="I241" s="83" t="n"/>
      <c r="J241" s="82" t="n"/>
      <c r="K241" s="84" t="n"/>
      <c r="L241" s="85" t="n"/>
      <c r="M241" s="82" t="n"/>
      <c r="N241" s="86" t="n"/>
      <c r="O241" s="81" t="n"/>
      <c r="P241" s="82" t="n"/>
      <c r="Q241" s="83" t="n"/>
      <c r="R241" s="82" t="n"/>
      <c r="S241" s="84" t="n"/>
      <c r="T241" s="84" t="n"/>
      <c r="U241" s="82" t="n"/>
      <c r="V241" s="86" t="n"/>
      <c r="W241" s="86" t="n"/>
      <c r="X241" s="86" t="n"/>
      <c r="Y241" s="81" t="n"/>
      <c r="Z241" s="82" t="n"/>
      <c r="AA241" s="81" t="n"/>
      <c r="AB241" s="82" t="n"/>
      <c r="AC241" s="87">
        <f>IF(OR($D241="",$M241="Rejected",$M241="Withdrawn",$M241="Accepted"),"",IF(ISNUMBER($O241),IF(INT($O241)&lt;TODAY(),"FOLLOW UP REQUIRED",IF(INT($O241)=TODAY(),"ACTION DUE TODAY",IF(INT($O241)-TODAY()&lt;=Set_DueSoonDays,"DUE SOON",""))),IF(AND($M241="Applied",$AA241=""),IF(ISNUMBER($C241),IF(TODAY()-$C241&gt;=Set_FollowUpDays,"NO RESPONSE",""),""),"")))</f>
        <v/>
      </c>
      <c r="AD241" s="87">
        <f>IF(ISNUMBER($L241),IF($L241&gt;=90,"Excellent Match",IF($L241&gt;=75,"Strong Match",IF($L241&gt;=60,"Moderate Match","Low Match"))),"")</f>
        <v/>
      </c>
      <c r="AE241" s="87">
        <f>IF($D241="","",IF(OR($M241="Rejected",$M241="Withdrawn"),IF($AB241&lt;&gt;"",$AB241,IF(OR($M241="Rejected",ISNUMBER($C241)),"Applied","Wishlist")),IF($M241="",IF(ISNUMBER($C241),"Applied","Wishlist"),$M241)))</f>
        <v/>
      </c>
      <c r="AF241" s="88">
        <f>IF(AND(ISNUMBER($C241),ISNUMBER($AA241)),$AA241-$C241,"")</f>
        <v/>
      </c>
      <c r="AG241" s="87">
        <f>IF($AE241="","",IFERROR(MATCH($AE241,{"Wishlist","Applied","Screening","Interview 1","Interview 2","Final","Offer","Accepted"},0)-1,""))</f>
        <v/>
      </c>
      <c r="AH241" s="87">
        <f>IF($AC241="","",MATCH($AC241,{"FOLLOW UP REQUIRED","ACTION DUE TODAY","NO RESPONSE","DUE SOON"},0)*100000+IF(ISNUMBER($O241),$O241,IF(ISNUMBER($C241),$C241,0))+ROW()/10000)</f>
        <v/>
      </c>
      <c r="AI241" s="87">
        <f>IF(AND(ISNUMBER($AG241),$AG241&gt;=1,$AG241&lt;=6,$M241&lt;&gt;"Rejected",$M241&lt;&gt;"Withdrawn"),(10-$AG241)*100000+IF(ISNUMBER($C241),$C241,0)+ROW()/10000,"")</f>
        <v/>
      </c>
    </row>
    <row r="242">
      <c r="A242" s="80" t="n"/>
      <c r="B242" s="81" t="n"/>
      <c r="C242" s="81" t="n"/>
      <c r="D242" s="82" t="n"/>
      <c r="E242" s="82" t="n"/>
      <c r="F242" s="82" t="n"/>
      <c r="G242" s="82" t="n"/>
      <c r="H242" s="82" t="n"/>
      <c r="I242" s="83" t="n"/>
      <c r="J242" s="82" t="n"/>
      <c r="K242" s="84" t="n"/>
      <c r="L242" s="85" t="n"/>
      <c r="M242" s="82" t="n"/>
      <c r="N242" s="86" t="n"/>
      <c r="O242" s="81" t="n"/>
      <c r="P242" s="82" t="n"/>
      <c r="Q242" s="83" t="n"/>
      <c r="R242" s="82" t="n"/>
      <c r="S242" s="84" t="n"/>
      <c r="T242" s="84" t="n"/>
      <c r="U242" s="82" t="n"/>
      <c r="V242" s="86" t="n"/>
      <c r="W242" s="86" t="n"/>
      <c r="X242" s="86" t="n"/>
      <c r="Y242" s="81" t="n"/>
      <c r="Z242" s="82" t="n"/>
      <c r="AA242" s="81" t="n"/>
      <c r="AB242" s="82" t="n"/>
      <c r="AC242" s="87">
        <f>IF(OR($D242="",$M242="Rejected",$M242="Withdrawn",$M242="Accepted"),"",IF(ISNUMBER($O242),IF(INT($O242)&lt;TODAY(),"FOLLOW UP REQUIRED",IF(INT($O242)=TODAY(),"ACTION DUE TODAY",IF(INT($O242)-TODAY()&lt;=Set_DueSoonDays,"DUE SOON",""))),IF(AND($M242="Applied",$AA242=""),IF(ISNUMBER($C242),IF(TODAY()-$C242&gt;=Set_FollowUpDays,"NO RESPONSE",""),""),"")))</f>
        <v/>
      </c>
      <c r="AD242" s="87">
        <f>IF(ISNUMBER($L242),IF($L242&gt;=90,"Excellent Match",IF($L242&gt;=75,"Strong Match",IF($L242&gt;=60,"Moderate Match","Low Match"))),"")</f>
        <v/>
      </c>
      <c r="AE242" s="87">
        <f>IF($D242="","",IF(OR($M242="Rejected",$M242="Withdrawn"),IF($AB242&lt;&gt;"",$AB242,IF(OR($M242="Rejected",ISNUMBER($C242)),"Applied","Wishlist")),IF($M242="",IF(ISNUMBER($C242),"Applied","Wishlist"),$M242)))</f>
        <v/>
      </c>
      <c r="AF242" s="88">
        <f>IF(AND(ISNUMBER($C242),ISNUMBER($AA242)),$AA242-$C242,"")</f>
        <v/>
      </c>
      <c r="AG242" s="87">
        <f>IF($AE242="","",IFERROR(MATCH($AE242,{"Wishlist","Applied","Screening","Interview 1","Interview 2","Final","Offer","Accepted"},0)-1,""))</f>
        <v/>
      </c>
      <c r="AH242" s="87">
        <f>IF($AC242="","",MATCH($AC242,{"FOLLOW UP REQUIRED","ACTION DUE TODAY","NO RESPONSE","DUE SOON"},0)*100000+IF(ISNUMBER($O242),$O242,IF(ISNUMBER($C242),$C242,0))+ROW()/10000)</f>
        <v/>
      </c>
      <c r="AI242" s="87">
        <f>IF(AND(ISNUMBER($AG242),$AG242&gt;=1,$AG242&lt;=6,$M242&lt;&gt;"Rejected",$M242&lt;&gt;"Withdrawn"),(10-$AG242)*100000+IF(ISNUMBER($C242),$C242,0)+ROW()/10000,"")</f>
        <v/>
      </c>
    </row>
    <row r="243">
      <c r="A243" s="80" t="n"/>
      <c r="B243" s="81" t="n"/>
      <c r="C243" s="81" t="n"/>
      <c r="D243" s="82" t="n"/>
      <c r="E243" s="82" t="n"/>
      <c r="F243" s="82" t="n"/>
      <c r="G243" s="82" t="n"/>
      <c r="H243" s="82" t="n"/>
      <c r="I243" s="83" t="n"/>
      <c r="J243" s="82" t="n"/>
      <c r="K243" s="84" t="n"/>
      <c r="L243" s="85" t="n"/>
      <c r="M243" s="82" t="n"/>
      <c r="N243" s="86" t="n"/>
      <c r="O243" s="81" t="n"/>
      <c r="P243" s="82" t="n"/>
      <c r="Q243" s="83" t="n"/>
      <c r="R243" s="82" t="n"/>
      <c r="S243" s="84" t="n"/>
      <c r="T243" s="84" t="n"/>
      <c r="U243" s="82" t="n"/>
      <c r="V243" s="86" t="n"/>
      <c r="W243" s="86" t="n"/>
      <c r="X243" s="86" t="n"/>
      <c r="Y243" s="81" t="n"/>
      <c r="Z243" s="82" t="n"/>
      <c r="AA243" s="81" t="n"/>
      <c r="AB243" s="82" t="n"/>
      <c r="AC243" s="87">
        <f>IF(OR($D243="",$M243="Rejected",$M243="Withdrawn",$M243="Accepted"),"",IF(ISNUMBER($O243),IF(INT($O243)&lt;TODAY(),"FOLLOW UP REQUIRED",IF(INT($O243)=TODAY(),"ACTION DUE TODAY",IF(INT($O243)-TODAY()&lt;=Set_DueSoonDays,"DUE SOON",""))),IF(AND($M243="Applied",$AA243=""),IF(ISNUMBER($C243),IF(TODAY()-$C243&gt;=Set_FollowUpDays,"NO RESPONSE",""),""),"")))</f>
        <v/>
      </c>
      <c r="AD243" s="87">
        <f>IF(ISNUMBER($L243),IF($L243&gt;=90,"Excellent Match",IF($L243&gt;=75,"Strong Match",IF($L243&gt;=60,"Moderate Match","Low Match"))),"")</f>
        <v/>
      </c>
      <c r="AE243" s="87">
        <f>IF($D243="","",IF(OR($M243="Rejected",$M243="Withdrawn"),IF($AB243&lt;&gt;"",$AB243,IF(OR($M243="Rejected",ISNUMBER($C243)),"Applied","Wishlist")),IF($M243="",IF(ISNUMBER($C243),"Applied","Wishlist"),$M243)))</f>
        <v/>
      </c>
      <c r="AF243" s="88">
        <f>IF(AND(ISNUMBER($C243),ISNUMBER($AA243)),$AA243-$C243,"")</f>
        <v/>
      </c>
      <c r="AG243" s="87">
        <f>IF($AE243="","",IFERROR(MATCH($AE243,{"Wishlist","Applied","Screening","Interview 1","Interview 2","Final","Offer","Accepted"},0)-1,""))</f>
        <v/>
      </c>
      <c r="AH243" s="87">
        <f>IF($AC243="","",MATCH($AC243,{"FOLLOW UP REQUIRED","ACTION DUE TODAY","NO RESPONSE","DUE SOON"},0)*100000+IF(ISNUMBER($O243),$O243,IF(ISNUMBER($C243),$C243,0))+ROW()/10000)</f>
        <v/>
      </c>
      <c r="AI243" s="87">
        <f>IF(AND(ISNUMBER($AG243),$AG243&gt;=1,$AG243&lt;=6,$M243&lt;&gt;"Rejected",$M243&lt;&gt;"Withdrawn"),(10-$AG243)*100000+IF(ISNUMBER($C243),$C243,0)+ROW()/10000,"")</f>
        <v/>
      </c>
    </row>
    <row r="244">
      <c r="A244" s="80" t="n"/>
      <c r="B244" s="81" t="n"/>
      <c r="C244" s="81" t="n"/>
      <c r="D244" s="82" t="n"/>
      <c r="E244" s="82" t="n"/>
      <c r="F244" s="82" t="n"/>
      <c r="G244" s="82" t="n"/>
      <c r="H244" s="82" t="n"/>
      <c r="I244" s="83" t="n"/>
      <c r="J244" s="82" t="n"/>
      <c r="K244" s="84" t="n"/>
      <c r="L244" s="85" t="n"/>
      <c r="M244" s="82" t="n"/>
      <c r="N244" s="86" t="n"/>
      <c r="O244" s="81" t="n"/>
      <c r="P244" s="82" t="n"/>
      <c r="Q244" s="83" t="n"/>
      <c r="R244" s="82" t="n"/>
      <c r="S244" s="84" t="n"/>
      <c r="T244" s="84" t="n"/>
      <c r="U244" s="82" t="n"/>
      <c r="V244" s="86" t="n"/>
      <c r="W244" s="86" t="n"/>
      <c r="X244" s="86" t="n"/>
      <c r="Y244" s="81" t="n"/>
      <c r="Z244" s="82" t="n"/>
      <c r="AA244" s="81" t="n"/>
      <c r="AB244" s="82" t="n"/>
      <c r="AC244" s="87">
        <f>IF(OR($D244="",$M244="Rejected",$M244="Withdrawn",$M244="Accepted"),"",IF(ISNUMBER($O244),IF(INT($O244)&lt;TODAY(),"FOLLOW UP REQUIRED",IF(INT($O244)=TODAY(),"ACTION DUE TODAY",IF(INT($O244)-TODAY()&lt;=Set_DueSoonDays,"DUE SOON",""))),IF(AND($M244="Applied",$AA244=""),IF(ISNUMBER($C244),IF(TODAY()-$C244&gt;=Set_FollowUpDays,"NO RESPONSE",""),""),"")))</f>
        <v/>
      </c>
      <c r="AD244" s="87">
        <f>IF(ISNUMBER($L244),IF($L244&gt;=90,"Excellent Match",IF($L244&gt;=75,"Strong Match",IF($L244&gt;=60,"Moderate Match","Low Match"))),"")</f>
        <v/>
      </c>
      <c r="AE244" s="87">
        <f>IF($D244="","",IF(OR($M244="Rejected",$M244="Withdrawn"),IF($AB244&lt;&gt;"",$AB244,IF(OR($M244="Rejected",ISNUMBER($C244)),"Applied","Wishlist")),IF($M244="",IF(ISNUMBER($C244),"Applied","Wishlist"),$M244)))</f>
        <v/>
      </c>
      <c r="AF244" s="88">
        <f>IF(AND(ISNUMBER($C244),ISNUMBER($AA244)),$AA244-$C244,"")</f>
        <v/>
      </c>
      <c r="AG244" s="87">
        <f>IF($AE244="","",IFERROR(MATCH($AE244,{"Wishlist","Applied","Screening","Interview 1","Interview 2","Final","Offer","Accepted"},0)-1,""))</f>
        <v/>
      </c>
      <c r="AH244" s="87">
        <f>IF($AC244="","",MATCH($AC244,{"FOLLOW UP REQUIRED","ACTION DUE TODAY","NO RESPONSE","DUE SOON"},0)*100000+IF(ISNUMBER($O244),$O244,IF(ISNUMBER($C244),$C244,0))+ROW()/10000)</f>
        <v/>
      </c>
      <c r="AI244" s="87">
        <f>IF(AND(ISNUMBER($AG244),$AG244&gt;=1,$AG244&lt;=6,$M244&lt;&gt;"Rejected",$M244&lt;&gt;"Withdrawn"),(10-$AG244)*100000+IF(ISNUMBER($C244),$C244,0)+ROW()/10000,"")</f>
        <v/>
      </c>
    </row>
    <row r="245">
      <c r="A245" s="80" t="n"/>
      <c r="B245" s="81" t="n"/>
      <c r="C245" s="81" t="n"/>
      <c r="D245" s="82" t="n"/>
      <c r="E245" s="82" t="n"/>
      <c r="F245" s="82" t="n"/>
      <c r="G245" s="82" t="n"/>
      <c r="H245" s="82" t="n"/>
      <c r="I245" s="83" t="n"/>
      <c r="J245" s="82" t="n"/>
      <c r="K245" s="84" t="n"/>
      <c r="L245" s="85" t="n"/>
      <c r="M245" s="82" t="n"/>
      <c r="N245" s="86" t="n"/>
      <c r="O245" s="81" t="n"/>
      <c r="P245" s="82" t="n"/>
      <c r="Q245" s="83" t="n"/>
      <c r="R245" s="82" t="n"/>
      <c r="S245" s="84" t="n"/>
      <c r="T245" s="84" t="n"/>
      <c r="U245" s="82" t="n"/>
      <c r="V245" s="86" t="n"/>
      <c r="W245" s="86" t="n"/>
      <c r="X245" s="86" t="n"/>
      <c r="Y245" s="81" t="n"/>
      <c r="Z245" s="82" t="n"/>
      <c r="AA245" s="81" t="n"/>
      <c r="AB245" s="82" t="n"/>
      <c r="AC245" s="87">
        <f>IF(OR($D245="",$M245="Rejected",$M245="Withdrawn",$M245="Accepted"),"",IF(ISNUMBER($O245),IF(INT($O245)&lt;TODAY(),"FOLLOW UP REQUIRED",IF(INT($O245)=TODAY(),"ACTION DUE TODAY",IF(INT($O245)-TODAY()&lt;=Set_DueSoonDays,"DUE SOON",""))),IF(AND($M245="Applied",$AA245=""),IF(ISNUMBER($C245),IF(TODAY()-$C245&gt;=Set_FollowUpDays,"NO RESPONSE",""),""),"")))</f>
        <v/>
      </c>
      <c r="AD245" s="87">
        <f>IF(ISNUMBER($L245),IF($L245&gt;=90,"Excellent Match",IF($L245&gt;=75,"Strong Match",IF($L245&gt;=60,"Moderate Match","Low Match"))),"")</f>
        <v/>
      </c>
      <c r="AE245" s="87">
        <f>IF($D245="","",IF(OR($M245="Rejected",$M245="Withdrawn"),IF($AB245&lt;&gt;"",$AB245,IF(OR($M245="Rejected",ISNUMBER($C245)),"Applied","Wishlist")),IF($M245="",IF(ISNUMBER($C245),"Applied","Wishlist"),$M245)))</f>
        <v/>
      </c>
      <c r="AF245" s="88">
        <f>IF(AND(ISNUMBER($C245),ISNUMBER($AA245)),$AA245-$C245,"")</f>
        <v/>
      </c>
      <c r="AG245" s="87">
        <f>IF($AE245="","",IFERROR(MATCH($AE245,{"Wishlist","Applied","Screening","Interview 1","Interview 2","Final","Offer","Accepted"},0)-1,""))</f>
        <v/>
      </c>
      <c r="AH245" s="87">
        <f>IF($AC245="","",MATCH($AC245,{"FOLLOW UP REQUIRED","ACTION DUE TODAY","NO RESPONSE","DUE SOON"},0)*100000+IF(ISNUMBER($O245),$O245,IF(ISNUMBER($C245),$C245,0))+ROW()/10000)</f>
        <v/>
      </c>
      <c r="AI245" s="87">
        <f>IF(AND(ISNUMBER($AG245),$AG245&gt;=1,$AG245&lt;=6,$M245&lt;&gt;"Rejected",$M245&lt;&gt;"Withdrawn"),(10-$AG245)*100000+IF(ISNUMBER($C245),$C245,0)+ROW()/10000,"")</f>
        <v/>
      </c>
    </row>
    <row r="246">
      <c r="A246" s="80" t="n"/>
      <c r="B246" s="81" t="n"/>
      <c r="C246" s="81" t="n"/>
      <c r="D246" s="82" t="n"/>
      <c r="E246" s="82" t="n"/>
      <c r="F246" s="82" t="n"/>
      <c r="G246" s="82" t="n"/>
      <c r="H246" s="82" t="n"/>
      <c r="I246" s="83" t="n"/>
      <c r="J246" s="82" t="n"/>
      <c r="K246" s="84" t="n"/>
      <c r="L246" s="85" t="n"/>
      <c r="M246" s="82" t="n"/>
      <c r="N246" s="86" t="n"/>
      <c r="O246" s="81" t="n"/>
      <c r="P246" s="82" t="n"/>
      <c r="Q246" s="83" t="n"/>
      <c r="R246" s="82" t="n"/>
      <c r="S246" s="84" t="n"/>
      <c r="T246" s="84" t="n"/>
      <c r="U246" s="82" t="n"/>
      <c r="V246" s="86" t="n"/>
      <c r="W246" s="86" t="n"/>
      <c r="X246" s="86" t="n"/>
      <c r="Y246" s="81" t="n"/>
      <c r="Z246" s="82" t="n"/>
      <c r="AA246" s="81" t="n"/>
      <c r="AB246" s="82" t="n"/>
      <c r="AC246" s="87">
        <f>IF(OR($D246="",$M246="Rejected",$M246="Withdrawn",$M246="Accepted"),"",IF(ISNUMBER($O246),IF(INT($O246)&lt;TODAY(),"FOLLOW UP REQUIRED",IF(INT($O246)=TODAY(),"ACTION DUE TODAY",IF(INT($O246)-TODAY()&lt;=Set_DueSoonDays,"DUE SOON",""))),IF(AND($M246="Applied",$AA246=""),IF(ISNUMBER($C246),IF(TODAY()-$C246&gt;=Set_FollowUpDays,"NO RESPONSE",""),""),"")))</f>
        <v/>
      </c>
      <c r="AD246" s="87">
        <f>IF(ISNUMBER($L246),IF($L246&gt;=90,"Excellent Match",IF($L246&gt;=75,"Strong Match",IF($L246&gt;=60,"Moderate Match","Low Match"))),"")</f>
        <v/>
      </c>
      <c r="AE246" s="87">
        <f>IF($D246="","",IF(OR($M246="Rejected",$M246="Withdrawn"),IF($AB246&lt;&gt;"",$AB246,IF(OR($M246="Rejected",ISNUMBER($C246)),"Applied","Wishlist")),IF($M246="",IF(ISNUMBER($C246),"Applied","Wishlist"),$M246)))</f>
        <v/>
      </c>
      <c r="AF246" s="88">
        <f>IF(AND(ISNUMBER($C246),ISNUMBER($AA246)),$AA246-$C246,"")</f>
        <v/>
      </c>
      <c r="AG246" s="87">
        <f>IF($AE246="","",IFERROR(MATCH($AE246,{"Wishlist","Applied","Screening","Interview 1","Interview 2","Final","Offer","Accepted"},0)-1,""))</f>
        <v/>
      </c>
      <c r="AH246" s="87">
        <f>IF($AC246="","",MATCH($AC246,{"FOLLOW UP REQUIRED","ACTION DUE TODAY","NO RESPONSE","DUE SOON"},0)*100000+IF(ISNUMBER($O246),$O246,IF(ISNUMBER($C246),$C246,0))+ROW()/10000)</f>
        <v/>
      </c>
      <c r="AI246" s="87">
        <f>IF(AND(ISNUMBER($AG246),$AG246&gt;=1,$AG246&lt;=6,$M246&lt;&gt;"Rejected",$M246&lt;&gt;"Withdrawn"),(10-$AG246)*100000+IF(ISNUMBER($C246),$C246,0)+ROW()/10000,"")</f>
        <v/>
      </c>
    </row>
    <row r="247">
      <c r="A247" s="80" t="n"/>
      <c r="B247" s="81" t="n"/>
      <c r="C247" s="81" t="n"/>
      <c r="D247" s="82" t="n"/>
      <c r="E247" s="82" t="n"/>
      <c r="F247" s="82" t="n"/>
      <c r="G247" s="82" t="n"/>
      <c r="H247" s="82" t="n"/>
      <c r="I247" s="83" t="n"/>
      <c r="J247" s="82" t="n"/>
      <c r="K247" s="84" t="n"/>
      <c r="L247" s="85" t="n"/>
      <c r="M247" s="82" t="n"/>
      <c r="N247" s="86" t="n"/>
      <c r="O247" s="81" t="n"/>
      <c r="P247" s="82" t="n"/>
      <c r="Q247" s="83" t="n"/>
      <c r="R247" s="82" t="n"/>
      <c r="S247" s="84" t="n"/>
      <c r="T247" s="84" t="n"/>
      <c r="U247" s="82" t="n"/>
      <c r="V247" s="86" t="n"/>
      <c r="W247" s="86" t="n"/>
      <c r="X247" s="86" t="n"/>
      <c r="Y247" s="81" t="n"/>
      <c r="Z247" s="82" t="n"/>
      <c r="AA247" s="81" t="n"/>
      <c r="AB247" s="82" t="n"/>
      <c r="AC247" s="87">
        <f>IF(OR($D247="",$M247="Rejected",$M247="Withdrawn",$M247="Accepted"),"",IF(ISNUMBER($O247),IF(INT($O247)&lt;TODAY(),"FOLLOW UP REQUIRED",IF(INT($O247)=TODAY(),"ACTION DUE TODAY",IF(INT($O247)-TODAY()&lt;=Set_DueSoonDays,"DUE SOON",""))),IF(AND($M247="Applied",$AA247=""),IF(ISNUMBER($C247),IF(TODAY()-$C247&gt;=Set_FollowUpDays,"NO RESPONSE",""),""),"")))</f>
        <v/>
      </c>
      <c r="AD247" s="87">
        <f>IF(ISNUMBER($L247),IF($L247&gt;=90,"Excellent Match",IF($L247&gt;=75,"Strong Match",IF($L247&gt;=60,"Moderate Match","Low Match"))),"")</f>
        <v/>
      </c>
      <c r="AE247" s="87">
        <f>IF($D247="","",IF(OR($M247="Rejected",$M247="Withdrawn"),IF($AB247&lt;&gt;"",$AB247,IF(OR($M247="Rejected",ISNUMBER($C247)),"Applied","Wishlist")),IF($M247="",IF(ISNUMBER($C247),"Applied","Wishlist"),$M247)))</f>
        <v/>
      </c>
      <c r="AF247" s="88">
        <f>IF(AND(ISNUMBER($C247),ISNUMBER($AA247)),$AA247-$C247,"")</f>
        <v/>
      </c>
      <c r="AG247" s="87">
        <f>IF($AE247="","",IFERROR(MATCH($AE247,{"Wishlist","Applied","Screening","Interview 1","Interview 2","Final","Offer","Accepted"},0)-1,""))</f>
        <v/>
      </c>
      <c r="AH247" s="87">
        <f>IF($AC247="","",MATCH($AC247,{"FOLLOW UP REQUIRED","ACTION DUE TODAY","NO RESPONSE","DUE SOON"},0)*100000+IF(ISNUMBER($O247),$O247,IF(ISNUMBER($C247),$C247,0))+ROW()/10000)</f>
        <v/>
      </c>
      <c r="AI247" s="87">
        <f>IF(AND(ISNUMBER($AG247),$AG247&gt;=1,$AG247&lt;=6,$M247&lt;&gt;"Rejected",$M247&lt;&gt;"Withdrawn"),(10-$AG247)*100000+IF(ISNUMBER($C247),$C247,0)+ROW()/10000,"")</f>
        <v/>
      </c>
    </row>
    <row r="248">
      <c r="A248" s="80" t="n"/>
      <c r="B248" s="81" t="n"/>
      <c r="C248" s="81" t="n"/>
      <c r="D248" s="82" t="n"/>
      <c r="E248" s="82" t="n"/>
      <c r="F248" s="82" t="n"/>
      <c r="G248" s="82" t="n"/>
      <c r="H248" s="82" t="n"/>
      <c r="I248" s="83" t="n"/>
      <c r="J248" s="82" t="n"/>
      <c r="K248" s="84" t="n"/>
      <c r="L248" s="85" t="n"/>
      <c r="M248" s="82" t="n"/>
      <c r="N248" s="86" t="n"/>
      <c r="O248" s="81" t="n"/>
      <c r="P248" s="82" t="n"/>
      <c r="Q248" s="83" t="n"/>
      <c r="R248" s="82" t="n"/>
      <c r="S248" s="84" t="n"/>
      <c r="T248" s="84" t="n"/>
      <c r="U248" s="82" t="n"/>
      <c r="V248" s="86" t="n"/>
      <c r="W248" s="86" t="n"/>
      <c r="X248" s="86" t="n"/>
      <c r="Y248" s="81" t="n"/>
      <c r="Z248" s="82" t="n"/>
      <c r="AA248" s="81" t="n"/>
      <c r="AB248" s="82" t="n"/>
      <c r="AC248" s="87">
        <f>IF(OR($D248="",$M248="Rejected",$M248="Withdrawn",$M248="Accepted"),"",IF(ISNUMBER($O248),IF(INT($O248)&lt;TODAY(),"FOLLOW UP REQUIRED",IF(INT($O248)=TODAY(),"ACTION DUE TODAY",IF(INT($O248)-TODAY()&lt;=Set_DueSoonDays,"DUE SOON",""))),IF(AND($M248="Applied",$AA248=""),IF(ISNUMBER($C248),IF(TODAY()-$C248&gt;=Set_FollowUpDays,"NO RESPONSE",""),""),"")))</f>
        <v/>
      </c>
      <c r="AD248" s="87">
        <f>IF(ISNUMBER($L248),IF($L248&gt;=90,"Excellent Match",IF($L248&gt;=75,"Strong Match",IF($L248&gt;=60,"Moderate Match","Low Match"))),"")</f>
        <v/>
      </c>
      <c r="AE248" s="87">
        <f>IF($D248="","",IF(OR($M248="Rejected",$M248="Withdrawn"),IF($AB248&lt;&gt;"",$AB248,IF(OR($M248="Rejected",ISNUMBER($C248)),"Applied","Wishlist")),IF($M248="",IF(ISNUMBER($C248),"Applied","Wishlist"),$M248)))</f>
        <v/>
      </c>
      <c r="AF248" s="88">
        <f>IF(AND(ISNUMBER($C248),ISNUMBER($AA248)),$AA248-$C248,"")</f>
        <v/>
      </c>
      <c r="AG248" s="87">
        <f>IF($AE248="","",IFERROR(MATCH($AE248,{"Wishlist","Applied","Screening","Interview 1","Interview 2","Final","Offer","Accepted"},0)-1,""))</f>
        <v/>
      </c>
      <c r="AH248" s="87">
        <f>IF($AC248="","",MATCH($AC248,{"FOLLOW UP REQUIRED","ACTION DUE TODAY","NO RESPONSE","DUE SOON"},0)*100000+IF(ISNUMBER($O248),$O248,IF(ISNUMBER($C248),$C248,0))+ROW()/10000)</f>
        <v/>
      </c>
      <c r="AI248" s="87">
        <f>IF(AND(ISNUMBER($AG248),$AG248&gt;=1,$AG248&lt;=6,$M248&lt;&gt;"Rejected",$M248&lt;&gt;"Withdrawn"),(10-$AG248)*100000+IF(ISNUMBER($C248),$C248,0)+ROW()/10000,"")</f>
        <v/>
      </c>
    </row>
    <row r="249">
      <c r="A249" s="80" t="n"/>
      <c r="B249" s="81" t="n"/>
      <c r="C249" s="81" t="n"/>
      <c r="D249" s="82" t="n"/>
      <c r="E249" s="82" t="n"/>
      <c r="F249" s="82" t="n"/>
      <c r="G249" s="82" t="n"/>
      <c r="H249" s="82" t="n"/>
      <c r="I249" s="83" t="n"/>
      <c r="J249" s="82" t="n"/>
      <c r="K249" s="84" t="n"/>
      <c r="L249" s="85" t="n"/>
      <c r="M249" s="82" t="n"/>
      <c r="N249" s="86" t="n"/>
      <c r="O249" s="81" t="n"/>
      <c r="P249" s="82" t="n"/>
      <c r="Q249" s="83" t="n"/>
      <c r="R249" s="82" t="n"/>
      <c r="S249" s="84" t="n"/>
      <c r="T249" s="84" t="n"/>
      <c r="U249" s="82" t="n"/>
      <c r="V249" s="86" t="n"/>
      <c r="W249" s="86" t="n"/>
      <c r="X249" s="86" t="n"/>
      <c r="Y249" s="81" t="n"/>
      <c r="Z249" s="82" t="n"/>
      <c r="AA249" s="81" t="n"/>
      <c r="AB249" s="82" t="n"/>
      <c r="AC249" s="87">
        <f>IF(OR($D249="",$M249="Rejected",$M249="Withdrawn",$M249="Accepted"),"",IF(ISNUMBER($O249),IF(INT($O249)&lt;TODAY(),"FOLLOW UP REQUIRED",IF(INT($O249)=TODAY(),"ACTION DUE TODAY",IF(INT($O249)-TODAY()&lt;=Set_DueSoonDays,"DUE SOON",""))),IF(AND($M249="Applied",$AA249=""),IF(ISNUMBER($C249),IF(TODAY()-$C249&gt;=Set_FollowUpDays,"NO RESPONSE",""),""),"")))</f>
        <v/>
      </c>
      <c r="AD249" s="87">
        <f>IF(ISNUMBER($L249),IF($L249&gt;=90,"Excellent Match",IF($L249&gt;=75,"Strong Match",IF($L249&gt;=60,"Moderate Match","Low Match"))),"")</f>
        <v/>
      </c>
      <c r="AE249" s="87">
        <f>IF($D249="","",IF(OR($M249="Rejected",$M249="Withdrawn"),IF($AB249&lt;&gt;"",$AB249,IF(OR($M249="Rejected",ISNUMBER($C249)),"Applied","Wishlist")),IF($M249="",IF(ISNUMBER($C249),"Applied","Wishlist"),$M249)))</f>
        <v/>
      </c>
      <c r="AF249" s="88">
        <f>IF(AND(ISNUMBER($C249),ISNUMBER($AA249)),$AA249-$C249,"")</f>
        <v/>
      </c>
      <c r="AG249" s="87">
        <f>IF($AE249="","",IFERROR(MATCH($AE249,{"Wishlist","Applied","Screening","Interview 1","Interview 2","Final","Offer","Accepted"},0)-1,""))</f>
        <v/>
      </c>
      <c r="AH249" s="87">
        <f>IF($AC249="","",MATCH($AC249,{"FOLLOW UP REQUIRED","ACTION DUE TODAY","NO RESPONSE","DUE SOON"},0)*100000+IF(ISNUMBER($O249),$O249,IF(ISNUMBER($C249),$C249,0))+ROW()/10000)</f>
        <v/>
      </c>
      <c r="AI249" s="87">
        <f>IF(AND(ISNUMBER($AG249),$AG249&gt;=1,$AG249&lt;=6,$M249&lt;&gt;"Rejected",$M249&lt;&gt;"Withdrawn"),(10-$AG249)*100000+IF(ISNUMBER($C249),$C249,0)+ROW()/10000,"")</f>
        <v/>
      </c>
    </row>
    <row r="250">
      <c r="A250" s="80" t="n"/>
      <c r="B250" s="81" t="n"/>
      <c r="C250" s="81" t="n"/>
      <c r="D250" s="82" t="n"/>
      <c r="E250" s="82" t="n"/>
      <c r="F250" s="82" t="n"/>
      <c r="G250" s="82" t="n"/>
      <c r="H250" s="82" t="n"/>
      <c r="I250" s="83" t="n"/>
      <c r="J250" s="82" t="n"/>
      <c r="K250" s="84" t="n"/>
      <c r="L250" s="85" t="n"/>
      <c r="M250" s="82" t="n"/>
      <c r="N250" s="86" t="n"/>
      <c r="O250" s="81" t="n"/>
      <c r="P250" s="82" t="n"/>
      <c r="Q250" s="83" t="n"/>
      <c r="R250" s="82" t="n"/>
      <c r="S250" s="84" t="n"/>
      <c r="T250" s="84" t="n"/>
      <c r="U250" s="82" t="n"/>
      <c r="V250" s="86" t="n"/>
      <c r="W250" s="86" t="n"/>
      <c r="X250" s="86" t="n"/>
      <c r="Y250" s="81" t="n"/>
      <c r="Z250" s="82" t="n"/>
      <c r="AA250" s="81" t="n"/>
      <c r="AB250" s="82" t="n"/>
      <c r="AC250" s="87">
        <f>IF(OR($D250="",$M250="Rejected",$M250="Withdrawn",$M250="Accepted"),"",IF(ISNUMBER($O250),IF(INT($O250)&lt;TODAY(),"FOLLOW UP REQUIRED",IF(INT($O250)=TODAY(),"ACTION DUE TODAY",IF(INT($O250)-TODAY()&lt;=Set_DueSoonDays,"DUE SOON",""))),IF(AND($M250="Applied",$AA250=""),IF(ISNUMBER($C250),IF(TODAY()-$C250&gt;=Set_FollowUpDays,"NO RESPONSE",""),""),"")))</f>
        <v/>
      </c>
      <c r="AD250" s="87">
        <f>IF(ISNUMBER($L250),IF($L250&gt;=90,"Excellent Match",IF($L250&gt;=75,"Strong Match",IF($L250&gt;=60,"Moderate Match","Low Match"))),"")</f>
        <v/>
      </c>
      <c r="AE250" s="87">
        <f>IF($D250="","",IF(OR($M250="Rejected",$M250="Withdrawn"),IF($AB250&lt;&gt;"",$AB250,IF(OR($M250="Rejected",ISNUMBER($C250)),"Applied","Wishlist")),IF($M250="",IF(ISNUMBER($C250),"Applied","Wishlist"),$M250)))</f>
        <v/>
      </c>
      <c r="AF250" s="88">
        <f>IF(AND(ISNUMBER($C250),ISNUMBER($AA250)),$AA250-$C250,"")</f>
        <v/>
      </c>
      <c r="AG250" s="87">
        <f>IF($AE250="","",IFERROR(MATCH($AE250,{"Wishlist","Applied","Screening","Interview 1","Interview 2","Final","Offer","Accepted"},0)-1,""))</f>
        <v/>
      </c>
      <c r="AH250" s="87">
        <f>IF($AC250="","",MATCH($AC250,{"FOLLOW UP REQUIRED","ACTION DUE TODAY","NO RESPONSE","DUE SOON"},0)*100000+IF(ISNUMBER($O250),$O250,IF(ISNUMBER($C250),$C250,0))+ROW()/10000)</f>
        <v/>
      </c>
      <c r="AI250" s="87">
        <f>IF(AND(ISNUMBER($AG250),$AG250&gt;=1,$AG250&lt;=6,$M250&lt;&gt;"Rejected",$M250&lt;&gt;"Withdrawn"),(10-$AG250)*100000+IF(ISNUMBER($C250),$C250,0)+ROW()/10000,"")</f>
        <v/>
      </c>
    </row>
    <row r="251">
      <c r="A251" s="80" t="n"/>
      <c r="B251" s="81" t="n"/>
      <c r="C251" s="81" t="n"/>
      <c r="D251" s="82" t="n"/>
      <c r="E251" s="82" t="n"/>
      <c r="F251" s="82" t="n"/>
      <c r="G251" s="82" t="n"/>
      <c r="H251" s="82" t="n"/>
      <c r="I251" s="83" t="n"/>
      <c r="J251" s="82" t="n"/>
      <c r="K251" s="84" t="n"/>
      <c r="L251" s="85" t="n"/>
      <c r="M251" s="82" t="n"/>
      <c r="N251" s="86" t="n"/>
      <c r="O251" s="81" t="n"/>
      <c r="P251" s="82" t="n"/>
      <c r="Q251" s="83" t="n"/>
      <c r="R251" s="82" t="n"/>
      <c r="S251" s="84" t="n"/>
      <c r="T251" s="84" t="n"/>
      <c r="U251" s="82" t="n"/>
      <c r="V251" s="86" t="n"/>
      <c r="W251" s="86" t="n"/>
      <c r="X251" s="86" t="n"/>
      <c r="Y251" s="81" t="n"/>
      <c r="Z251" s="82" t="n"/>
      <c r="AA251" s="81" t="n"/>
      <c r="AB251" s="82" t="n"/>
      <c r="AC251" s="87">
        <f>IF(OR($D251="",$M251="Rejected",$M251="Withdrawn",$M251="Accepted"),"",IF(ISNUMBER($O251),IF(INT($O251)&lt;TODAY(),"FOLLOW UP REQUIRED",IF(INT($O251)=TODAY(),"ACTION DUE TODAY",IF(INT($O251)-TODAY()&lt;=Set_DueSoonDays,"DUE SOON",""))),IF(AND($M251="Applied",$AA251=""),IF(ISNUMBER($C251),IF(TODAY()-$C251&gt;=Set_FollowUpDays,"NO RESPONSE",""),""),"")))</f>
        <v/>
      </c>
      <c r="AD251" s="87">
        <f>IF(ISNUMBER($L251),IF($L251&gt;=90,"Excellent Match",IF($L251&gt;=75,"Strong Match",IF($L251&gt;=60,"Moderate Match","Low Match"))),"")</f>
        <v/>
      </c>
      <c r="AE251" s="87">
        <f>IF($D251="","",IF(OR($M251="Rejected",$M251="Withdrawn"),IF($AB251&lt;&gt;"",$AB251,IF(OR($M251="Rejected",ISNUMBER($C251)),"Applied","Wishlist")),IF($M251="",IF(ISNUMBER($C251),"Applied","Wishlist"),$M251)))</f>
        <v/>
      </c>
      <c r="AF251" s="88">
        <f>IF(AND(ISNUMBER($C251),ISNUMBER($AA251)),$AA251-$C251,"")</f>
        <v/>
      </c>
      <c r="AG251" s="87">
        <f>IF($AE251="","",IFERROR(MATCH($AE251,{"Wishlist","Applied","Screening","Interview 1","Interview 2","Final","Offer","Accepted"},0)-1,""))</f>
        <v/>
      </c>
      <c r="AH251" s="87">
        <f>IF($AC251="","",MATCH($AC251,{"FOLLOW UP REQUIRED","ACTION DUE TODAY","NO RESPONSE","DUE SOON"},0)*100000+IF(ISNUMBER($O251),$O251,IF(ISNUMBER($C251),$C251,0))+ROW()/10000)</f>
        <v/>
      </c>
      <c r="AI251" s="87">
        <f>IF(AND(ISNUMBER($AG251),$AG251&gt;=1,$AG251&lt;=6,$M251&lt;&gt;"Rejected",$M251&lt;&gt;"Withdrawn"),(10-$AG251)*100000+IF(ISNUMBER($C251),$C251,0)+ROW()/10000,"")</f>
        <v/>
      </c>
    </row>
    <row r="252">
      <c r="A252" s="80" t="n"/>
      <c r="B252" s="81" t="n"/>
      <c r="C252" s="81" t="n"/>
      <c r="D252" s="82" t="n"/>
      <c r="E252" s="82" t="n"/>
      <c r="F252" s="82" t="n"/>
      <c r="G252" s="82" t="n"/>
      <c r="H252" s="82" t="n"/>
      <c r="I252" s="83" t="n"/>
      <c r="J252" s="82" t="n"/>
      <c r="K252" s="84" t="n"/>
      <c r="L252" s="85" t="n"/>
      <c r="M252" s="82" t="n"/>
      <c r="N252" s="86" t="n"/>
      <c r="O252" s="81" t="n"/>
      <c r="P252" s="82" t="n"/>
      <c r="Q252" s="83" t="n"/>
      <c r="R252" s="82" t="n"/>
      <c r="S252" s="84" t="n"/>
      <c r="T252" s="84" t="n"/>
      <c r="U252" s="82" t="n"/>
      <c r="V252" s="86" t="n"/>
      <c r="W252" s="86" t="n"/>
      <c r="X252" s="86" t="n"/>
      <c r="Y252" s="81" t="n"/>
      <c r="Z252" s="82" t="n"/>
      <c r="AA252" s="81" t="n"/>
      <c r="AB252" s="82" t="n"/>
      <c r="AC252" s="87">
        <f>IF(OR($D252="",$M252="Rejected",$M252="Withdrawn",$M252="Accepted"),"",IF(ISNUMBER($O252),IF(INT($O252)&lt;TODAY(),"FOLLOW UP REQUIRED",IF(INT($O252)=TODAY(),"ACTION DUE TODAY",IF(INT($O252)-TODAY()&lt;=Set_DueSoonDays,"DUE SOON",""))),IF(AND($M252="Applied",$AA252=""),IF(ISNUMBER($C252),IF(TODAY()-$C252&gt;=Set_FollowUpDays,"NO RESPONSE",""),""),"")))</f>
        <v/>
      </c>
      <c r="AD252" s="87">
        <f>IF(ISNUMBER($L252),IF($L252&gt;=90,"Excellent Match",IF($L252&gt;=75,"Strong Match",IF($L252&gt;=60,"Moderate Match","Low Match"))),"")</f>
        <v/>
      </c>
      <c r="AE252" s="87">
        <f>IF($D252="","",IF(OR($M252="Rejected",$M252="Withdrawn"),IF($AB252&lt;&gt;"",$AB252,IF(OR($M252="Rejected",ISNUMBER($C252)),"Applied","Wishlist")),IF($M252="",IF(ISNUMBER($C252),"Applied","Wishlist"),$M252)))</f>
        <v/>
      </c>
      <c r="AF252" s="88">
        <f>IF(AND(ISNUMBER($C252),ISNUMBER($AA252)),$AA252-$C252,"")</f>
        <v/>
      </c>
      <c r="AG252" s="87">
        <f>IF($AE252="","",IFERROR(MATCH($AE252,{"Wishlist","Applied","Screening","Interview 1","Interview 2","Final","Offer","Accepted"},0)-1,""))</f>
        <v/>
      </c>
      <c r="AH252" s="87">
        <f>IF($AC252="","",MATCH($AC252,{"FOLLOW UP REQUIRED","ACTION DUE TODAY","NO RESPONSE","DUE SOON"},0)*100000+IF(ISNUMBER($O252),$O252,IF(ISNUMBER($C252),$C252,0))+ROW()/10000)</f>
        <v/>
      </c>
      <c r="AI252" s="87">
        <f>IF(AND(ISNUMBER($AG252),$AG252&gt;=1,$AG252&lt;=6,$M252&lt;&gt;"Rejected",$M252&lt;&gt;"Withdrawn"),(10-$AG252)*100000+IF(ISNUMBER($C252),$C252,0)+ROW()/10000,"")</f>
        <v/>
      </c>
    </row>
    <row r="253">
      <c r="A253" s="80" t="n"/>
      <c r="B253" s="81" t="n"/>
      <c r="C253" s="81" t="n"/>
      <c r="D253" s="82" t="n"/>
      <c r="E253" s="82" t="n"/>
      <c r="F253" s="82" t="n"/>
      <c r="G253" s="82" t="n"/>
      <c r="H253" s="82" t="n"/>
      <c r="I253" s="83" t="n"/>
      <c r="J253" s="82" t="n"/>
      <c r="K253" s="84" t="n"/>
      <c r="L253" s="85" t="n"/>
      <c r="M253" s="82" t="n"/>
      <c r="N253" s="86" t="n"/>
      <c r="O253" s="81" t="n"/>
      <c r="P253" s="82" t="n"/>
      <c r="Q253" s="83" t="n"/>
      <c r="R253" s="82" t="n"/>
      <c r="S253" s="84" t="n"/>
      <c r="T253" s="84" t="n"/>
      <c r="U253" s="82" t="n"/>
      <c r="V253" s="86" t="n"/>
      <c r="W253" s="86" t="n"/>
      <c r="X253" s="86" t="n"/>
      <c r="Y253" s="81" t="n"/>
      <c r="Z253" s="82" t="n"/>
      <c r="AA253" s="81" t="n"/>
      <c r="AB253" s="82" t="n"/>
      <c r="AC253" s="87">
        <f>IF(OR($D253="",$M253="Rejected",$M253="Withdrawn",$M253="Accepted"),"",IF(ISNUMBER($O253),IF(INT($O253)&lt;TODAY(),"FOLLOW UP REQUIRED",IF(INT($O253)=TODAY(),"ACTION DUE TODAY",IF(INT($O253)-TODAY()&lt;=Set_DueSoonDays,"DUE SOON",""))),IF(AND($M253="Applied",$AA253=""),IF(ISNUMBER($C253),IF(TODAY()-$C253&gt;=Set_FollowUpDays,"NO RESPONSE",""),""),"")))</f>
        <v/>
      </c>
      <c r="AD253" s="87">
        <f>IF(ISNUMBER($L253),IF($L253&gt;=90,"Excellent Match",IF($L253&gt;=75,"Strong Match",IF($L253&gt;=60,"Moderate Match","Low Match"))),"")</f>
        <v/>
      </c>
      <c r="AE253" s="87">
        <f>IF($D253="","",IF(OR($M253="Rejected",$M253="Withdrawn"),IF($AB253&lt;&gt;"",$AB253,IF(OR($M253="Rejected",ISNUMBER($C253)),"Applied","Wishlist")),IF($M253="",IF(ISNUMBER($C253),"Applied","Wishlist"),$M253)))</f>
        <v/>
      </c>
      <c r="AF253" s="88">
        <f>IF(AND(ISNUMBER($C253),ISNUMBER($AA253)),$AA253-$C253,"")</f>
        <v/>
      </c>
      <c r="AG253" s="87">
        <f>IF($AE253="","",IFERROR(MATCH($AE253,{"Wishlist","Applied","Screening","Interview 1","Interview 2","Final","Offer","Accepted"},0)-1,""))</f>
        <v/>
      </c>
      <c r="AH253" s="87">
        <f>IF($AC253="","",MATCH($AC253,{"FOLLOW UP REQUIRED","ACTION DUE TODAY","NO RESPONSE","DUE SOON"},0)*100000+IF(ISNUMBER($O253),$O253,IF(ISNUMBER($C253),$C253,0))+ROW()/10000)</f>
        <v/>
      </c>
      <c r="AI253" s="87">
        <f>IF(AND(ISNUMBER($AG253),$AG253&gt;=1,$AG253&lt;=6,$M253&lt;&gt;"Rejected",$M253&lt;&gt;"Withdrawn"),(10-$AG253)*100000+IF(ISNUMBER($C253),$C253,0)+ROW()/10000,"")</f>
        <v/>
      </c>
    </row>
    <row r="254">
      <c r="A254" s="80" t="n"/>
      <c r="B254" s="81" t="n"/>
      <c r="C254" s="81" t="n"/>
      <c r="D254" s="82" t="n"/>
      <c r="E254" s="82" t="n"/>
      <c r="F254" s="82" t="n"/>
      <c r="G254" s="82" t="n"/>
      <c r="H254" s="82" t="n"/>
      <c r="I254" s="83" t="n"/>
      <c r="J254" s="82" t="n"/>
      <c r="K254" s="84" t="n"/>
      <c r="L254" s="85" t="n"/>
      <c r="M254" s="82" t="n"/>
      <c r="N254" s="86" t="n"/>
      <c r="O254" s="81" t="n"/>
      <c r="P254" s="82" t="n"/>
      <c r="Q254" s="83" t="n"/>
      <c r="R254" s="82" t="n"/>
      <c r="S254" s="84" t="n"/>
      <c r="T254" s="84" t="n"/>
      <c r="U254" s="82" t="n"/>
      <c r="V254" s="86" t="n"/>
      <c r="W254" s="86" t="n"/>
      <c r="X254" s="86" t="n"/>
      <c r="Y254" s="81" t="n"/>
      <c r="Z254" s="82" t="n"/>
      <c r="AA254" s="81" t="n"/>
      <c r="AB254" s="82" t="n"/>
      <c r="AC254" s="87">
        <f>IF(OR($D254="",$M254="Rejected",$M254="Withdrawn",$M254="Accepted"),"",IF(ISNUMBER($O254),IF(INT($O254)&lt;TODAY(),"FOLLOW UP REQUIRED",IF(INT($O254)=TODAY(),"ACTION DUE TODAY",IF(INT($O254)-TODAY()&lt;=Set_DueSoonDays,"DUE SOON",""))),IF(AND($M254="Applied",$AA254=""),IF(ISNUMBER($C254),IF(TODAY()-$C254&gt;=Set_FollowUpDays,"NO RESPONSE",""),""),"")))</f>
        <v/>
      </c>
      <c r="AD254" s="87">
        <f>IF(ISNUMBER($L254),IF($L254&gt;=90,"Excellent Match",IF($L254&gt;=75,"Strong Match",IF($L254&gt;=60,"Moderate Match","Low Match"))),"")</f>
        <v/>
      </c>
      <c r="AE254" s="87">
        <f>IF($D254="","",IF(OR($M254="Rejected",$M254="Withdrawn"),IF($AB254&lt;&gt;"",$AB254,IF(OR($M254="Rejected",ISNUMBER($C254)),"Applied","Wishlist")),IF($M254="",IF(ISNUMBER($C254),"Applied","Wishlist"),$M254)))</f>
        <v/>
      </c>
      <c r="AF254" s="88">
        <f>IF(AND(ISNUMBER($C254),ISNUMBER($AA254)),$AA254-$C254,"")</f>
        <v/>
      </c>
      <c r="AG254" s="87">
        <f>IF($AE254="","",IFERROR(MATCH($AE254,{"Wishlist","Applied","Screening","Interview 1","Interview 2","Final","Offer","Accepted"},0)-1,""))</f>
        <v/>
      </c>
      <c r="AH254" s="87">
        <f>IF($AC254="","",MATCH($AC254,{"FOLLOW UP REQUIRED","ACTION DUE TODAY","NO RESPONSE","DUE SOON"},0)*100000+IF(ISNUMBER($O254),$O254,IF(ISNUMBER($C254),$C254,0))+ROW()/10000)</f>
        <v/>
      </c>
      <c r="AI254" s="87">
        <f>IF(AND(ISNUMBER($AG254),$AG254&gt;=1,$AG254&lt;=6,$M254&lt;&gt;"Rejected",$M254&lt;&gt;"Withdrawn"),(10-$AG254)*100000+IF(ISNUMBER($C254),$C254,0)+ROW()/10000,"")</f>
        <v/>
      </c>
    </row>
    <row r="255">
      <c r="A255" s="80" t="n"/>
      <c r="B255" s="81" t="n"/>
      <c r="C255" s="81" t="n"/>
      <c r="D255" s="82" t="n"/>
      <c r="E255" s="82" t="n"/>
      <c r="F255" s="82" t="n"/>
      <c r="G255" s="82" t="n"/>
      <c r="H255" s="82" t="n"/>
      <c r="I255" s="83" t="n"/>
      <c r="J255" s="82" t="n"/>
      <c r="K255" s="84" t="n"/>
      <c r="L255" s="85" t="n"/>
      <c r="M255" s="82" t="n"/>
      <c r="N255" s="86" t="n"/>
      <c r="O255" s="81" t="n"/>
      <c r="P255" s="82" t="n"/>
      <c r="Q255" s="83" t="n"/>
      <c r="R255" s="82" t="n"/>
      <c r="S255" s="84" t="n"/>
      <c r="T255" s="84" t="n"/>
      <c r="U255" s="82" t="n"/>
      <c r="V255" s="86" t="n"/>
      <c r="W255" s="86" t="n"/>
      <c r="X255" s="86" t="n"/>
      <c r="Y255" s="81" t="n"/>
      <c r="Z255" s="82" t="n"/>
      <c r="AA255" s="81" t="n"/>
      <c r="AB255" s="82" t="n"/>
      <c r="AC255" s="87">
        <f>IF(OR($D255="",$M255="Rejected",$M255="Withdrawn",$M255="Accepted"),"",IF(ISNUMBER($O255),IF(INT($O255)&lt;TODAY(),"FOLLOW UP REQUIRED",IF(INT($O255)=TODAY(),"ACTION DUE TODAY",IF(INT($O255)-TODAY()&lt;=Set_DueSoonDays,"DUE SOON",""))),IF(AND($M255="Applied",$AA255=""),IF(ISNUMBER($C255),IF(TODAY()-$C255&gt;=Set_FollowUpDays,"NO RESPONSE",""),""),"")))</f>
        <v/>
      </c>
      <c r="AD255" s="87">
        <f>IF(ISNUMBER($L255),IF($L255&gt;=90,"Excellent Match",IF($L255&gt;=75,"Strong Match",IF($L255&gt;=60,"Moderate Match","Low Match"))),"")</f>
        <v/>
      </c>
      <c r="AE255" s="87">
        <f>IF($D255="","",IF(OR($M255="Rejected",$M255="Withdrawn"),IF($AB255&lt;&gt;"",$AB255,IF(OR($M255="Rejected",ISNUMBER($C255)),"Applied","Wishlist")),IF($M255="",IF(ISNUMBER($C255),"Applied","Wishlist"),$M255)))</f>
        <v/>
      </c>
      <c r="AF255" s="88">
        <f>IF(AND(ISNUMBER($C255),ISNUMBER($AA255)),$AA255-$C255,"")</f>
        <v/>
      </c>
      <c r="AG255" s="87">
        <f>IF($AE255="","",IFERROR(MATCH($AE255,{"Wishlist","Applied","Screening","Interview 1","Interview 2","Final","Offer","Accepted"},0)-1,""))</f>
        <v/>
      </c>
      <c r="AH255" s="87">
        <f>IF($AC255="","",MATCH($AC255,{"FOLLOW UP REQUIRED","ACTION DUE TODAY","NO RESPONSE","DUE SOON"},0)*100000+IF(ISNUMBER($O255),$O255,IF(ISNUMBER($C255),$C255,0))+ROW()/10000)</f>
        <v/>
      </c>
      <c r="AI255" s="87">
        <f>IF(AND(ISNUMBER($AG255),$AG255&gt;=1,$AG255&lt;=6,$M255&lt;&gt;"Rejected",$M255&lt;&gt;"Withdrawn"),(10-$AG255)*100000+IF(ISNUMBER($C255),$C255,0)+ROW()/10000,"")</f>
        <v/>
      </c>
    </row>
    <row r="256">
      <c r="A256" s="80" t="n"/>
      <c r="B256" s="81" t="n"/>
      <c r="C256" s="81" t="n"/>
      <c r="D256" s="82" t="n"/>
      <c r="E256" s="82" t="n"/>
      <c r="F256" s="82" t="n"/>
      <c r="G256" s="82" t="n"/>
      <c r="H256" s="82" t="n"/>
      <c r="I256" s="83" t="n"/>
      <c r="J256" s="82" t="n"/>
      <c r="K256" s="84" t="n"/>
      <c r="L256" s="85" t="n"/>
      <c r="M256" s="82" t="n"/>
      <c r="N256" s="86" t="n"/>
      <c r="O256" s="81" t="n"/>
      <c r="P256" s="82" t="n"/>
      <c r="Q256" s="83" t="n"/>
      <c r="R256" s="82" t="n"/>
      <c r="S256" s="84" t="n"/>
      <c r="T256" s="84" t="n"/>
      <c r="U256" s="82" t="n"/>
      <c r="V256" s="86" t="n"/>
      <c r="W256" s="86" t="n"/>
      <c r="X256" s="86" t="n"/>
      <c r="Y256" s="81" t="n"/>
      <c r="Z256" s="82" t="n"/>
      <c r="AA256" s="81" t="n"/>
      <c r="AB256" s="82" t="n"/>
      <c r="AC256" s="87">
        <f>IF(OR($D256="",$M256="Rejected",$M256="Withdrawn",$M256="Accepted"),"",IF(ISNUMBER($O256),IF(INT($O256)&lt;TODAY(),"FOLLOW UP REQUIRED",IF(INT($O256)=TODAY(),"ACTION DUE TODAY",IF(INT($O256)-TODAY()&lt;=Set_DueSoonDays,"DUE SOON",""))),IF(AND($M256="Applied",$AA256=""),IF(ISNUMBER($C256),IF(TODAY()-$C256&gt;=Set_FollowUpDays,"NO RESPONSE",""),""),"")))</f>
        <v/>
      </c>
      <c r="AD256" s="87">
        <f>IF(ISNUMBER($L256),IF($L256&gt;=90,"Excellent Match",IF($L256&gt;=75,"Strong Match",IF($L256&gt;=60,"Moderate Match","Low Match"))),"")</f>
        <v/>
      </c>
      <c r="AE256" s="87">
        <f>IF($D256="","",IF(OR($M256="Rejected",$M256="Withdrawn"),IF($AB256&lt;&gt;"",$AB256,IF(OR($M256="Rejected",ISNUMBER($C256)),"Applied","Wishlist")),IF($M256="",IF(ISNUMBER($C256),"Applied","Wishlist"),$M256)))</f>
        <v/>
      </c>
      <c r="AF256" s="88">
        <f>IF(AND(ISNUMBER($C256),ISNUMBER($AA256)),$AA256-$C256,"")</f>
        <v/>
      </c>
      <c r="AG256" s="87">
        <f>IF($AE256="","",IFERROR(MATCH($AE256,{"Wishlist","Applied","Screening","Interview 1","Interview 2","Final","Offer","Accepted"},0)-1,""))</f>
        <v/>
      </c>
      <c r="AH256" s="87">
        <f>IF($AC256="","",MATCH($AC256,{"FOLLOW UP REQUIRED","ACTION DUE TODAY","NO RESPONSE","DUE SOON"},0)*100000+IF(ISNUMBER($O256),$O256,IF(ISNUMBER($C256),$C256,0))+ROW()/10000)</f>
        <v/>
      </c>
      <c r="AI256" s="87">
        <f>IF(AND(ISNUMBER($AG256),$AG256&gt;=1,$AG256&lt;=6,$M256&lt;&gt;"Rejected",$M256&lt;&gt;"Withdrawn"),(10-$AG256)*100000+IF(ISNUMBER($C256),$C256,0)+ROW()/10000,"")</f>
        <v/>
      </c>
    </row>
    <row r="257">
      <c r="A257" s="80" t="n"/>
      <c r="B257" s="81" t="n"/>
      <c r="C257" s="81" t="n"/>
      <c r="D257" s="82" t="n"/>
      <c r="E257" s="82" t="n"/>
      <c r="F257" s="82" t="n"/>
      <c r="G257" s="82" t="n"/>
      <c r="H257" s="82" t="n"/>
      <c r="I257" s="83" t="n"/>
      <c r="J257" s="82" t="n"/>
      <c r="K257" s="84" t="n"/>
      <c r="L257" s="85" t="n"/>
      <c r="M257" s="82" t="n"/>
      <c r="N257" s="86" t="n"/>
      <c r="O257" s="81" t="n"/>
      <c r="P257" s="82" t="n"/>
      <c r="Q257" s="83" t="n"/>
      <c r="R257" s="82" t="n"/>
      <c r="S257" s="84" t="n"/>
      <c r="T257" s="84" t="n"/>
      <c r="U257" s="82" t="n"/>
      <c r="V257" s="86" t="n"/>
      <c r="W257" s="86" t="n"/>
      <c r="X257" s="86" t="n"/>
      <c r="Y257" s="81" t="n"/>
      <c r="Z257" s="82" t="n"/>
      <c r="AA257" s="81" t="n"/>
      <c r="AB257" s="82" t="n"/>
      <c r="AC257" s="87">
        <f>IF(OR($D257="",$M257="Rejected",$M257="Withdrawn",$M257="Accepted"),"",IF(ISNUMBER($O257),IF(INT($O257)&lt;TODAY(),"FOLLOW UP REQUIRED",IF(INT($O257)=TODAY(),"ACTION DUE TODAY",IF(INT($O257)-TODAY()&lt;=Set_DueSoonDays,"DUE SOON",""))),IF(AND($M257="Applied",$AA257=""),IF(ISNUMBER($C257),IF(TODAY()-$C257&gt;=Set_FollowUpDays,"NO RESPONSE",""),""),"")))</f>
        <v/>
      </c>
      <c r="AD257" s="87">
        <f>IF(ISNUMBER($L257),IF($L257&gt;=90,"Excellent Match",IF($L257&gt;=75,"Strong Match",IF($L257&gt;=60,"Moderate Match","Low Match"))),"")</f>
        <v/>
      </c>
      <c r="AE257" s="87">
        <f>IF($D257="","",IF(OR($M257="Rejected",$M257="Withdrawn"),IF($AB257&lt;&gt;"",$AB257,IF(OR($M257="Rejected",ISNUMBER($C257)),"Applied","Wishlist")),IF($M257="",IF(ISNUMBER($C257),"Applied","Wishlist"),$M257)))</f>
        <v/>
      </c>
      <c r="AF257" s="88">
        <f>IF(AND(ISNUMBER($C257),ISNUMBER($AA257)),$AA257-$C257,"")</f>
        <v/>
      </c>
      <c r="AG257" s="87">
        <f>IF($AE257="","",IFERROR(MATCH($AE257,{"Wishlist","Applied","Screening","Interview 1","Interview 2","Final","Offer","Accepted"},0)-1,""))</f>
        <v/>
      </c>
      <c r="AH257" s="87">
        <f>IF($AC257="","",MATCH($AC257,{"FOLLOW UP REQUIRED","ACTION DUE TODAY","NO RESPONSE","DUE SOON"},0)*100000+IF(ISNUMBER($O257),$O257,IF(ISNUMBER($C257),$C257,0))+ROW()/10000)</f>
        <v/>
      </c>
      <c r="AI257" s="87">
        <f>IF(AND(ISNUMBER($AG257),$AG257&gt;=1,$AG257&lt;=6,$M257&lt;&gt;"Rejected",$M257&lt;&gt;"Withdrawn"),(10-$AG257)*100000+IF(ISNUMBER($C257),$C257,0)+ROW()/10000,"")</f>
        <v/>
      </c>
    </row>
    <row r="258">
      <c r="A258" s="80" t="n"/>
      <c r="B258" s="81" t="n"/>
      <c r="C258" s="81" t="n"/>
      <c r="D258" s="82" t="n"/>
      <c r="E258" s="82" t="n"/>
      <c r="F258" s="82" t="n"/>
      <c r="G258" s="82" t="n"/>
      <c r="H258" s="82" t="n"/>
      <c r="I258" s="83" t="n"/>
      <c r="J258" s="82" t="n"/>
      <c r="K258" s="84" t="n"/>
      <c r="L258" s="85" t="n"/>
      <c r="M258" s="82" t="n"/>
      <c r="N258" s="86" t="n"/>
      <c r="O258" s="81" t="n"/>
      <c r="P258" s="82" t="n"/>
      <c r="Q258" s="83" t="n"/>
      <c r="R258" s="82" t="n"/>
      <c r="S258" s="84" t="n"/>
      <c r="T258" s="84" t="n"/>
      <c r="U258" s="82" t="n"/>
      <c r="V258" s="86" t="n"/>
      <c r="W258" s="86" t="n"/>
      <c r="X258" s="86" t="n"/>
      <c r="Y258" s="81" t="n"/>
      <c r="Z258" s="82" t="n"/>
      <c r="AA258" s="81" t="n"/>
      <c r="AB258" s="82" t="n"/>
      <c r="AC258" s="87">
        <f>IF(OR($D258="",$M258="Rejected",$M258="Withdrawn",$M258="Accepted"),"",IF(ISNUMBER($O258),IF(INT($O258)&lt;TODAY(),"FOLLOW UP REQUIRED",IF(INT($O258)=TODAY(),"ACTION DUE TODAY",IF(INT($O258)-TODAY()&lt;=Set_DueSoonDays,"DUE SOON",""))),IF(AND($M258="Applied",$AA258=""),IF(ISNUMBER($C258),IF(TODAY()-$C258&gt;=Set_FollowUpDays,"NO RESPONSE",""),""),"")))</f>
        <v/>
      </c>
      <c r="AD258" s="87">
        <f>IF(ISNUMBER($L258),IF($L258&gt;=90,"Excellent Match",IF($L258&gt;=75,"Strong Match",IF($L258&gt;=60,"Moderate Match","Low Match"))),"")</f>
        <v/>
      </c>
      <c r="AE258" s="87">
        <f>IF($D258="","",IF(OR($M258="Rejected",$M258="Withdrawn"),IF($AB258&lt;&gt;"",$AB258,IF(OR($M258="Rejected",ISNUMBER($C258)),"Applied","Wishlist")),IF($M258="",IF(ISNUMBER($C258),"Applied","Wishlist"),$M258)))</f>
        <v/>
      </c>
      <c r="AF258" s="88">
        <f>IF(AND(ISNUMBER($C258),ISNUMBER($AA258)),$AA258-$C258,"")</f>
        <v/>
      </c>
      <c r="AG258" s="87">
        <f>IF($AE258="","",IFERROR(MATCH($AE258,{"Wishlist","Applied","Screening","Interview 1","Interview 2","Final","Offer","Accepted"},0)-1,""))</f>
        <v/>
      </c>
      <c r="AH258" s="87">
        <f>IF($AC258="","",MATCH($AC258,{"FOLLOW UP REQUIRED","ACTION DUE TODAY","NO RESPONSE","DUE SOON"},0)*100000+IF(ISNUMBER($O258),$O258,IF(ISNUMBER($C258),$C258,0))+ROW()/10000)</f>
        <v/>
      </c>
      <c r="AI258" s="87">
        <f>IF(AND(ISNUMBER($AG258),$AG258&gt;=1,$AG258&lt;=6,$M258&lt;&gt;"Rejected",$M258&lt;&gt;"Withdrawn"),(10-$AG258)*100000+IF(ISNUMBER($C258),$C258,0)+ROW()/10000,"")</f>
        <v/>
      </c>
    </row>
    <row r="259">
      <c r="A259" s="80" t="n"/>
      <c r="B259" s="81" t="n"/>
      <c r="C259" s="81" t="n"/>
      <c r="D259" s="82" t="n"/>
      <c r="E259" s="82" t="n"/>
      <c r="F259" s="82" t="n"/>
      <c r="G259" s="82" t="n"/>
      <c r="H259" s="82" t="n"/>
      <c r="I259" s="83" t="n"/>
      <c r="J259" s="82" t="n"/>
      <c r="K259" s="84" t="n"/>
      <c r="L259" s="85" t="n"/>
      <c r="M259" s="82" t="n"/>
      <c r="N259" s="86" t="n"/>
      <c r="O259" s="81" t="n"/>
      <c r="P259" s="82" t="n"/>
      <c r="Q259" s="83" t="n"/>
      <c r="R259" s="82" t="n"/>
      <c r="S259" s="84" t="n"/>
      <c r="T259" s="84" t="n"/>
      <c r="U259" s="82" t="n"/>
      <c r="V259" s="86" t="n"/>
      <c r="W259" s="86" t="n"/>
      <c r="X259" s="86" t="n"/>
      <c r="Y259" s="81" t="n"/>
      <c r="Z259" s="82" t="n"/>
      <c r="AA259" s="81" t="n"/>
      <c r="AB259" s="82" t="n"/>
      <c r="AC259" s="87">
        <f>IF(OR($D259="",$M259="Rejected",$M259="Withdrawn",$M259="Accepted"),"",IF(ISNUMBER($O259),IF(INT($O259)&lt;TODAY(),"FOLLOW UP REQUIRED",IF(INT($O259)=TODAY(),"ACTION DUE TODAY",IF(INT($O259)-TODAY()&lt;=Set_DueSoonDays,"DUE SOON",""))),IF(AND($M259="Applied",$AA259=""),IF(ISNUMBER($C259),IF(TODAY()-$C259&gt;=Set_FollowUpDays,"NO RESPONSE",""),""),"")))</f>
        <v/>
      </c>
      <c r="AD259" s="87">
        <f>IF(ISNUMBER($L259),IF($L259&gt;=90,"Excellent Match",IF($L259&gt;=75,"Strong Match",IF($L259&gt;=60,"Moderate Match","Low Match"))),"")</f>
        <v/>
      </c>
      <c r="AE259" s="87">
        <f>IF($D259="","",IF(OR($M259="Rejected",$M259="Withdrawn"),IF($AB259&lt;&gt;"",$AB259,IF(OR($M259="Rejected",ISNUMBER($C259)),"Applied","Wishlist")),IF($M259="",IF(ISNUMBER($C259),"Applied","Wishlist"),$M259)))</f>
        <v/>
      </c>
      <c r="AF259" s="88">
        <f>IF(AND(ISNUMBER($C259),ISNUMBER($AA259)),$AA259-$C259,"")</f>
        <v/>
      </c>
      <c r="AG259" s="87">
        <f>IF($AE259="","",IFERROR(MATCH($AE259,{"Wishlist","Applied","Screening","Interview 1","Interview 2","Final","Offer","Accepted"},0)-1,""))</f>
        <v/>
      </c>
      <c r="AH259" s="87">
        <f>IF($AC259="","",MATCH($AC259,{"FOLLOW UP REQUIRED","ACTION DUE TODAY","NO RESPONSE","DUE SOON"},0)*100000+IF(ISNUMBER($O259),$O259,IF(ISNUMBER($C259),$C259,0))+ROW()/10000)</f>
        <v/>
      </c>
      <c r="AI259" s="87">
        <f>IF(AND(ISNUMBER($AG259),$AG259&gt;=1,$AG259&lt;=6,$M259&lt;&gt;"Rejected",$M259&lt;&gt;"Withdrawn"),(10-$AG259)*100000+IF(ISNUMBER($C259),$C259,0)+ROW()/10000,"")</f>
        <v/>
      </c>
    </row>
    <row r="260">
      <c r="A260" s="80" t="n"/>
      <c r="B260" s="81" t="n"/>
      <c r="C260" s="81" t="n"/>
      <c r="D260" s="82" t="n"/>
      <c r="E260" s="82" t="n"/>
      <c r="F260" s="82" t="n"/>
      <c r="G260" s="82" t="n"/>
      <c r="H260" s="82" t="n"/>
      <c r="I260" s="83" t="n"/>
      <c r="J260" s="82" t="n"/>
      <c r="K260" s="84" t="n"/>
      <c r="L260" s="85" t="n"/>
      <c r="M260" s="82" t="n"/>
      <c r="N260" s="86" t="n"/>
      <c r="O260" s="81" t="n"/>
      <c r="P260" s="82" t="n"/>
      <c r="Q260" s="83" t="n"/>
      <c r="R260" s="82" t="n"/>
      <c r="S260" s="84" t="n"/>
      <c r="T260" s="84" t="n"/>
      <c r="U260" s="82" t="n"/>
      <c r="V260" s="86" t="n"/>
      <c r="W260" s="86" t="n"/>
      <c r="X260" s="86" t="n"/>
      <c r="Y260" s="81" t="n"/>
      <c r="Z260" s="82" t="n"/>
      <c r="AA260" s="81" t="n"/>
      <c r="AB260" s="82" t="n"/>
      <c r="AC260" s="87">
        <f>IF(OR($D260="",$M260="Rejected",$M260="Withdrawn",$M260="Accepted"),"",IF(ISNUMBER($O260),IF(INT($O260)&lt;TODAY(),"FOLLOW UP REQUIRED",IF(INT($O260)=TODAY(),"ACTION DUE TODAY",IF(INT($O260)-TODAY()&lt;=Set_DueSoonDays,"DUE SOON",""))),IF(AND($M260="Applied",$AA260=""),IF(ISNUMBER($C260),IF(TODAY()-$C260&gt;=Set_FollowUpDays,"NO RESPONSE",""),""),"")))</f>
        <v/>
      </c>
      <c r="AD260" s="87">
        <f>IF(ISNUMBER($L260),IF($L260&gt;=90,"Excellent Match",IF($L260&gt;=75,"Strong Match",IF($L260&gt;=60,"Moderate Match","Low Match"))),"")</f>
        <v/>
      </c>
      <c r="AE260" s="87">
        <f>IF($D260="","",IF(OR($M260="Rejected",$M260="Withdrawn"),IF($AB260&lt;&gt;"",$AB260,IF(OR($M260="Rejected",ISNUMBER($C260)),"Applied","Wishlist")),IF($M260="",IF(ISNUMBER($C260),"Applied","Wishlist"),$M260)))</f>
        <v/>
      </c>
      <c r="AF260" s="88">
        <f>IF(AND(ISNUMBER($C260),ISNUMBER($AA260)),$AA260-$C260,"")</f>
        <v/>
      </c>
      <c r="AG260" s="87">
        <f>IF($AE260="","",IFERROR(MATCH($AE260,{"Wishlist","Applied","Screening","Interview 1","Interview 2","Final","Offer","Accepted"},0)-1,""))</f>
        <v/>
      </c>
      <c r="AH260" s="87">
        <f>IF($AC260="","",MATCH($AC260,{"FOLLOW UP REQUIRED","ACTION DUE TODAY","NO RESPONSE","DUE SOON"},0)*100000+IF(ISNUMBER($O260),$O260,IF(ISNUMBER($C260),$C260,0))+ROW()/10000)</f>
        <v/>
      </c>
      <c r="AI260" s="87">
        <f>IF(AND(ISNUMBER($AG260),$AG260&gt;=1,$AG260&lt;=6,$M260&lt;&gt;"Rejected",$M260&lt;&gt;"Withdrawn"),(10-$AG260)*100000+IF(ISNUMBER($C260),$C260,0)+ROW()/10000,"")</f>
        <v/>
      </c>
    </row>
    <row r="261">
      <c r="A261" s="80" t="n"/>
      <c r="B261" s="81" t="n"/>
      <c r="C261" s="81" t="n"/>
      <c r="D261" s="82" t="n"/>
      <c r="E261" s="82" t="n"/>
      <c r="F261" s="82" t="n"/>
      <c r="G261" s="82" t="n"/>
      <c r="H261" s="82" t="n"/>
      <c r="I261" s="83" t="n"/>
      <c r="J261" s="82" t="n"/>
      <c r="K261" s="84" t="n"/>
      <c r="L261" s="85" t="n"/>
      <c r="M261" s="82" t="n"/>
      <c r="N261" s="86" t="n"/>
      <c r="O261" s="81" t="n"/>
      <c r="P261" s="82" t="n"/>
      <c r="Q261" s="83" t="n"/>
      <c r="R261" s="82" t="n"/>
      <c r="S261" s="84" t="n"/>
      <c r="T261" s="84" t="n"/>
      <c r="U261" s="82" t="n"/>
      <c r="V261" s="86" t="n"/>
      <c r="W261" s="86" t="n"/>
      <c r="X261" s="86" t="n"/>
      <c r="Y261" s="81" t="n"/>
      <c r="Z261" s="82" t="n"/>
      <c r="AA261" s="81" t="n"/>
      <c r="AB261" s="82" t="n"/>
      <c r="AC261" s="87">
        <f>IF(OR($D261="",$M261="Rejected",$M261="Withdrawn",$M261="Accepted"),"",IF(ISNUMBER($O261),IF(INT($O261)&lt;TODAY(),"FOLLOW UP REQUIRED",IF(INT($O261)=TODAY(),"ACTION DUE TODAY",IF(INT($O261)-TODAY()&lt;=Set_DueSoonDays,"DUE SOON",""))),IF(AND($M261="Applied",$AA261=""),IF(ISNUMBER($C261),IF(TODAY()-$C261&gt;=Set_FollowUpDays,"NO RESPONSE",""),""),"")))</f>
        <v/>
      </c>
      <c r="AD261" s="87">
        <f>IF(ISNUMBER($L261),IF($L261&gt;=90,"Excellent Match",IF($L261&gt;=75,"Strong Match",IF($L261&gt;=60,"Moderate Match","Low Match"))),"")</f>
        <v/>
      </c>
      <c r="AE261" s="87">
        <f>IF($D261="","",IF(OR($M261="Rejected",$M261="Withdrawn"),IF($AB261&lt;&gt;"",$AB261,IF(OR($M261="Rejected",ISNUMBER($C261)),"Applied","Wishlist")),IF($M261="",IF(ISNUMBER($C261),"Applied","Wishlist"),$M261)))</f>
        <v/>
      </c>
      <c r="AF261" s="88">
        <f>IF(AND(ISNUMBER($C261),ISNUMBER($AA261)),$AA261-$C261,"")</f>
        <v/>
      </c>
      <c r="AG261" s="87">
        <f>IF($AE261="","",IFERROR(MATCH($AE261,{"Wishlist","Applied","Screening","Interview 1","Interview 2","Final","Offer","Accepted"},0)-1,""))</f>
        <v/>
      </c>
      <c r="AH261" s="87">
        <f>IF($AC261="","",MATCH($AC261,{"FOLLOW UP REQUIRED","ACTION DUE TODAY","NO RESPONSE","DUE SOON"},0)*100000+IF(ISNUMBER($O261),$O261,IF(ISNUMBER($C261),$C261,0))+ROW()/10000)</f>
        <v/>
      </c>
      <c r="AI261" s="87">
        <f>IF(AND(ISNUMBER($AG261),$AG261&gt;=1,$AG261&lt;=6,$M261&lt;&gt;"Rejected",$M261&lt;&gt;"Withdrawn"),(10-$AG261)*100000+IF(ISNUMBER($C261),$C261,0)+ROW()/10000,"")</f>
        <v/>
      </c>
    </row>
    <row r="262">
      <c r="A262" s="80" t="n"/>
      <c r="B262" s="81" t="n"/>
      <c r="C262" s="81" t="n"/>
      <c r="D262" s="82" t="n"/>
      <c r="E262" s="82" t="n"/>
      <c r="F262" s="82" t="n"/>
      <c r="G262" s="82" t="n"/>
      <c r="H262" s="82" t="n"/>
      <c r="I262" s="83" t="n"/>
      <c r="J262" s="82" t="n"/>
      <c r="K262" s="84" t="n"/>
      <c r="L262" s="85" t="n"/>
      <c r="M262" s="82" t="n"/>
      <c r="N262" s="86" t="n"/>
      <c r="O262" s="81" t="n"/>
      <c r="P262" s="82" t="n"/>
      <c r="Q262" s="83" t="n"/>
      <c r="R262" s="82" t="n"/>
      <c r="S262" s="84" t="n"/>
      <c r="T262" s="84" t="n"/>
      <c r="U262" s="82" t="n"/>
      <c r="V262" s="86" t="n"/>
      <c r="W262" s="86" t="n"/>
      <c r="X262" s="86" t="n"/>
      <c r="Y262" s="81" t="n"/>
      <c r="Z262" s="82" t="n"/>
      <c r="AA262" s="81" t="n"/>
      <c r="AB262" s="82" t="n"/>
      <c r="AC262" s="87">
        <f>IF(OR($D262="",$M262="Rejected",$M262="Withdrawn",$M262="Accepted"),"",IF(ISNUMBER($O262),IF(INT($O262)&lt;TODAY(),"FOLLOW UP REQUIRED",IF(INT($O262)=TODAY(),"ACTION DUE TODAY",IF(INT($O262)-TODAY()&lt;=Set_DueSoonDays,"DUE SOON",""))),IF(AND($M262="Applied",$AA262=""),IF(ISNUMBER($C262),IF(TODAY()-$C262&gt;=Set_FollowUpDays,"NO RESPONSE",""),""),"")))</f>
        <v/>
      </c>
      <c r="AD262" s="87">
        <f>IF(ISNUMBER($L262),IF($L262&gt;=90,"Excellent Match",IF($L262&gt;=75,"Strong Match",IF($L262&gt;=60,"Moderate Match","Low Match"))),"")</f>
        <v/>
      </c>
      <c r="AE262" s="87">
        <f>IF($D262="","",IF(OR($M262="Rejected",$M262="Withdrawn"),IF($AB262&lt;&gt;"",$AB262,IF(OR($M262="Rejected",ISNUMBER($C262)),"Applied","Wishlist")),IF($M262="",IF(ISNUMBER($C262),"Applied","Wishlist"),$M262)))</f>
        <v/>
      </c>
      <c r="AF262" s="88">
        <f>IF(AND(ISNUMBER($C262),ISNUMBER($AA262)),$AA262-$C262,"")</f>
        <v/>
      </c>
      <c r="AG262" s="87">
        <f>IF($AE262="","",IFERROR(MATCH($AE262,{"Wishlist","Applied","Screening","Interview 1","Interview 2","Final","Offer","Accepted"},0)-1,""))</f>
        <v/>
      </c>
      <c r="AH262" s="87">
        <f>IF($AC262="","",MATCH($AC262,{"FOLLOW UP REQUIRED","ACTION DUE TODAY","NO RESPONSE","DUE SOON"},0)*100000+IF(ISNUMBER($O262),$O262,IF(ISNUMBER($C262),$C262,0))+ROW()/10000)</f>
        <v/>
      </c>
      <c r="AI262" s="87">
        <f>IF(AND(ISNUMBER($AG262),$AG262&gt;=1,$AG262&lt;=6,$M262&lt;&gt;"Rejected",$M262&lt;&gt;"Withdrawn"),(10-$AG262)*100000+IF(ISNUMBER($C262),$C262,0)+ROW()/10000,"")</f>
        <v/>
      </c>
    </row>
    <row r="263">
      <c r="A263" s="80" t="n"/>
      <c r="B263" s="81" t="n"/>
      <c r="C263" s="81" t="n"/>
      <c r="D263" s="82" t="n"/>
      <c r="E263" s="82" t="n"/>
      <c r="F263" s="82" t="n"/>
      <c r="G263" s="82" t="n"/>
      <c r="H263" s="82" t="n"/>
      <c r="I263" s="83" t="n"/>
      <c r="J263" s="82" t="n"/>
      <c r="K263" s="84" t="n"/>
      <c r="L263" s="85" t="n"/>
      <c r="M263" s="82" t="n"/>
      <c r="N263" s="86" t="n"/>
      <c r="O263" s="81" t="n"/>
      <c r="P263" s="82" t="n"/>
      <c r="Q263" s="83" t="n"/>
      <c r="R263" s="82" t="n"/>
      <c r="S263" s="84" t="n"/>
      <c r="T263" s="84" t="n"/>
      <c r="U263" s="82" t="n"/>
      <c r="V263" s="86" t="n"/>
      <c r="W263" s="86" t="n"/>
      <c r="X263" s="86" t="n"/>
      <c r="Y263" s="81" t="n"/>
      <c r="Z263" s="82" t="n"/>
      <c r="AA263" s="81" t="n"/>
      <c r="AB263" s="82" t="n"/>
      <c r="AC263" s="87">
        <f>IF(OR($D263="",$M263="Rejected",$M263="Withdrawn",$M263="Accepted"),"",IF(ISNUMBER($O263),IF(INT($O263)&lt;TODAY(),"FOLLOW UP REQUIRED",IF(INT($O263)=TODAY(),"ACTION DUE TODAY",IF(INT($O263)-TODAY()&lt;=Set_DueSoonDays,"DUE SOON",""))),IF(AND($M263="Applied",$AA263=""),IF(ISNUMBER($C263),IF(TODAY()-$C263&gt;=Set_FollowUpDays,"NO RESPONSE",""),""),"")))</f>
        <v/>
      </c>
      <c r="AD263" s="87">
        <f>IF(ISNUMBER($L263),IF($L263&gt;=90,"Excellent Match",IF($L263&gt;=75,"Strong Match",IF($L263&gt;=60,"Moderate Match","Low Match"))),"")</f>
        <v/>
      </c>
      <c r="AE263" s="87">
        <f>IF($D263="","",IF(OR($M263="Rejected",$M263="Withdrawn"),IF($AB263&lt;&gt;"",$AB263,IF(OR($M263="Rejected",ISNUMBER($C263)),"Applied","Wishlist")),IF($M263="",IF(ISNUMBER($C263),"Applied","Wishlist"),$M263)))</f>
        <v/>
      </c>
      <c r="AF263" s="88">
        <f>IF(AND(ISNUMBER($C263),ISNUMBER($AA263)),$AA263-$C263,"")</f>
        <v/>
      </c>
      <c r="AG263" s="87">
        <f>IF($AE263="","",IFERROR(MATCH($AE263,{"Wishlist","Applied","Screening","Interview 1","Interview 2","Final","Offer","Accepted"},0)-1,""))</f>
        <v/>
      </c>
      <c r="AH263" s="87">
        <f>IF($AC263="","",MATCH($AC263,{"FOLLOW UP REQUIRED","ACTION DUE TODAY","NO RESPONSE","DUE SOON"},0)*100000+IF(ISNUMBER($O263),$O263,IF(ISNUMBER($C263),$C263,0))+ROW()/10000)</f>
        <v/>
      </c>
      <c r="AI263" s="87">
        <f>IF(AND(ISNUMBER($AG263),$AG263&gt;=1,$AG263&lt;=6,$M263&lt;&gt;"Rejected",$M263&lt;&gt;"Withdrawn"),(10-$AG263)*100000+IF(ISNUMBER($C263),$C263,0)+ROW()/10000,"")</f>
        <v/>
      </c>
    </row>
    <row r="264">
      <c r="A264" s="80" t="n"/>
      <c r="B264" s="81" t="n"/>
      <c r="C264" s="81" t="n"/>
      <c r="D264" s="82" t="n"/>
      <c r="E264" s="82" t="n"/>
      <c r="F264" s="82" t="n"/>
      <c r="G264" s="82" t="n"/>
      <c r="H264" s="82" t="n"/>
      <c r="I264" s="83" t="n"/>
      <c r="J264" s="82" t="n"/>
      <c r="K264" s="84" t="n"/>
      <c r="L264" s="85" t="n"/>
      <c r="M264" s="82" t="n"/>
      <c r="N264" s="86" t="n"/>
      <c r="O264" s="81" t="n"/>
      <c r="P264" s="82" t="n"/>
      <c r="Q264" s="83" t="n"/>
      <c r="R264" s="82" t="n"/>
      <c r="S264" s="84" t="n"/>
      <c r="T264" s="84" t="n"/>
      <c r="U264" s="82" t="n"/>
      <c r="V264" s="86" t="n"/>
      <c r="W264" s="86" t="n"/>
      <c r="X264" s="86" t="n"/>
      <c r="Y264" s="81" t="n"/>
      <c r="Z264" s="82" t="n"/>
      <c r="AA264" s="81" t="n"/>
      <c r="AB264" s="82" t="n"/>
      <c r="AC264" s="87">
        <f>IF(OR($D264="",$M264="Rejected",$M264="Withdrawn",$M264="Accepted"),"",IF(ISNUMBER($O264),IF(INT($O264)&lt;TODAY(),"FOLLOW UP REQUIRED",IF(INT($O264)=TODAY(),"ACTION DUE TODAY",IF(INT($O264)-TODAY()&lt;=Set_DueSoonDays,"DUE SOON",""))),IF(AND($M264="Applied",$AA264=""),IF(ISNUMBER($C264),IF(TODAY()-$C264&gt;=Set_FollowUpDays,"NO RESPONSE",""),""),"")))</f>
        <v/>
      </c>
      <c r="AD264" s="87">
        <f>IF(ISNUMBER($L264),IF($L264&gt;=90,"Excellent Match",IF($L264&gt;=75,"Strong Match",IF($L264&gt;=60,"Moderate Match","Low Match"))),"")</f>
        <v/>
      </c>
      <c r="AE264" s="87">
        <f>IF($D264="","",IF(OR($M264="Rejected",$M264="Withdrawn"),IF($AB264&lt;&gt;"",$AB264,IF(OR($M264="Rejected",ISNUMBER($C264)),"Applied","Wishlist")),IF($M264="",IF(ISNUMBER($C264),"Applied","Wishlist"),$M264)))</f>
        <v/>
      </c>
      <c r="AF264" s="88">
        <f>IF(AND(ISNUMBER($C264),ISNUMBER($AA264)),$AA264-$C264,"")</f>
        <v/>
      </c>
      <c r="AG264" s="87">
        <f>IF($AE264="","",IFERROR(MATCH($AE264,{"Wishlist","Applied","Screening","Interview 1","Interview 2","Final","Offer","Accepted"},0)-1,""))</f>
        <v/>
      </c>
      <c r="AH264" s="87">
        <f>IF($AC264="","",MATCH($AC264,{"FOLLOW UP REQUIRED","ACTION DUE TODAY","NO RESPONSE","DUE SOON"},0)*100000+IF(ISNUMBER($O264),$O264,IF(ISNUMBER($C264),$C264,0))+ROW()/10000)</f>
        <v/>
      </c>
      <c r="AI264" s="87">
        <f>IF(AND(ISNUMBER($AG264),$AG264&gt;=1,$AG264&lt;=6,$M264&lt;&gt;"Rejected",$M264&lt;&gt;"Withdrawn"),(10-$AG264)*100000+IF(ISNUMBER($C264),$C264,0)+ROW()/10000,"")</f>
        <v/>
      </c>
    </row>
    <row r="265">
      <c r="A265" s="80" t="n"/>
      <c r="B265" s="81" t="n"/>
      <c r="C265" s="81" t="n"/>
      <c r="D265" s="82" t="n"/>
      <c r="E265" s="82" t="n"/>
      <c r="F265" s="82" t="n"/>
      <c r="G265" s="82" t="n"/>
      <c r="H265" s="82" t="n"/>
      <c r="I265" s="83" t="n"/>
      <c r="J265" s="82" t="n"/>
      <c r="K265" s="84" t="n"/>
      <c r="L265" s="85" t="n"/>
      <c r="M265" s="82" t="n"/>
      <c r="N265" s="86" t="n"/>
      <c r="O265" s="81" t="n"/>
      <c r="P265" s="82" t="n"/>
      <c r="Q265" s="83" t="n"/>
      <c r="R265" s="82" t="n"/>
      <c r="S265" s="84" t="n"/>
      <c r="T265" s="84" t="n"/>
      <c r="U265" s="82" t="n"/>
      <c r="V265" s="86" t="n"/>
      <c r="W265" s="86" t="n"/>
      <c r="X265" s="86" t="n"/>
      <c r="Y265" s="81" t="n"/>
      <c r="Z265" s="82" t="n"/>
      <c r="AA265" s="81" t="n"/>
      <c r="AB265" s="82" t="n"/>
      <c r="AC265" s="87">
        <f>IF(OR($D265="",$M265="Rejected",$M265="Withdrawn",$M265="Accepted"),"",IF(ISNUMBER($O265),IF(INT($O265)&lt;TODAY(),"FOLLOW UP REQUIRED",IF(INT($O265)=TODAY(),"ACTION DUE TODAY",IF(INT($O265)-TODAY()&lt;=Set_DueSoonDays,"DUE SOON",""))),IF(AND($M265="Applied",$AA265=""),IF(ISNUMBER($C265),IF(TODAY()-$C265&gt;=Set_FollowUpDays,"NO RESPONSE",""),""),"")))</f>
        <v/>
      </c>
      <c r="AD265" s="87">
        <f>IF(ISNUMBER($L265),IF($L265&gt;=90,"Excellent Match",IF($L265&gt;=75,"Strong Match",IF($L265&gt;=60,"Moderate Match","Low Match"))),"")</f>
        <v/>
      </c>
      <c r="AE265" s="87">
        <f>IF($D265="","",IF(OR($M265="Rejected",$M265="Withdrawn"),IF($AB265&lt;&gt;"",$AB265,IF(OR($M265="Rejected",ISNUMBER($C265)),"Applied","Wishlist")),IF($M265="",IF(ISNUMBER($C265),"Applied","Wishlist"),$M265)))</f>
        <v/>
      </c>
      <c r="AF265" s="88">
        <f>IF(AND(ISNUMBER($C265),ISNUMBER($AA265)),$AA265-$C265,"")</f>
        <v/>
      </c>
      <c r="AG265" s="87">
        <f>IF($AE265="","",IFERROR(MATCH($AE265,{"Wishlist","Applied","Screening","Interview 1","Interview 2","Final","Offer","Accepted"},0)-1,""))</f>
        <v/>
      </c>
      <c r="AH265" s="87">
        <f>IF($AC265="","",MATCH($AC265,{"FOLLOW UP REQUIRED","ACTION DUE TODAY","NO RESPONSE","DUE SOON"},0)*100000+IF(ISNUMBER($O265),$O265,IF(ISNUMBER($C265),$C265,0))+ROW()/10000)</f>
        <v/>
      </c>
      <c r="AI265" s="87">
        <f>IF(AND(ISNUMBER($AG265),$AG265&gt;=1,$AG265&lt;=6,$M265&lt;&gt;"Rejected",$M265&lt;&gt;"Withdrawn"),(10-$AG265)*100000+IF(ISNUMBER($C265),$C265,0)+ROW()/10000,"")</f>
        <v/>
      </c>
    </row>
    <row r="266">
      <c r="A266" s="80" t="n"/>
      <c r="B266" s="81" t="n"/>
      <c r="C266" s="81" t="n"/>
      <c r="D266" s="82" t="n"/>
      <c r="E266" s="82" t="n"/>
      <c r="F266" s="82" t="n"/>
      <c r="G266" s="82" t="n"/>
      <c r="H266" s="82" t="n"/>
      <c r="I266" s="83" t="n"/>
      <c r="J266" s="82" t="n"/>
      <c r="K266" s="84" t="n"/>
      <c r="L266" s="85" t="n"/>
      <c r="M266" s="82" t="n"/>
      <c r="N266" s="86" t="n"/>
      <c r="O266" s="81" t="n"/>
      <c r="P266" s="82" t="n"/>
      <c r="Q266" s="83" t="n"/>
      <c r="R266" s="82" t="n"/>
      <c r="S266" s="84" t="n"/>
      <c r="T266" s="84" t="n"/>
      <c r="U266" s="82" t="n"/>
      <c r="V266" s="86" t="n"/>
      <c r="W266" s="86" t="n"/>
      <c r="X266" s="86" t="n"/>
      <c r="Y266" s="81" t="n"/>
      <c r="Z266" s="82" t="n"/>
      <c r="AA266" s="81" t="n"/>
      <c r="AB266" s="82" t="n"/>
      <c r="AC266" s="87">
        <f>IF(OR($D266="",$M266="Rejected",$M266="Withdrawn",$M266="Accepted"),"",IF(ISNUMBER($O266),IF(INT($O266)&lt;TODAY(),"FOLLOW UP REQUIRED",IF(INT($O266)=TODAY(),"ACTION DUE TODAY",IF(INT($O266)-TODAY()&lt;=Set_DueSoonDays,"DUE SOON",""))),IF(AND($M266="Applied",$AA266=""),IF(ISNUMBER($C266),IF(TODAY()-$C266&gt;=Set_FollowUpDays,"NO RESPONSE",""),""),"")))</f>
        <v/>
      </c>
      <c r="AD266" s="87">
        <f>IF(ISNUMBER($L266),IF($L266&gt;=90,"Excellent Match",IF($L266&gt;=75,"Strong Match",IF($L266&gt;=60,"Moderate Match","Low Match"))),"")</f>
        <v/>
      </c>
      <c r="AE266" s="87">
        <f>IF($D266="","",IF(OR($M266="Rejected",$M266="Withdrawn"),IF($AB266&lt;&gt;"",$AB266,IF(OR($M266="Rejected",ISNUMBER($C266)),"Applied","Wishlist")),IF($M266="",IF(ISNUMBER($C266),"Applied","Wishlist"),$M266)))</f>
        <v/>
      </c>
      <c r="AF266" s="88">
        <f>IF(AND(ISNUMBER($C266),ISNUMBER($AA266)),$AA266-$C266,"")</f>
        <v/>
      </c>
      <c r="AG266" s="87">
        <f>IF($AE266="","",IFERROR(MATCH($AE266,{"Wishlist","Applied","Screening","Interview 1","Interview 2","Final","Offer","Accepted"},0)-1,""))</f>
        <v/>
      </c>
      <c r="AH266" s="87">
        <f>IF($AC266="","",MATCH($AC266,{"FOLLOW UP REQUIRED","ACTION DUE TODAY","NO RESPONSE","DUE SOON"},0)*100000+IF(ISNUMBER($O266),$O266,IF(ISNUMBER($C266),$C266,0))+ROW()/10000)</f>
        <v/>
      </c>
      <c r="AI266" s="87">
        <f>IF(AND(ISNUMBER($AG266),$AG266&gt;=1,$AG266&lt;=6,$M266&lt;&gt;"Rejected",$M266&lt;&gt;"Withdrawn"),(10-$AG266)*100000+IF(ISNUMBER($C266),$C266,0)+ROW()/10000,"")</f>
        <v/>
      </c>
    </row>
    <row r="267">
      <c r="A267" s="80" t="n"/>
      <c r="B267" s="81" t="n"/>
      <c r="C267" s="81" t="n"/>
      <c r="D267" s="82" t="n"/>
      <c r="E267" s="82" t="n"/>
      <c r="F267" s="82" t="n"/>
      <c r="G267" s="82" t="n"/>
      <c r="H267" s="82" t="n"/>
      <c r="I267" s="83" t="n"/>
      <c r="J267" s="82" t="n"/>
      <c r="K267" s="84" t="n"/>
      <c r="L267" s="85" t="n"/>
      <c r="M267" s="82" t="n"/>
      <c r="N267" s="86" t="n"/>
      <c r="O267" s="81" t="n"/>
      <c r="P267" s="82" t="n"/>
      <c r="Q267" s="83" t="n"/>
      <c r="R267" s="82" t="n"/>
      <c r="S267" s="84" t="n"/>
      <c r="T267" s="84" t="n"/>
      <c r="U267" s="82" t="n"/>
      <c r="V267" s="86" t="n"/>
      <c r="W267" s="86" t="n"/>
      <c r="X267" s="86" t="n"/>
      <c r="Y267" s="81" t="n"/>
      <c r="Z267" s="82" t="n"/>
      <c r="AA267" s="81" t="n"/>
      <c r="AB267" s="82" t="n"/>
      <c r="AC267" s="87">
        <f>IF(OR($D267="",$M267="Rejected",$M267="Withdrawn",$M267="Accepted"),"",IF(ISNUMBER($O267),IF(INT($O267)&lt;TODAY(),"FOLLOW UP REQUIRED",IF(INT($O267)=TODAY(),"ACTION DUE TODAY",IF(INT($O267)-TODAY()&lt;=Set_DueSoonDays,"DUE SOON",""))),IF(AND($M267="Applied",$AA267=""),IF(ISNUMBER($C267),IF(TODAY()-$C267&gt;=Set_FollowUpDays,"NO RESPONSE",""),""),"")))</f>
        <v/>
      </c>
      <c r="AD267" s="87">
        <f>IF(ISNUMBER($L267),IF($L267&gt;=90,"Excellent Match",IF($L267&gt;=75,"Strong Match",IF($L267&gt;=60,"Moderate Match","Low Match"))),"")</f>
        <v/>
      </c>
      <c r="AE267" s="87">
        <f>IF($D267="","",IF(OR($M267="Rejected",$M267="Withdrawn"),IF($AB267&lt;&gt;"",$AB267,IF(OR($M267="Rejected",ISNUMBER($C267)),"Applied","Wishlist")),IF($M267="",IF(ISNUMBER($C267),"Applied","Wishlist"),$M267)))</f>
        <v/>
      </c>
      <c r="AF267" s="88">
        <f>IF(AND(ISNUMBER($C267),ISNUMBER($AA267)),$AA267-$C267,"")</f>
        <v/>
      </c>
      <c r="AG267" s="87">
        <f>IF($AE267="","",IFERROR(MATCH($AE267,{"Wishlist","Applied","Screening","Interview 1","Interview 2","Final","Offer","Accepted"},0)-1,""))</f>
        <v/>
      </c>
      <c r="AH267" s="87">
        <f>IF($AC267="","",MATCH($AC267,{"FOLLOW UP REQUIRED","ACTION DUE TODAY","NO RESPONSE","DUE SOON"},0)*100000+IF(ISNUMBER($O267),$O267,IF(ISNUMBER($C267),$C267,0))+ROW()/10000)</f>
        <v/>
      </c>
      <c r="AI267" s="87">
        <f>IF(AND(ISNUMBER($AG267),$AG267&gt;=1,$AG267&lt;=6,$M267&lt;&gt;"Rejected",$M267&lt;&gt;"Withdrawn"),(10-$AG267)*100000+IF(ISNUMBER($C267),$C267,0)+ROW()/10000,"")</f>
        <v/>
      </c>
    </row>
    <row r="268">
      <c r="A268" s="80" t="n"/>
      <c r="B268" s="81" t="n"/>
      <c r="C268" s="81" t="n"/>
      <c r="D268" s="82" t="n"/>
      <c r="E268" s="82" t="n"/>
      <c r="F268" s="82" t="n"/>
      <c r="G268" s="82" t="n"/>
      <c r="H268" s="82" t="n"/>
      <c r="I268" s="83" t="n"/>
      <c r="J268" s="82" t="n"/>
      <c r="K268" s="84" t="n"/>
      <c r="L268" s="85" t="n"/>
      <c r="M268" s="82" t="n"/>
      <c r="N268" s="86" t="n"/>
      <c r="O268" s="81" t="n"/>
      <c r="P268" s="82" t="n"/>
      <c r="Q268" s="83" t="n"/>
      <c r="R268" s="82" t="n"/>
      <c r="S268" s="84" t="n"/>
      <c r="T268" s="84" t="n"/>
      <c r="U268" s="82" t="n"/>
      <c r="V268" s="86" t="n"/>
      <c r="W268" s="86" t="n"/>
      <c r="X268" s="86" t="n"/>
      <c r="Y268" s="81" t="n"/>
      <c r="Z268" s="82" t="n"/>
      <c r="AA268" s="81" t="n"/>
      <c r="AB268" s="82" t="n"/>
      <c r="AC268" s="87">
        <f>IF(OR($D268="",$M268="Rejected",$M268="Withdrawn",$M268="Accepted"),"",IF(ISNUMBER($O268),IF(INT($O268)&lt;TODAY(),"FOLLOW UP REQUIRED",IF(INT($O268)=TODAY(),"ACTION DUE TODAY",IF(INT($O268)-TODAY()&lt;=Set_DueSoonDays,"DUE SOON",""))),IF(AND($M268="Applied",$AA268=""),IF(ISNUMBER($C268),IF(TODAY()-$C268&gt;=Set_FollowUpDays,"NO RESPONSE",""),""),"")))</f>
        <v/>
      </c>
      <c r="AD268" s="87">
        <f>IF(ISNUMBER($L268),IF($L268&gt;=90,"Excellent Match",IF($L268&gt;=75,"Strong Match",IF($L268&gt;=60,"Moderate Match","Low Match"))),"")</f>
        <v/>
      </c>
      <c r="AE268" s="87">
        <f>IF($D268="","",IF(OR($M268="Rejected",$M268="Withdrawn"),IF($AB268&lt;&gt;"",$AB268,IF(OR($M268="Rejected",ISNUMBER($C268)),"Applied","Wishlist")),IF($M268="",IF(ISNUMBER($C268),"Applied","Wishlist"),$M268)))</f>
        <v/>
      </c>
      <c r="AF268" s="88">
        <f>IF(AND(ISNUMBER($C268),ISNUMBER($AA268)),$AA268-$C268,"")</f>
        <v/>
      </c>
      <c r="AG268" s="87">
        <f>IF($AE268="","",IFERROR(MATCH($AE268,{"Wishlist","Applied","Screening","Interview 1","Interview 2","Final","Offer","Accepted"},0)-1,""))</f>
        <v/>
      </c>
      <c r="AH268" s="87">
        <f>IF($AC268="","",MATCH($AC268,{"FOLLOW UP REQUIRED","ACTION DUE TODAY","NO RESPONSE","DUE SOON"},0)*100000+IF(ISNUMBER($O268),$O268,IF(ISNUMBER($C268),$C268,0))+ROW()/10000)</f>
        <v/>
      </c>
      <c r="AI268" s="87">
        <f>IF(AND(ISNUMBER($AG268),$AG268&gt;=1,$AG268&lt;=6,$M268&lt;&gt;"Rejected",$M268&lt;&gt;"Withdrawn"),(10-$AG268)*100000+IF(ISNUMBER($C268),$C268,0)+ROW()/10000,"")</f>
        <v/>
      </c>
    </row>
    <row r="269">
      <c r="A269" s="80" t="n"/>
      <c r="B269" s="81" t="n"/>
      <c r="C269" s="81" t="n"/>
      <c r="D269" s="82" t="n"/>
      <c r="E269" s="82" t="n"/>
      <c r="F269" s="82" t="n"/>
      <c r="G269" s="82" t="n"/>
      <c r="H269" s="82" t="n"/>
      <c r="I269" s="83" t="n"/>
      <c r="J269" s="82" t="n"/>
      <c r="K269" s="84" t="n"/>
      <c r="L269" s="85" t="n"/>
      <c r="M269" s="82" t="n"/>
      <c r="N269" s="86" t="n"/>
      <c r="O269" s="81" t="n"/>
      <c r="P269" s="82" t="n"/>
      <c r="Q269" s="83" t="n"/>
      <c r="R269" s="82" t="n"/>
      <c r="S269" s="84" t="n"/>
      <c r="T269" s="84" t="n"/>
      <c r="U269" s="82" t="n"/>
      <c r="V269" s="86" t="n"/>
      <c r="W269" s="86" t="n"/>
      <c r="X269" s="86" t="n"/>
      <c r="Y269" s="81" t="n"/>
      <c r="Z269" s="82" t="n"/>
      <c r="AA269" s="81" t="n"/>
      <c r="AB269" s="82" t="n"/>
      <c r="AC269" s="87">
        <f>IF(OR($D269="",$M269="Rejected",$M269="Withdrawn",$M269="Accepted"),"",IF(ISNUMBER($O269),IF(INT($O269)&lt;TODAY(),"FOLLOW UP REQUIRED",IF(INT($O269)=TODAY(),"ACTION DUE TODAY",IF(INT($O269)-TODAY()&lt;=Set_DueSoonDays,"DUE SOON",""))),IF(AND($M269="Applied",$AA269=""),IF(ISNUMBER($C269),IF(TODAY()-$C269&gt;=Set_FollowUpDays,"NO RESPONSE",""),""),"")))</f>
        <v/>
      </c>
      <c r="AD269" s="87">
        <f>IF(ISNUMBER($L269),IF($L269&gt;=90,"Excellent Match",IF($L269&gt;=75,"Strong Match",IF($L269&gt;=60,"Moderate Match","Low Match"))),"")</f>
        <v/>
      </c>
      <c r="AE269" s="87">
        <f>IF($D269="","",IF(OR($M269="Rejected",$M269="Withdrawn"),IF($AB269&lt;&gt;"",$AB269,IF(OR($M269="Rejected",ISNUMBER($C269)),"Applied","Wishlist")),IF($M269="",IF(ISNUMBER($C269),"Applied","Wishlist"),$M269)))</f>
        <v/>
      </c>
      <c r="AF269" s="88">
        <f>IF(AND(ISNUMBER($C269),ISNUMBER($AA269)),$AA269-$C269,"")</f>
        <v/>
      </c>
      <c r="AG269" s="87">
        <f>IF($AE269="","",IFERROR(MATCH($AE269,{"Wishlist","Applied","Screening","Interview 1","Interview 2","Final","Offer","Accepted"},0)-1,""))</f>
        <v/>
      </c>
      <c r="AH269" s="87">
        <f>IF($AC269="","",MATCH($AC269,{"FOLLOW UP REQUIRED","ACTION DUE TODAY","NO RESPONSE","DUE SOON"},0)*100000+IF(ISNUMBER($O269),$O269,IF(ISNUMBER($C269),$C269,0))+ROW()/10000)</f>
        <v/>
      </c>
      <c r="AI269" s="87">
        <f>IF(AND(ISNUMBER($AG269),$AG269&gt;=1,$AG269&lt;=6,$M269&lt;&gt;"Rejected",$M269&lt;&gt;"Withdrawn"),(10-$AG269)*100000+IF(ISNUMBER($C269),$C269,0)+ROW()/10000,"")</f>
        <v/>
      </c>
    </row>
    <row r="270">
      <c r="A270" s="80" t="n"/>
      <c r="B270" s="81" t="n"/>
      <c r="C270" s="81" t="n"/>
      <c r="D270" s="82" t="n"/>
      <c r="E270" s="82" t="n"/>
      <c r="F270" s="82" t="n"/>
      <c r="G270" s="82" t="n"/>
      <c r="H270" s="82" t="n"/>
      <c r="I270" s="83" t="n"/>
      <c r="J270" s="82" t="n"/>
      <c r="K270" s="84" t="n"/>
      <c r="L270" s="85" t="n"/>
      <c r="M270" s="82" t="n"/>
      <c r="N270" s="86" t="n"/>
      <c r="O270" s="81" t="n"/>
      <c r="P270" s="82" t="n"/>
      <c r="Q270" s="83" t="n"/>
      <c r="R270" s="82" t="n"/>
      <c r="S270" s="84" t="n"/>
      <c r="T270" s="84" t="n"/>
      <c r="U270" s="82" t="n"/>
      <c r="V270" s="86" t="n"/>
      <c r="W270" s="86" t="n"/>
      <c r="X270" s="86" t="n"/>
      <c r="Y270" s="81" t="n"/>
      <c r="Z270" s="82" t="n"/>
      <c r="AA270" s="81" t="n"/>
      <c r="AB270" s="82" t="n"/>
      <c r="AC270" s="87">
        <f>IF(OR($D270="",$M270="Rejected",$M270="Withdrawn",$M270="Accepted"),"",IF(ISNUMBER($O270),IF(INT($O270)&lt;TODAY(),"FOLLOW UP REQUIRED",IF(INT($O270)=TODAY(),"ACTION DUE TODAY",IF(INT($O270)-TODAY()&lt;=Set_DueSoonDays,"DUE SOON",""))),IF(AND($M270="Applied",$AA270=""),IF(ISNUMBER($C270),IF(TODAY()-$C270&gt;=Set_FollowUpDays,"NO RESPONSE",""),""),"")))</f>
        <v/>
      </c>
      <c r="AD270" s="87">
        <f>IF(ISNUMBER($L270),IF($L270&gt;=90,"Excellent Match",IF($L270&gt;=75,"Strong Match",IF($L270&gt;=60,"Moderate Match","Low Match"))),"")</f>
        <v/>
      </c>
      <c r="AE270" s="87">
        <f>IF($D270="","",IF(OR($M270="Rejected",$M270="Withdrawn"),IF($AB270&lt;&gt;"",$AB270,IF(OR($M270="Rejected",ISNUMBER($C270)),"Applied","Wishlist")),IF($M270="",IF(ISNUMBER($C270),"Applied","Wishlist"),$M270)))</f>
        <v/>
      </c>
      <c r="AF270" s="88">
        <f>IF(AND(ISNUMBER($C270),ISNUMBER($AA270)),$AA270-$C270,"")</f>
        <v/>
      </c>
      <c r="AG270" s="87">
        <f>IF($AE270="","",IFERROR(MATCH($AE270,{"Wishlist","Applied","Screening","Interview 1","Interview 2","Final","Offer","Accepted"},0)-1,""))</f>
        <v/>
      </c>
      <c r="AH270" s="87">
        <f>IF($AC270="","",MATCH($AC270,{"FOLLOW UP REQUIRED","ACTION DUE TODAY","NO RESPONSE","DUE SOON"},0)*100000+IF(ISNUMBER($O270),$O270,IF(ISNUMBER($C270),$C270,0))+ROW()/10000)</f>
        <v/>
      </c>
      <c r="AI270" s="87">
        <f>IF(AND(ISNUMBER($AG270),$AG270&gt;=1,$AG270&lt;=6,$M270&lt;&gt;"Rejected",$M270&lt;&gt;"Withdrawn"),(10-$AG270)*100000+IF(ISNUMBER($C270),$C270,0)+ROW()/10000,"")</f>
        <v/>
      </c>
    </row>
    <row r="271">
      <c r="A271" s="80" t="n"/>
      <c r="B271" s="81" t="n"/>
      <c r="C271" s="81" t="n"/>
      <c r="D271" s="82" t="n"/>
      <c r="E271" s="82" t="n"/>
      <c r="F271" s="82" t="n"/>
      <c r="G271" s="82" t="n"/>
      <c r="H271" s="82" t="n"/>
      <c r="I271" s="83" t="n"/>
      <c r="J271" s="82" t="n"/>
      <c r="K271" s="84" t="n"/>
      <c r="L271" s="85" t="n"/>
      <c r="M271" s="82" t="n"/>
      <c r="N271" s="86" t="n"/>
      <c r="O271" s="81" t="n"/>
      <c r="P271" s="82" t="n"/>
      <c r="Q271" s="83" t="n"/>
      <c r="R271" s="82" t="n"/>
      <c r="S271" s="84" t="n"/>
      <c r="T271" s="84" t="n"/>
      <c r="U271" s="82" t="n"/>
      <c r="V271" s="86" t="n"/>
      <c r="W271" s="86" t="n"/>
      <c r="X271" s="86" t="n"/>
      <c r="Y271" s="81" t="n"/>
      <c r="Z271" s="82" t="n"/>
      <c r="AA271" s="81" t="n"/>
      <c r="AB271" s="82" t="n"/>
      <c r="AC271" s="87">
        <f>IF(OR($D271="",$M271="Rejected",$M271="Withdrawn",$M271="Accepted"),"",IF(ISNUMBER($O271),IF(INT($O271)&lt;TODAY(),"FOLLOW UP REQUIRED",IF(INT($O271)=TODAY(),"ACTION DUE TODAY",IF(INT($O271)-TODAY()&lt;=Set_DueSoonDays,"DUE SOON",""))),IF(AND($M271="Applied",$AA271=""),IF(ISNUMBER($C271),IF(TODAY()-$C271&gt;=Set_FollowUpDays,"NO RESPONSE",""),""),"")))</f>
        <v/>
      </c>
      <c r="AD271" s="87">
        <f>IF(ISNUMBER($L271),IF($L271&gt;=90,"Excellent Match",IF($L271&gt;=75,"Strong Match",IF($L271&gt;=60,"Moderate Match","Low Match"))),"")</f>
        <v/>
      </c>
      <c r="AE271" s="87">
        <f>IF($D271="","",IF(OR($M271="Rejected",$M271="Withdrawn"),IF($AB271&lt;&gt;"",$AB271,IF(OR($M271="Rejected",ISNUMBER($C271)),"Applied","Wishlist")),IF($M271="",IF(ISNUMBER($C271),"Applied","Wishlist"),$M271)))</f>
        <v/>
      </c>
      <c r="AF271" s="88">
        <f>IF(AND(ISNUMBER($C271),ISNUMBER($AA271)),$AA271-$C271,"")</f>
        <v/>
      </c>
      <c r="AG271" s="87">
        <f>IF($AE271="","",IFERROR(MATCH($AE271,{"Wishlist","Applied","Screening","Interview 1","Interview 2","Final","Offer","Accepted"},0)-1,""))</f>
        <v/>
      </c>
      <c r="AH271" s="87">
        <f>IF($AC271="","",MATCH($AC271,{"FOLLOW UP REQUIRED","ACTION DUE TODAY","NO RESPONSE","DUE SOON"},0)*100000+IF(ISNUMBER($O271),$O271,IF(ISNUMBER($C271),$C271,0))+ROW()/10000)</f>
        <v/>
      </c>
      <c r="AI271" s="87">
        <f>IF(AND(ISNUMBER($AG271),$AG271&gt;=1,$AG271&lt;=6,$M271&lt;&gt;"Rejected",$M271&lt;&gt;"Withdrawn"),(10-$AG271)*100000+IF(ISNUMBER($C271),$C271,0)+ROW()/10000,"")</f>
        <v/>
      </c>
    </row>
    <row r="272">
      <c r="A272" s="80" t="n"/>
      <c r="B272" s="81" t="n"/>
      <c r="C272" s="81" t="n"/>
      <c r="D272" s="82" t="n"/>
      <c r="E272" s="82" t="n"/>
      <c r="F272" s="82" t="n"/>
      <c r="G272" s="82" t="n"/>
      <c r="H272" s="82" t="n"/>
      <c r="I272" s="83" t="n"/>
      <c r="J272" s="82" t="n"/>
      <c r="K272" s="84" t="n"/>
      <c r="L272" s="85" t="n"/>
      <c r="M272" s="82" t="n"/>
      <c r="N272" s="86" t="n"/>
      <c r="O272" s="81" t="n"/>
      <c r="P272" s="82" t="n"/>
      <c r="Q272" s="83" t="n"/>
      <c r="R272" s="82" t="n"/>
      <c r="S272" s="84" t="n"/>
      <c r="T272" s="84" t="n"/>
      <c r="U272" s="82" t="n"/>
      <c r="V272" s="86" t="n"/>
      <c r="W272" s="86" t="n"/>
      <c r="X272" s="86" t="n"/>
      <c r="Y272" s="81" t="n"/>
      <c r="Z272" s="82" t="n"/>
      <c r="AA272" s="81" t="n"/>
      <c r="AB272" s="82" t="n"/>
      <c r="AC272" s="87">
        <f>IF(OR($D272="",$M272="Rejected",$M272="Withdrawn",$M272="Accepted"),"",IF(ISNUMBER($O272),IF(INT($O272)&lt;TODAY(),"FOLLOW UP REQUIRED",IF(INT($O272)=TODAY(),"ACTION DUE TODAY",IF(INT($O272)-TODAY()&lt;=Set_DueSoonDays,"DUE SOON",""))),IF(AND($M272="Applied",$AA272=""),IF(ISNUMBER($C272),IF(TODAY()-$C272&gt;=Set_FollowUpDays,"NO RESPONSE",""),""),"")))</f>
        <v/>
      </c>
      <c r="AD272" s="87">
        <f>IF(ISNUMBER($L272),IF($L272&gt;=90,"Excellent Match",IF($L272&gt;=75,"Strong Match",IF($L272&gt;=60,"Moderate Match","Low Match"))),"")</f>
        <v/>
      </c>
      <c r="AE272" s="87">
        <f>IF($D272="","",IF(OR($M272="Rejected",$M272="Withdrawn"),IF($AB272&lt;&gt;"",$AB272,IF(OR($M272="Rejected",ISNUMBER($C272)),"Applied","Wishlist")),IF($M272="",IF(ISNUMBER($C272),"Applied","Wishlist"),$M272)))</f>
        <v/>
      </c>
      <c r="AF272" s="88">
        <f>IF(AND(ISNUMBER($C272),ISNUMBER($AA272)),$AA272-$C272,"")</f>
        <v/>
      </c>
      <c r="AG272" s="87">
        <f>IF($AE272="","",IFERROR(MATCH($AE272,{"Wishlist","Applied","Screening","Interview 1","Interview 2","Final","Offer","Accepted"},0)-1,""))</f>
        <v/>
      </c>
      <c r="AH272" s="87">
        <f>IF($AC272="","",MATCH($AC272,{"FOLLOW UP REQUIRED","ACTION DUE TODAY","NO RESPONSE","DUE SOON"},0)*100000+IF(ISNUMBER($O272),$O272,IF(ISNUMBER($C272),$C272,0))+ROW()/10000)</f>
        <v/>
      </c>
      <c r="AI272" s="87">
        <f>IF(AND(ISNUMBER($AG272),$AG272&gt;=1,$AG272&lt;=6,$M272&lt;&gt;"Rejected",$M272&lt;&gt;"Withdrawn"),(10-$AG272)*100000+IF(ISNUMBER($C272),$C272,0)+ROW()/10000,"")</f>
        <v/>
      </c>
    </row>
    <row r="273">
      <c r="A273" s="80" t="n"/>
      <c r="B273" s="81" t="n"/>
      <c r="C273" s="81" t="n"/>
      <c r="D273" s="82" t="n"/>
      <c r="E273" s="82" t="n"/>
      <c r="F273" s="82" t="n"/>
      <c r="G273" s="82" t="n"/>
      <c r="H273" s="82" t="n"/>
      <c r="I273" s="83" t="n"/>
      <c r="J273" s="82" t="n"/>
      <c r="K273" s="84" t="n"/>
      <c r="L273" s="85" t="n"/>
      <c r="M273" s="82" t="n"/>
      <c r="N273" s="86" t="n"/>
      <c r="O273" s="81" t="n"/>
      <c r="P273" s="82" t="n"/>
      <c r="Q273" s="83" t="n"/>
      <c r="R273" s="82" t="n"/>
      <c r="S273" s="84" t="n"/>
      <c r="T273" s="84" t="n"/>
      <c r="U273" s="82" t="n"/>
      <c r="V273" s="86" t="n"/>
      <c r="W273" s="86" t="n"/>
      <c r="X273" s="86" t="n"/>
      <c r="Y273" s="81" t="n"/>
      <c r="Z273" s="82" t="n"/>
      <c r="AA273" s="81" t="n"/>
      <c r="AB273" s="82" t="n"/>
      <c r="AC273" s="87">
        <f>IF(OR($D273="",$M273="Rejected",$M273="Withdrawn",$M273="Accepted"),"",IF(ISNUMBER($O273),IF(INT($O273)&lt;TODAY(),"FOLLOW UP REQUIRED",IF(INT($O273)=TODAY(),"ACTION DUE TODAY",IF(INT($O273)-TODAY()&lt;=Set_DueSoonDays,"DUE SOON",""))),IF(AND($M273="Applied",$AA273=""),IF(ISNUMBER($C273),IF(TODAY()-$C273&gt;=Set_FollowUpDays,"NO RESPONSE",""),""),"")))</f>
        <v/>
      </c>
      <c r="AD273" s="87">
        <f>IF(ISNUMBER($L273),IF($L273&gt;=90,"Excellent Match",IF($L273&gt;=75,"Strong Match",IF($L273&gt;=60,"Moderate Match","Low Match"))),"")</f>
        <v/>
      </c>
      <c r="AE273" s="87">
        <f>IF($D273="","",IF(OR($M273="Rejected",$M273="Withdrawn"),IF($AB273&lt;&gt;"",$AB273,IF(OR($M273="Rejected",ISNUMBER($C273)),"Applied","Wishlist")),IF($M273="",IF(ISNUMBER($C273),"Applied","Wishlist"),$M273)))</f>
        <v/>
      </c>
      <c r="AF273" s="88">
        <f>IF(AND(ISNUMBER($C273),ISNUMBER($AA273)),$AA273-$C273,"")</f>
        <v/>
      </c>
      <c r="AG273" s="87">
        <f>IF($AE273="","",IFERROR(MATCH($AE273,{"Wishlist","Applied","Screening","Interview 1","Interview 2","Final","Offer","Accepted"},0)-1,""))</f>
        <v/>
      </c>
      <c r="AH273" s="87">
        <f>IF($AC273="","",MATCH($AC273,{"FOLLOW UP REQUIRED","ACTION DUE TODAY","NO RESPONSE","DUE SOON"},0)*100000+IF(ISNUMBER($O273),$O273,IF(ISNUMBER($C273),$C273,0))+ROW()/10000)</f>
        <v/>
      </c>
      <c r="AI273" s="87">
        <f>IF(AND(ISNUMBER($AG273),$AG273&gt;=1,$AG273&lt;=6,$M273&lt;&gt;"Rejected",$M273&lt;&gt;"Withdrawn"),(10-$AG273)*100000+IF(ISNUMBER($C273),$C273,0)+ROW()/10000,"")</f>
        <v/>
      </c>
    </row>
    <row r="274">
      <c r="A274" s="80" t="n"/>
      <c r="B274" s="81" t="n"/>
      <c r="C274" s="81" t="n"/>
      <c r="D274" s="82" t="n"/>
      <c r="E274" s="82" t="n"/>
      <c r="F274" s="82" t="n"/>
      <c r="G274" s="82" t="n"/>
      <c r="H274" s="82" t="n"/>
      <c r="I274" s="83" t="n"/>
      <c r="J274" s="82" t="n"/>
      <c r="K274" s="84" t="n"/>
      <c r="L274" s="85" t="n"/>
      <c r="M274" s="82" t="n"/>
      <c r="N274" s="86" t="n"/>
      <c r="O274" s="81" t="n"/>
      <c r="P274" s="82" t="n"/>
      <c r="Q274" s="83" t="n"/>
      <c r="R274" s="82" t="n"/>
      <c r="S274" s="84" t="n"/>
      <c r="T274" s="84" t="n"/>
      <c r="U274" s="82" t="n"/>
      <c r="V274" s="86" t="n"/>
      <c r="W274" s="86" t="n"/>
      <c r="X274" s="86" t="n"/>
      <c r="Y274" s="81" t="n"/>
      <c r="Z274" s="82" t="n"/>
      <c r="AA274" s="81" t="n"/>
      <c r="AB274" s="82" t="n"/>
      <c r="AC274" s="87">
        <f>IF(OR($D274="",$M274="Rejected",$M274="Withdrawn",$M274="Accepted"),"",IF(ISNUMBER($O274),IF(INT($O274)&lt;TODAY(),"FOLLOW UP REQUIRED",IF(INT($O274)=TODAY(),"ACTION DUE TODAY",IF(INT($O274)-TODAY()&lt;=Set_DueSoonDays,"DUE SOON",""))),IF(AND($M274="Applied",$AA274=""),IF(ISNUMBER($C274),IF(TODAY()-$C274&gt;=Set_FollowUpDays,"NO RESPONSE",""),""),"")))</f>
        <v/>
      </c>
      <c r="AD274" s="87">
        <f>IF(ISNUMBER($L274),IF($L274&gt;=90,"Excellent Match",IF($L274&gt;=75,"Strong Match",IF($L274&gt;=60,"Moderate Match","Low Match"))),"")</f>
        <v/>
      </c>
      <c r="AE274" s="87">
        <f>IF($D274="","",IF(OR($M274="Rejected",$M274="Withdrawn"),IF($AB274&lt;&gt;"",$AB274,IF(OR($M274="Rejected",ISNUMBER($C274)),"Applied","Wishlist")),IF($M274="",IF(ISNUMBER($C274),"Applied","Wishlist"),$M274)))</f>
        <v/>
      </c>
      <c r="AF274" s="88">
        <f>IF(AND(ISNUMBER($C274),ISNUMBER($AA274)),$AA274-$C274,"")</f>
        <v/>
      </c>
      <c r="AG274" s="87">
        <f>IF($AE274="","",IFERROR(MATCH($AE274,{"Wishlist","Applied","Screening","Interview 1","Interview 2","Final","Offer","Accepted"},0)-1,""))</f>
        <v/>
      </c>
      <c r="AH274" s="87">
        <f>IF($AC274="","",MATCH($AC274,{"FOLLOW UP REQUIRED","ACTION DUE TODAY","NO RESPONSE","DUE SOON"},0)*100000+IF(ISNUMBER($O274),$O274,IF(ISNUMBER($C274),$C274,0))+ROW()/10000)</f>
        <v/>
      </c>
      <c r="AI274" s="87">
        <f>IF(AND(ISNUMBER($AG274),$AG274&gt;=1,$AG274&lt;=6,$M274&lt;&gt;"Rejected",$M274&lt;&gt;"Withdrawn"),(10-$AG274)*100000+IF(ISNUMBER($C274),$C274,0)+ROW()/10000,"")</f>
        <v/>
      </c>
    </row>
    <row r="275">
      <c r="A275" s="80" t="n"/>
      <c r="B275" s="81" t="n"/>
      <c r="C275" s="81" t="n"/>
      <c r="D275" s="82" t="n"/>
      <c r="E275" s="82" t="n"/>
      <c r="F275" s="82" t="n"/>
      <c r="G275" s="82" t="n"/>
      <c r="H275" s="82" t="n"/>
      <c r="I275" s="83" t="n"/>
      <c r="J275" s="82" t="n"/>
      <c r="K275" s="84" t="n"/>
      <c r="L275" s="85" t="n"/>
      <c r="M275" s="82" t="n"/>
      <c r="N275" s="86" t="n"/>
      <c r="O275" s="81" t="n"/>
      <c r="P275" s="82" t="n"/>
      <c r="Q275" s="83" t="n"/>
      <c r="R275" s="82" t="n"/>
      <c r="S275" s="84" t="n"/>
      <c r="T275" s="84" t="n"/>
      <c r="U275" s="82" t="n"/>
      <c r="V275" s="86" t="n"/>
      <c r="W275" s="86" t="n"/>
      <c r="X275" s="86" t="n"/>
      <c r="Y275" s="81" t="n"/>
      <c r="Z275" s="82" t="n"/>
      <c r="AA275" s="81" t="n"/>
      <c r="AB275" s="82" t="n"/>
      <c r="AC275" s="87">
        <f>IF(OR($D275="",$M275="Rejected",$M275="Withdrawn",$M275="Accepted"),"",IF(ISNUMBER($O275),IF(INT($O275)&lt;TODAY(),"FOLLOW UP REQUIRED",IF(INT($O275)=TODAY(),"ACTION DUE TODAY",IF(INT($O275)-TODAY()&lt;=Set_DueSoonDays,"DUE SOON",""))),IF(AND($M275="Applied",$AA275=""),IF(ISNUMBER($C275),IF(TODAY()-$C275&gt;=Set_FollowUpDays,"NO RESPONSE",""),""),"")))</f>
        <v/>
      </c>
      <c r="AD275" s="87">
        <f>IF(ISNUMBER($L275),IF($L275&gt;=90,"Excellent Match",IF($L275&gt;=75,"Strong Match",IF($L275&gt;=60,"Moderate Match","Low Match"))),"")</f>
        <v/>
      </c>
      <c r="AE275" s="87">
        <f>IF($D275="","",IF(OR($M275="Rejected",$M275="Withdrawn"),IF($AB275&lt;&gt;"",$AB275,IF(OR($M275="Rejected",ISNUMBER($C275)),"Applied","Wishlist")),IF($M275="",IF(ISNUMBER($C275),"Applied","Wishlist"),$M275)))</f>
        <v/>
      </c>
      <c r="AF275" s="88">
        <f>IF(AND(ISNUMBER($C275),ISNUMBER($AA275)),$AA275-$C275,"")</f>
        <v/>
      </c>
      <c r="AG275" s="87">
        <f>IF($AE275="","",IFERROR(MATCH($AE275,{"Wishlist","Applied","Screening","Interview 1","Interview 2","Final","Offer","Accepted"},0)-1,""))</f>
        <v/>
      </c>
      <c r="AH275" s="87">
        <f>IF($AC275="","",MATCH($AC275,{"FOLLOW UP REQUIRED","ACTION DUE TODAY","NO RESPONSE","DUE SOON"},0)*100000+IF(ISNUMBER($O275),$O275,IF(ISNUMBER($C275),$C275,0))+ROW()/10000)</f>
        <v/>
      </c>
      <c r="AI275" s="87">
        <f>IF(AND(ISNUMBER($AG275),$AG275&gt;=1,$AG275&lt;=6,$M275&lt;&gt;"Rejected",$M275&lt;&gt;"Withdrawn"),(10-$AG275)*100000+IF(ISNUMBER($C275),$C275,0)+ROW()/10000,"")</f>
        <v/>
      </c>
    </row>
    <row r="276">
      <c r="A276" s="80" t="n"/>
      <c r="B276" s="81" t="n"/>
      <c r="C276" s="81" t="n"/>
      <c r="D276" s="82" t="n"/>
      <c r="E276" s="82" t="n"/>
      <c r="F276" s="82" t="n"/>
      <c r="G276" s="82" t="n"/>
      <c r="H276" s="82" t="n"/>
      <c r="I276" s="83" t="n"/>
      <c r="J276" s="82" t="n"/>
      <c r="K276" s="84" t="n"/>
      <c r="L276" s="85" t="n"/>
      <c r="M276" s="82" t="n"/>
      <c r="N276" s="86" t="n"/>
      <c r="O276" s="81" t="n"/>
      <c r="P276" s="82" t="n"/>
      <c r="Q276" s="83" t="n"/>
      <c r="R276" s="82" t="n"/>
      <c r="S276" s="84" t="n"/>
      <c r="T276" s="84" t="n"/>
      <c r="U276" s="82" t="n"/>
      <c r="V276" s="86" t="n"/>
      <c r="W276" s="86" t="n"/>
      <c r="X276" s="86" t="n"/>
      <c r="Y276" s="81" t="n"/>
      <c r="Z276" s="82" t="n"/>
      <c r="AA276" s="81" t="n"/>
      <c r="AB276" s="82" t="n"/>
      <c r="AC276" s="87">
        <f>IF(OR($D276="",$M276="Rejected",$M276="Withdrawn",$M276="Accepted"),"",IF(ISNUMBER($O276),IF(INT($O276)&lt;TODAY(),"FOLLOW UP REQUIRED",IF(INT($O276)=TODAY(),"ACTION DUE TODAY",IF(INT($O276)-TODAY()&lt;=Set_DueSoonDays,"DUE SOON",""))),IF(AND($M276="Applied",$AA276=""),IF(ISNUMBER($C276),IF(TODAY()-$C276&gt;=Set_FollowUpDays,"NO RESPONSE",""),""),"")))</f>
        <v/>
      </c>
      <c r="AD276" s="87">
        <f>IF(ISNUMBER($L276),IF($L276&gt;=90,"Excellent Match",IF($L276&gt;=75,"Strong Match",IF($L276&gt;=60,"Moderate Match","Low Match"))),"")</f>
        <v/>
      </c>
      <c r="AE276" s="87">
        <f>IF($D276="","",IF(OR($M276="Rejected",$M276="Withdrawn"),IF($AB276&lt;&gt;"",$AB276,IF(OR($M276="Rejected",ISNUMBER($C276)),"Applied","Wishlist")),IF($M276="",IF(ISNUMBER($C276),"Applied","Wishlist"),$M276)))</f>
        <v/>
      </c>
      <c r="AF276" s="88">
        <f>IF(AND(ISNUMBER($C276),ISNUMBER($AA276)),$AA276-$C276,"")</f>
        <v/>
      </c>
      <c r="AG276" s="87">
        <f>IF($AE276="","",IFERROR(MATCH($AE276,{"Wishlist","Applied","Screening","Interview 1","Interview 2","Final","Offer","Accepted"},0)-1,""))</f>
        <v/>
      </c>
      <c r="AH276" s="87">
        <f>IF($AC276="","",MATCH($AC276,{"FOLLOW UP REQUIRED","ACTION DUE TODAY","NO RESPONSE","DUE SOON"},0)*100000+IF(ISNUMBER($O276),$O276,IF(ISNUMBER($C276),$C276,0))+ROW()/10000)</f>
        <v/>
      </c>
      <c r="AI276" s="87">
        <f>IF(AND(ISNUMBER($AG276),$AG276&gt;=1,$AG276&lt;=6,$M276&lt;&gt;"Rejected",$M276&lt;&gt;"Withdrawn"),(10-$AG276)*100000+IF(ISNUMBER($C276),$C276,0)+ROW()/10000,"")</f>
        <v/>
      </c>
    </row>
    <row r="277">
      <c r="A277" s="80" t="n"/>
      <c r="B277" s="81" t="n"/>
      <c r="C277" s="81" t="n"/>
      <c r="D277" s="82" t="n"/>
      <c r="E277" s="82" t="n"/>
      <c r="F277" s="82" t="n"/>
      <c r="G277" s="82" t="n"/>
      <c r="H277" s="82" t="n"/>
      <c r="I277" s="83" t="n"/>
      <c r="J277" s="82" t="n"/>
      <c r="K277" s="84" t="n"/>
      <c r="L277" s="85" t="n"/>
      <c r="M277" s="82" t="n"/>
      <c r="N277" s="86" t="n"/>
      <c r="O277" s="81" t="n"/>
      <c r="P277" s="82" t="n"/>
      <c r="Q277" s="83" t="n"/>
      <c r="R277" s="82" t="n"/>
      <c r="S277" s="84" t="n"/>
      <c r="T277" s="84" t="n"/>
      <c r="U277" s="82" t="n"/>
      <c r="V277" s="86" t="n"/>
      <c r="W277" s="86" t="n"/>
      <c r="X277" s="86" t="n"/>
      <c r="Y277" s="81" t="n"/>
      <c r="Z277" s="82" t="n"/>
      <c r="AA277" s="81" t="n"/>
      <c r="AB277" s="82" t="n"/>
      <c r="AC277" s="87">
        <f>IF(OR($D277="",$M277="Rejected",$M277="Withdrawn",$M277="Accepted"),"",IF(ISNUMBER($O277),IF(INT($O277)&lt;TODAY(),"FOLLOW UP REQUIRED",IF(INT($O277)=TODAY(),"ACTION DUE TODAY",IF(INT($O277)-TODAY()&lt;=Set_DueSoonDays,"DUE SOON",""))),IF(AND($M277="Applied",$AA277=""),IF(ISNUMBER($C277),IF(TODAY()-$C277&gt;=Set_FollowUpDays,"NO RESPONSE",""),""),"")))</f>
        <v/>
      </c>
      <c r="AD277" s="87">
        <f>IF(ISNUMBER($L277),IF($L277&gt;=90,"Excellent Match",IF($L277&gt;=75,"Strong Match",IF($L277&gt;=60,"Moderate Match","Low Match"))),"")</f>
        <v/>
      </c>
      <c r="AE277" s="87">
        <f>IF($D277="","",IF(OR($M277="Rejected",$M277="Withdrawn"),IF($AB277&lt;&gt;"",$AB277,IF(OR($M277="Rejected",ISNUMBER($C277)),"Applied","Wishlist")),IF($M277="",IF(ISNUMBER($C277),"Applied","Wishlist"),$M277)))</f>
        <v/>
      </c>
      <c r="AF277" s="88">
        <f>IF(AND(ISNUMBER($C277),ISNUMBER($AA277)),$AA277-$C277,"")</f>
        <v/>
      </c>
      <c r="AG277" s="87">
        <f>IF($AE277="","",IFERROR(MATCH($AE277,{"Wishlist","Applied","Screening","Interview 1","Interview 2","Final","Offer","Accepted"},0)-1,""))</f>
        <v/>
      </c>
      <c r="AH277" s="87">
        <f>IF($AC277="","",MATCH($AC277,{"FOLLOW UP REQUIRED","ACTION DUE TODAY","NO RESPONSE","DUE SOON"},0)*100000+IF(ISNUMBER($O277),$O277,IF(ISNUMBER($C277),$C277,0))+ROW()/10000)</f>
        <v/>
      </c>
      <c r="AI277" s="87">
        <f>IF(AND(ISNUMBER($AG277),$AG277&gt;=1,$AG277&lt;=6,$M277&lt;&gt;"Rejected",$M277&lt;&gt;"Withdrawn"),(10-$AG277)*100000+IF(ISNUMBER($C277),$C277,0)+ROW()/10000,"")</f>
        <v/>
      </c>
    </row>
    <row r="278">
      <c r="A278" s="80" t="n"/>
      <c r="B278" s="81" t="n"/>
      <c r="C278" s="81" t="n"/>
      <c r="D278" s="82" t="n"/>
      <c r="E278" s="82" t="n"/>
      <c r="F278" s="82" t="n"/>
      <c r="G278" s="82" t="n"/>
      <c r="H278" s="82" t="n"/>
      <c r="I278" s="83" t="n"/>
      <c r="J278" s="82" t="n"/>
      <c r="K278" s="84" t="n"/>
      <c r="L278" s="85" t="n"/>
      <c r="M278" s="82" t="n"/>
      <c r="N278" s="86" t="n"/>
      <c r="O278" s="81" t="n"/>
      <c r="P278" s="82" t="n"/>
      <c r="Q278" s="83" t="n"/>
      <c r="R278" s="82" t="n"/>
      <c r="S278" s="84" t="n"/>
      <c r="T278" s="84" t="n"/>
      <c r="U278" s="82" t="n"/>
      <c r="V278" s="86" t="n"/>
      <c r="W278" s="86" t="n"/>
      <c r="X278" s="86" t="n"/>
      <c r="Y278" s="81" t="n"/>
      <c r="Z278" s="82" t="n"/>
      <c r="AA278" s="81" t="n"/>
      <c r="AB278" s="82" t="n"/>
      <c r="AC278" s="87">
        <f>IF(OR($D278="",$M278="Rejected",$M278="Withdrawn",$M278="Accepted"),"",IF(ISNUMBER($O278),IF(INT($O278)&lt;TODAY(),"FOLLOW UP REQUIRED",IF(INT($O278)=TODAY(),"ACTION DUE TODAY",IF(INT($O278)-TODAY()&lt;=Set_DueSoonDays,"DUE SOON",""))),IF(AND($M278="Applied",$AA278=""),IF(ISNUMBER($C278),IF(TODAY()-$C278&gt;=Set_FollowUpDays,"NO RESPONSE",""),""),"")))</f>
        <v/>
      </c>
      <c r="AD278" s="87">
        <f>IF(ISNUMBER($L278),IF($L278&gt;=90,"Excellent Match",IF($L278&gt;=75,"Strong Match",IF($L278&gt;=60,"Moderate Match","Low Match"))),"")</f>
        <v/>
      </c>
      <c r="AE278" s="87">
        <f>IF($D278="","",IF(OR($M278="Rejected",$M278="Withdrawn"),IF($AB278&lt;&gt;"",$AB278,IF(OR($M278="Rejected",ISNUMBER($C278)),"Applied","Wishlist")),IF($M278="",IF(ISNUMBER($C278),"Applied","Wishlist"),$M278)))</f>
        <v/>
      </c>
      <c r="AF278" s="88">
        <f>IF(AND(ISNUMBER($C278),ISNUMBER($AA278)),$AA278-$C278,"")</f>
        <v/>
      </c>
      <c r="AG278" s="87">
        <f>IF($AE278="","",IFERROR(MATCH($AE278,{"Wishlist","Applied","Screening","Interview 1","Interview 2","Final","Offer","Accepted"},0)-1,""))</f>
        <v/>
      </c>
      <c r="AH278" s="87">
        <f>IF($AC278="","",MATCH($AC278,{"FOLLOW UP REQUIRED","ACTION DUE TODAY","NO RESPONSE","DUE SOON"},0)*100000+IF(ISNUMBER($O278),$O278,IF(ISNUMBER($C278),$C278,0))+ROW()/10000)</f>
        <v/>
      </c>
      <c r="AI278" s="87">
        <f>IF(AND(ISNUMBER($AG278),$AG278&gt;=1,$AG278&lt;=6,$M278&lt;&gt;"Rejected",$M278&lt;&gt;"Withdrawn"),(10-$AG278)*100000+IF(ISNUMBER($C278),$C278,0)+ROW()/10000,"")</f>
        <v/>
      </c>
    </row>
    <row r="279">
      <c r="A279" s="80" t="n"/>
      <c r="B279" s="81" t="n"/>
      <c r="C279" s="81" t="n"/>
      <c r="D279" s="82" t="n"/>
      <c r="E279" s="82" t="n"/>
      <c r="F279" s="82" t="n"/>
      <c r="G279" s="82" t="n"/>
      <c r="H279" s="82" t="n"/>
      <c r="I279" s="83" t="n"/>
      <c r="J279" s="82" t="n"/>
      <c r="K279" s="84" t="n"/>
      <c r="L279" s="85" t="n"/>
      <c r="M279" s="82" t="n"/>
      <c r="N279" s="86" t="n"/>
      <c r="O279" s="81" t="n"/>
      <c r="P279" s="82" t="n"/>
      <c r="Q279" s="83" t="n"/>
      <c r="R279" s="82" t="n"/>
      <c r="S279" s="84" t="n"/>
      <c r="T279" s="84" t="n"/>
      <c r="U279" s="82" t="n"/>
      <c r="V279" s="86" t="n"/>
      <c r="W279" s="86" t="n"/>
      <c r="X279" s="86" t="n"/>
      <c r="Y279" s="81" t="n"/>
      <c r="Z279" s="82" t="n"/>
      <c r="AA279" s="81" t="n"/>
      <c r="AB279" s="82" t="n"/>
      <c r="AC279" s="87">
        <f>IF(OR($D279="",$M279="Rejected",$M279="Withdrawn",$M279="Accepted"),"",IF(ISNUMBER($O279),IF(INT($O279)&lt;TODAY(),"FOLLOW UP REQUIRED",IF(INT($O279)=TODAY(),"ACTION DUE TODAY",IF(INT($O279)-TODAY()&lt;=Set_DueSoonDays,"DUE SOON",""))),IF(AND($M279="Applied",$AA279=""),IF(ISNUMBER($C279),IF(TODAY()-$C279&gt;=Set_FollowUpDays,"NO RESPONSE",""),""),"")))</f>
        <v/>
      </c>
      <c r="AD279" s="87">
        <f>IF(ISNUMBER($L279),IF($L279&gt;=90,"Excellent Match",IF($L279&gt;=75,"Strong Match",IF($L279&gt;=60,"Moderate Match","Low Match"))),"")</f>
        <v/>
      </c>
      <c r="AE279" s="87">
        <f>IF($D279="","",IF(OR($M279="Rejected",$M279="Withdrawn"),IF($AB279&lt;&gt;"",$AB279,IF(OR($M279="Rejected",ISNUMBER($C279)),"Applied","Wishlist")),IF($M279="",IF(ISNUMBER($C279),"Applied","Wishlist"),$M279)))</f>
        <v/>
      </c>
      <c r="AF279" s="88">
        <f>IF(AND(ISNUMBER($C279),ISNUMBER($AA279)),$AA279-$C279,"")</f>
        <v/>
      </c>
      <c r="AG279" s="87">
        <f>IF($AE279="","",IFERROR(MATCH($AE279,{"Wishlist","Applied","Screening","Interview 1","Interview 2","Final","Offer","Accepted"},0)-1,""))</f>
        <v/>
      </c>
      <c r="AH279" s="87">
        <f>IF($AC279="","",MATCH($AC279,{"FOLLOW UP REQUIRED","ACTION DUE TODAY","NO RESPONSE","DUE SOON"},0)*100000+IF(ISNUMBER($O279),$O279,IF(ISNUMBER($C279),$C279,0))+ROW()/10000)</f>
        <v/>
      </c>
      <c r="AI279" s="87">
        <f>IF(AND(ISNUMBER($AG279),$AG279&gt;=1,$AG279&lt;=6,$M279&lt;&gt;"Rejected",$M279&lt;&gt;"Withdrawn"),(10-$AG279)*100000+IF(ISNUMBER($C279),$C279,0)+ROW()/10000,"")</f>
        <v/>
      </c>
    </row>
    <row r="280">
      <c r="A280" s="80" t="n"/>
      <c r="B280" s="81" t="n"/>
      <c r="C280" s="81" t="n"/>
      <c r="D280" s="82" t="n"/>
      <c r="E280" s="82" t="n"/>
      <c r="F280" s="82" t="n"/>
      <c r="G280" s="82" t="n"/>
      <c r="H280" s="82" t="n"/>
      <c r="I280" s="83" t="n"/>
      <c r="J280" s="82" t="n"/>
      <c r="K280" s="84" t="n"/>
      <c r="L280" s="85" t="n"/>
      <c r="M280" s="82" t="n"/>
      <c r="N280" s="86" t="n"/>
      <c r="O280" s="81" t="n"/>
      <c r="P280" s="82" t="n"/>
      <c r="Q280" s="83" t="n"/>
      <c r="R280" s="82" t="n"/>
      <c r="S280" s="84" t="n"/>
      <c r="T280" s="84" t="n"/>
      <c r="U280" s="82" t="n"/>
      <c r="V280" s="86" t="n"/>
      <c r="W280" s="86" t="n"/>
      <c r="X280" s="86" t="n"/>
      <c r="Y280" s="81" t="n"/>
      <c r="Z280" s="82" t="n"/>
      <c r="AA280" s="81" t="n"/>
      <c r="AB280" s="82" t="n"/>
      <c r="AC280" s="87">
        <f>IF(OR($D280="",$M280="Rejected",$M280="Withdrawn",$M280="Accepted"),"",IF(ISNUMBER($O280),IF(INT($O280)&lt;TODAY(),"FOLLOW UP REQUIRED",IF(INT($O280)=TODAY(),"ACTION DUE TODAY",IF(INT($O280)-TODAY()&lt;=Set_DueSoonDays,"DUE SOON",""))),IF(AND($M280="Applied",$AA280=""),IF(ISNUMBER($C280),IF(TODAY()-$C280&gt;=Set_FollowUpDays,"NO RESPONSE",""),""),"")))</f>
        <v/>
      </c>
      <c r="AD280" s="87">
        <f>IF(ISNUMBER($L280),IF($L280&gt;=90,"Excellent Match",IF($L280&gt;=75,"Strong Match",IF($L280&gt;=60,"Moderate Match","Low Match"))),"")</f>
        <v/>
      </c>
      <c r="AE280" s="87">
        <f>IF($D280="","",IF(OR($M280="Rejected",$M280="Withdrawn"),IF($AB280&lt;&gt;"",$AB280,IF(OR($M280="Rejected",ISNUMBER($C280)),"Applied","Wishlist")),IF($M280="",IF(ISNUMBER($C280),"Applied","Wishlist"),$M280)))</f>
        <v/>
      </c>
      <c r="AF280" s="88">
        <f>IF(AND(ISNUMBER($C280),ISNUMBER($AA280)),$AA280-$C280,"")</f>
        <v/>
      </c>
      <c r="AG280" s="87">
        <f>IF($AE280="","",IFERROR(MATCH($AE280,{"Wishlist","Applied","Screening","Interview 1","Interview 2","Final","Offer","Accepted"},0)-1,""))</f>
        <v/>
      </c>
      <c r="AH280" s="87">
        <f>IF($AC280="","",MATCH($AC280,{"FOLLOW UP REQUIRED","ACTION DUE TODAY","NO RESPONSE","DUE SOON"},0)*100000+IF(ISNUMBER($O280),$O280,IF(ISNUMBER($C280),$C280,0))+ROW()/10000)</f>
        <v/>
      </c>
      <c r="AI280" s="87">
        <f>IF(AND(ISNUMBER($AG280),$AG280&gt;=1,$AG280&lt;=6,$M280&lt;&gt;"Rejected",$M280&lt;&gt;"Withdrawn"),(10-$AG280)*100000+IF(ISNUMBER($C280),$C280,0)+ROW()/10000,"")</f>
        <v/>
      </c>
    </row>
    <row r="281">
      <c r="A281" s="80" t="n"/>
      <c r="B281" s="81" t="n"/>
      <c r="C281" s="81" t="n"/>
      <c r="D281" s="82" t="n"/>
      <c r="E281" s="82" t="n"/>
      <c r="F281" s="82" t="n"/>
      <c r="G281" s="82" t="n"/>
      <c r="H281" s="82" t="n"/>
      <c r="I281" s="83" t="n"/>
      <c r="J281" s="82" t="n"/>
      <c r="K281" s="84" t="n"/>
      <c r="L281" s="85" t="n"/>
      <c r="M281" s="82" t="n"/>
      <c r="N281" s="86" t="n"/>
      <c r="O281" s="81" t="n"/>
      <c r="P281" s="82" t="n"/>
      <c r="Q281" s="83" t="n"/>
      <c r="R281" s="82" t="n"/>
      <c r="S281" s="84" t="n"/>
      <c r="T281" s="84" t="n"/>
      <c r="U281" s="82" t="n"/>
      <c r="V281" s="86" t="n"/>
      <c r="W281" s="86" t="n"/>
      <c r="X281" s="86" t="n"/>
      <c r="Y281" s="81" t="n"/>
      <c r="Z281" s="82" t="n"/>
      <c r="AA281" s="81" t="n"/>
      <c r="AB281" s="82" t="n"/>
      <c r="AC281" s="87">
        <f>IF(OR($D281="",$M281="Rejected",$M281="Withdrawn",$M281="Accepted"),"",IF(ISNUMBER($O281),IF(INT($O281)&lt;TODAY(),"FOLLOW UP REQUIRED",IF(INT($O281)=TODAY(),"ACTION DUE TODAY",IF(INT($O281)-TODAY()&lt;=Set_DueSoonDays,"DUE SOON",""))),IF(AND($M281="Applied",$AA281=""),IF(ISNUMBER($C281),IF(TODAY()-$C281&gt;=Set_FollowUpDays,"NO RESPONSE",""),""),"")))</f>
        <v/>
      </c>
      <c r="AD281" s="87">
        <f>IF(ISNUMBER($L281),IF($L281&gt;=90,"Excellent Match",IF($L281&gt;=75,"Strong Match",IF($L281&gt;=60,"Moderate Match","Low Match"))),"")</f>
        <v/>
      </c>
      <c r="AE281" s="87">
        <f>IF($D281="","",IF(OR($M281="Rejected",$M281="Withdrawn"),IF($AB281&lt;&gt;"",$AB281,IF(OR($M281="Rejected",ISNUMBER($C281)),"Applied","Wishlist")),IF($M281="",IF(ISNUMBER($C281),"Applied","Wishlist"),$M281)))</f>
        <v/>
      </c>
      <c r="AF281" s="88">
        <f>IF(AND(ISNUMBER($C281),ISNUMBER($AA281)),$AA281-$C281,"")</f>
        <v/>
      </c>
      <c r="AG281" s="87">
        <f>IF($AE281="","",IFERROR(MATCH($AE281,{"Wishlist","Applied","Screening","Interview 1","Interview 2","Final","Offer","Accepted"},0)-1,""))</f>
        <v/>
      </c>
      <c r="AH281" s="87">
        <f>IF($AC281="","",MATCH($AC281,{"FOLLOW UP REQUIRED","ACTION DUE TODAY","NO RESPONSE","DUE SOON"},0)*100000+IF(ISNUMBER($O281),$O281,IF(ISNUMBER($C281),$C281,0))+ROW()/10000)</f>
        <v/>
      </c>
      <c r="AI281" s="87">
        <f>IF(AND(ISNUMBER($AG281),$AG281&gt;=1,$AG281&lt;=6,$M281&lt;&gt;"Rejected",$M281&lt;&gt;"Withdrawn"),(10-$AG281)*100000+IF(ISNUMBER($C281),$C281,0)+ROW()/10000,"")</f>
        <v/>
      </c>
    </row>
    <row r="282">
      <c r="A282" s="80" t="n"/>
      <c r="B282" s="81" t="n"/>
      <c r="C282" s="81" t="n"/>
      <c r="D282" s="82" t="n"/>
      <c r="E282" s="82" t="n"/>
      <c r="F282" s="82" t="n"/>
      <c r="G282" s="82" t="n"/>
      <c r="H282" s="82" t="n"/>
      <c r="I282" s="83" t="n"/>
      <c r="J282" s="82" t="n"/>
      <c r="K282" s="84" t="n"/>
      <c r="L282" s="85" t="n"/>
      <c r="M282" s="82" t="n"/>
      <c r="N282" s="86" t="n"/>
      <c r="O282" s="81" t="n"/>
      <c r="P282" s="82" t="n"/>
      <c r="Q282" s="83" t="n"/>
      <c r="R282" s="82" t="n"/>
      <c r="S282" s="84" t="n"/>
      <c r="T282" s="84" t="n"/>
      <c r="U282" s="82" t="n"/>
      <c r="V282" s="86" t="n"/>
      <c r="W282" s="86" t="n"/>
      <c r="X282" s="86" t="n"/>
      <c r="Y282" s="81" t="n"/>
      <c r="Z282" s="82" t="n"/>
      <c r="AA282" s="81" t="n"/>
      <c r="AB282" s="82" t="n"/>
      <c r="AC282" s="87">
        <f>IF(OR($D282="",$M282="Rejected",$M282="Withdrawn",$M282="Accepted"),"",IF(ISNUMBER($O282),IF(INT($O282)&lt;TODAY(),"FOLLOW UP REQUIRED",IF(INT($O282)=TODAY(),"ACTION DUE TODAY",IF(INT($O282)-TODAY()&lt;=Set_DueSoonDays,"DUE SOON",""))),IF(AND($M282="Applied",$AA282=""),IF(ISNUMBER($C282),IF(TODAY()-$C282&gt;=Set_FollowUpDays,"NO RESPONSE",""),""),"")))</f>
        <v/>
      </c>
      <c r="AD282" s="87">
        <f>IF(ISNUMBER($L282),IF($L282&gt;=90,"Excellent Match",IF($L282&gt;=75,"Strong Match",IF($L282&gt;=60,"Moderate Match","Low Match"))),"")</f>
        <v/>
      </c>
      <c r="AE282" s="87">
        <f>IF($D282="","",IF(OR($M282="Rejected",$M282="Withdrawn"),IF($AB282&lt;&gt;"",$AB282,IF(OR($M282="Rejected",ISNUMBER($C282)),"Applied","Wishlist")),IF($M282="",IF(ISNUMBER($C282),"Applied","Wishlist"),$M282)))</f>
        <v/>
      </c>
      <c r="AF282" s="88">
        <f>IF(AND(ISNUMBER($C282),ISNUMBER($AA282)),$AA282-$C282,"")</f>
        <v/>
      </c>
      <c r="AG282" s="87">
        <f>IF($AE282="","",IFERROR(MATCH($AE282,{"Wishlist","Applied","Screening","Interview 1","Interview 2","Final","Offer","Accepted"},0)-1,""))</f>
        <v/>
      </c>
      <c r="AH282" s="87">
        <f>IF($AC282="","",MATCH($AC282,{"FOLLOW UP REQUIRED","ACTION DUE TODAY","NO RESPONSE","DUE SOON"},0)*100000+IF(ISNUMBER($O282),$O282,IF(ISNUMBER($C282),$C282,0))+ROW()/10000)</f>
        <v/>
      </c>
      <c r="AI282" s="87">
        <f>IF(AND(ISNUMBER($AG282),$AG282&gt;=1,$AG282&lt;=6,$M282&lt;&gt;"Rejected",$M282&lt;&gt;"Withdrawn"),(10-$AG282)*100000+IF(ISNUMBER($C282),$C282,0)+ROW()/10000,"")</f>
        <v/>
      </c>
    </row>
    <row r="283">
      <c r="A283" s="80" t="n"/>
      <c r="B283" s="81" t="n"/>
      <c r="C283" s="81" t="n"/>
      <c r="D283" s="82" t="n"/>
      <c r="E283" s="82" t="n"/>
      <c r="F283" s="82" t="n"/>
      <c r="G283" s="82" t="n"/>
      <c r="H283" s="82" t="n"/>
      <c r="I283" s="83" t="n"/>
      <c r="J283" s="82" t="n"/>
      <c r="K283" s="84" t="n"/>
      <c r="L283" s="85" t="n"/>
      <c r="M283" s="82" t="n"/>
      <c r="N283" s="86" t="n"/>
      <c r="O283" s="81" t="n"/>
      <c r="P283" s="82" t="n"/>
      <c r="Q283" s="83" t="n"/>
      <c r="R283" s="82" t="n"/>
      <c r="S283" s="84" t="n"/>
      <c r="T283" s="84" t="n"/>
      <c r="U283" s="82" t="n"/>
      <c r="V283" s="86" t="n"/>
      <c r="W283" s="86" t="n"/>
      <c r="X283" s="86" t="n"/>
      <c r="Y283" s="81" t="n"/>
      <c r="Z283" s="82" t="n"/>
      <c r="AA283" s="81" t="n"/>
      <c r="AB283" s="82" t="n"/>
      <c r="AC283" s="87">
        <f>IF(OR($D283="",$M283="Rejected",$M283="Withdrawn",$M283="Accepted"),"",IF(ISNUMBER($O283),IF(INT($O283)&lt;TODAY(),"FOLLOW UP REQUIRED",IF(INT($O283)=TODAY(),"ACTION DUE TODAY",IF(INT($O283)-TODAY()&lt;=Set_DueSoonDays,"DUE SOON",""))),IF(AND($M283="Applied",$AA283=""),IF(ISNUMBER($C283),IF(TODAY()-$C283&gt;=Set_FollowUpDays,"NO RESPONSE",""),""),"")))</f>
        <v/>
      </c>
      <c r="AD283" s="87">
        <f>IF(ISNUMBER($L283),IF($L283&gt;=90,"Excellent Match",IF($L283&gt;=75,"Strong Match",IF($L283&gt;=60,"Moderate Match","Low Match"))),"")</f>
        <v/>
      </c>
      <c r="AE283" s="87">
        <f>IF($D283="","",IF(OR($M283="Rejected",$M283="Withdrawn"),IF($AB283&lt;&gt;"",$AB283,IF(OR($M283="Rejected",ISNUMBER($C283)),"Applied","Wishlist")),IF($M283="",IF(ISNUMBER($C283),"Applied","Wishlist"),$M283)))</f>
        <v/>
      </c>
      <c r="AF283" s="88">
        <f>IF(AND(ISNUMBER($C283),ISNUMBER($AA283)),$AA283-$C283,"")</f>
        <v/>
      </c>
      <c r="AG283" s="87">
        <f>IF($AE283="","",IFERROR(MATCH($AE283,{"Wishlist","Applied","Screening","Interview 1","Interview 2","Final","Offer","Accepted"},0)-1,""))</f>
        <v/>
      </c>
      <c r="AH283" s="87">
        <f>IF($AC283="","",MATCH($AC283,{"FOLLOW UP REQUIRED","ACTION DUE TODAY","NO RESPONSE","DUE SOON"},0)*100000+IF(ISNUMBER($O283),$O283,IF(ISNUMBER($C283),$C283,0))+ROW()/10000)</f>
        <v/>
      </c>
      <c r="AI283" s="87">
        <f>IF(AND(ISNUMBER($AG283),$AG283&gt;=1,$AG283&lt;=6,$M283&lt;&gt;"Rejected",$M283&lt;&gt;"Withdrawn"),(10-$AG283)*100000+IF(ISNUMBER($C283),$C283,0)+ROW()/10000,"")</f>
        <v/>
      </c>
    </row>
    <row r="284">
      <c r="A284" s="80" t="n"/>
      <c r="B284" s="81" t="n"/>
      <c r="C284" s="81" t="n"/>
      <c r="D284" s="82" t="n"/>
      <c r="E284" s="82" t="n"/>
      <c r="F284" s="82" t="n"/>
      <c r="G284" s="82" t="n"/>
      <c r="H284" s="82" t="n"/>
      <c r="I284" s="83" t="n"/>
      <c r="J284" s="82" t="n"/>
      <c r="K284" s="84" t="n"/>
      <c r="L284" s="85" t="n"/>
      <c r="M284" s="82" t="n"/>
      <c r="N284" s="86" t="n"/>
      <c r="O284" s="81" t="n"/>
      <c r="P284" s="82" t="n"/>
      <c r="Q284" s="83" t="n"/>
      <c r="R284" s="82" t="n"/>
      <c r="S284" s="84" t="n"/>
      <c r="T284" s="84" t="n"/>
      <c r="U284" s="82" t="n"/>
      <c r="V284" s="86" t="n"/>
      <c r="W284" s="86" t="n"/>
      <c r="X284" s="86" t="n"/>
      <c r="Y284" s="81" t="n"/>
      <c r="Z284" s="82" t="n"/>
      <c r="AA284" s="81" t="n"/>
      <c r="AB284" s="82" t="n"/>
      <c r="AC284" s="87">
        <f>IF(OR($D284="",$M284="Rejected",$M284="Withdrawn",$M284="Accepted"),"",IF(ISNUMBER($O284),IF(INT($O284)&lt;TODAY(),"FOLLOW UP REQUIRED",IF(INT($O284)=TODAY(),"ACTION DUE TODAY",IF(INT($O284)-TODAY()&lt;=Set_DueSoonDays,"DUE SOON",""))),IF(AND($M284="Applied",$AA284=""),IF(ISNUMBER($C284),IF(TODAY()-$C284&gt;=Set_FollowUpDays,"NO RESPONSE",""),""),"")))</f>
        <v/>
      </c>
      <c r="AD284" s="87">
        <f>IF(ISNUMBER($L284),IF($L284&gt;=90,"Excellent Match",IF($L284&gt;=75,"Strong Match",IF($L284&gt;=60,"Moderate Match","Low Match"))),"")</f>
        <v/>
      </c>
      <c r="AE284" s="87">
        <f>IF($D284="","",IF(OR($M284="Rejected",$M284="Withdrawn"),IF($AB284&lt;&gt;"",$AB284,IF(OR($M284="Rejected",ISNUMBER($C284)),"Applied","Wishlist")),IF($M284="",IF(ISNUMBER($C284),"Applied","Wishlist"),$M284)))</f>
        <v/>
      </c>
      <c r="AF284" s="88">
        <f>IF(AND(ISNUMBER($C284),ISNUMBER($AA284)),$AA284-$C284,"")</f>
        <v/>
      </c>
      <c r="AG284" s="87">
        <f>IF($AE284="","",IFERROR(MATCH($AE284,{"Wishlist","Applied","Screening","Interview 1","Interview 2","Final","Offer","Accepted"},0)-1,""))</f>
        <v/>
      </c>
      <c r="AH284" s="87">
        <f>IF($AC284="","",MATCH($AC284,{"FOLLOW UP REQUIRED","ACTION DUE TODAY","NO RESPONSE","DUE SOON"},0)*100000+IF(ISNUMBER($O284),$O284,IF(ISNUMBER($C284),$C284,0))+ROW()/10000)</f>
        <v/>
      </c>
      <c r="AI284" s="87">
        <f>IF(AND(ISNUMBER($AG284),$AG284&gt;=1,$AG284&lt;=6,$M284&lt;&gt;"Rejected",$M284&lt;&gt;"Withdrawn"),(10-$AG284)*100000+IF(ISNUMBER($C284),$C284,0)+ROW()/10000,"")</f>
        <v/>
      </c>
    </row>
    <row r="285">
      <c r="A285" s="80" t="n"/>
      <c r="B285" s="81" t="n"/>
      <c r="C285" s="81" t="n"/>
      <c r="D285" s="82" t="n"/>
      <c r="E285" s="82" t="n"/>
      <c r="F285" s="82" t="n"/>
      <c r="G285" s="82" t="n"/>
      <c r="H285" s="82" t="n"/>
      <c r="I285" s="83" t="n"/>
      <c r="J285" s="82" t="n"/>
      <c r="K285" s="84" t="n"/>
      <c r="L285" s="85" t="n"/>
      <c r="M285" s="82" t="n"/>
      <c r="N285" s="86" t="n"/>
      <c r="O285" s="81" t="n"/>
      <c r="P285" s="82" t="n"/>
      <c r="Q285" s="83" t="n"/>
      <c r="R285" s="82" t="n"/>
      <c r="S285" s="84" t="n"/>
      <c r="T285" s="84" t="n"/>
      <c r="U285" s="82" t="n"/>
      <c r="V285" s="86" t="n"/>
      <c r="W285" s="86" t="n"/>
      <c r="X285" s="86" t="n"/>
      <c r="Y285" s="81" t="n"/>
      <c r="Z285" s="82" t="n"/>
      <c r="AA285" s="81" t="n"/>
      <c r="AB285" s="82" t="n"/>
      <c r="AC285" s="87">
        <f>IF(OR($D285="",$M285="Rejected",$M285="Withdrawn",$M285="Accepted"),"",IF(ISNUMBER($O285),IF(INT($O285)&lt;TODAY(),"FOLLOW UP REQUIRED",IF(INT($O285)=TODAY(),"ACTION DUE TODAY",IF(INT($O285)-TODAY()&lt;=Set_DueSoonDays,"DUE SOON",""))),IF(AND($M285="Applied",$AA285=""),IF(ISNUMBER($C285),IF(TODAY()-$C285&gt;=Set_FollowUpDays,"NO RESPONSE",""),""),"")))</f>
        <v/>
      </c>
      <c r="AD285" s="87">
        <f>IF(ISNUMBER($L285),IF($L285&gt;=90,"Excellent Match",IF($L285&gt;=75,"Strong Match",IF($L285&gt;=60,"Moderate Match","Low Match"))),"")</f>
        <v/>
      </c>
      <c r="AE285" s="87">
        <f>IF($D285="","",IF(OR($M285="Rejected",$M285="Withdrawn"),IF($AB285&lt;&gt;"",$AB285,IF(OR($M285="Rejected",ISNUMBER($C285)),"Applied","Wishlist")),IF($M285="",IF(ISNUMBER($C285),"Applied","Wishlist"),$M285)))</f>
        <v/>
      </c>
      <c r="AF285" s="88">
        <f>IF(AND(ISNUMBER($C285),ISNUMBER($AA285)),$AA285-$C285,"")</f>
        <v/>
      </c>
      <c r="AG285" s="87">
        <f>IF($AE285="","",IFERROR(MATCH($AE285,{"Wishlist","Applied","Screening","Interview 1","Interview 2","Final","Offer","Accepted"},0)-1,""))</f>
        <v/>
      </c>
      <c r="AH285" s="87">
        <f>IF($AC285="","",MATCH($AC285,{"FOLLOW UP REQUIRED","ACTION DUE TODAY","NO RESPONSE","DUE SOON"},0)*100000+IF(ISNUMBER($O285),$O285,IF(ISNUMBER($C285),$C285,0))+ROW()/10000)</f>
        <v/>
      </c>
      <c r="AI285" s="87">
        <f>IF(AND(ISNUMBER($AG285),$AG285&gt;=1,$AG285&lt;=6,$M285&lt;&gt;"Rejected",$M285&lt;&gt;"Withdrawn"),(10-$AG285)*100000+IF(ISNUMBER($C285),$C285,0)+ROW()/10000,"")</f>
        <v/>
      </c>
    </row>
    <row r="286">
      <c r="A286" s="80" t="n"/>
      <c r="B286" s="81" t="n"/>
      <c r="C286" s="81" t="n"/>
      <c r="D286" s="82" t="n"/>
      <c r="E286" s="82" t="n"/>
      <c r="F286" s="82" t="n"/>
      <c r="G286" s="82" t="n"/>
      <c r="H286" s="82" t="n"/>
      <c r="I286" s="83" t="n"/>
      <c r="J286" s="82" t="n"/>
      <c r="K286" s="84" t="n"/>
      <c r="L286" s="85" t="n"/>
      <c r="M286" s="82" t="n"/>
      <c r="N286" s="86" t="n"/>
      <c r="O286" s="81" t="n"/>
      <c r="P286" s="82" t="n"/>
      <c r="Q286" s="83" t="n"/>
      <c r="R286" s="82" t="n"/>
      <c r="S286" s="84" t="n"/>
      <c r="T286" s="84" t="n"/>
      <c r="U286" s="82" t="n"/>
      <c r="V286" s="86" t="n"/>
      <c r="W286" s="86" t="n"/>
      <c r="X286" s="86" t="n"/>
      <c r="Y286" s="81" t="n"/>
      <c r="Z286" s="82" t="n"/>
      <c r="AA286" s="81" t="n"/>
      <c r="AB286" s="82" t="n"/>
      <c r="AC286" s="87">
        <f>IF(OR($D286="",$M286="Rejected",$M286="Withdrawn",$M286="Accepted"),"",IF(ISNUMBER($O286),IF(INT($O286)&lt;TODAY(),"FOLLOW UP REQUIRED",IF(INT($O286)=TODAY(),"ACTION DUE TODAY",IF(INT($O286)-TODAY()&lt;=Set_DueSoonDays,"DUE SOON",""))),IF(AND($M286="Applied",$AA286=""),IF(ISNUMBER($C286),IF(TODAY()-$C286&gt;=Set_FollowUpDays,"NO RESPONSE",""),""),"")))</f>
        <v/>
      </c>
      <c r="AD286" s="87">
        <f>IF(ISNUMBER($L286),IF($L286&gt;=90,"Excellent Match",IF($L286&gt;=75,"Strong Match",IF($L286&gt;=60,"Moderate Match","Low Match"))),"")</f>
        <v/>
      </c>
      <c r="AE286" s="87">
        <f>IF($D286="","",IF(OR($M286="Rejected",$M286="Withdrawn"),IF($AB286&lt;&gt;"",$AB286,IF(OR($M286="Rejected",ISNUMBER($C286)),"Applied","Wishlist")),IF($M286="",IF(ISNUMBER($C286),"Applied","Wishlist"),$M286)))</f>
        <v/>
      </c>
      <c r="AF286" s="88">
        <f>IF(AND(ISNUMBER($C286),ISNUMBER($AA286)),$AA286-$C286,"")</f>
        <v/>
      </c>
      <c r="AG286" s="87">
        <f>IF($AE286="","",IFERROR(MATCH($AE286,{"Wishlist","Applied","Screening","Interview 1","Interview 2","Final","Offer","Accepted"},0)-1,""))</f>
        <v/>
      </c>
      <c r="AH286" s="87">
        <f>IF($AC286="","",MATCH($AC286,{"FOLLOW UP REQUIRED","ACTION DUE TODAY","NO RESPONSE","DUE SOON"},0)*100000+IF(ISNUMBER($O286),$O286,IF(ISNUMBER($C286),$C286,0))+ROW()/10000)</f>
        <v/>
      </c>
      <c r="AI286" s="87">
        <f>IF(AND(ISNUMBER($AG286),$AG286&gt;=1,$AG286&lt;=6,$M286&lt;&gt;"Rejected",$M286&lt;&gt;"Withdrawn"),(10-$AG286)*100000+IF(ISNUMBER($C286),$C286,0)+ROW()/10000,"")</f>
        <v/>
      </c>
    </row>
    <row r="287">
      <c r="A287" s="80" t="n"/>
      <c r="B287" s="81" t="n"/>
      <c r="C287" s="81" t="n"/>
      <c r="D287" s="82" t="n"/>
      <c r="E287" s="82" t="n"/>
      <c r="F287" s="82" t="n"/>
      <c r="G287" s="82" t="n"/>
      <c r="H287" s="82" t="n"/>
      <c r="I287" s="83" t="n"/>
      <c r="J287" s="82" t="n"/>
      <c r="K287" s="84" t="n"/>
      <c r="L287" s="85" t="n"/>
      <c r="M287" s="82" t="n"/>
      <c r="N287" s="86" t="n"/>
      <c r="O287" s="81" t="n"/>
      <c r="P287" s="82" t="n"/>
      <c r="Q287" s="83" t="n"/>
      <c r="R287" s="82" t="n"/>
      <c r="S287" s="84" t="n"/>
      <c r="T287" s="84" t="n"/>
      <c r="U287" s="82" t="n"/>
      <c r="V287" s="86" t="n"/>
      <c r="W287" s="86" t="n"/>
      <c r="X287" s="86" t="n"/>
      <c r="Y287" s="81" t="n"/>
      <c r="Z287" s="82" t="n"/>
      <c r="AA287" s="81" t="n"/>
      <c r="AB287" s="82" t="n"/>
      <c r="AC287" s="87">
        <f>IF(OR($D287="",$M287="Rejected",$M287="Withdrawn",$M287="Accepted"),"",IF(ISNUMBER($O287),IF(INT($O287)&lt;TODAY(),"FOLLOW UP REQUIRED",IF(INT($O287)=TODAY(),"ACTION DUE TODAY",IF(INT($O287)-TODAY()&lt;=Set_DueSoonDays,"DUE SOON",""))),IF(AND($M287="Applied",$AA287=""),IF(ISNUMBER($C287),IF(TODAY()-$C287&gt;=Set_FollowUpDays,"NO RESPONSE",""),""),"")))</f>
        <v/>
      </c>
      <c r="AD287" s="87">
        <f>IF(ISNUMBER($L287),IF($L287&gt;=90,"Excellent Match",IF($L287&gt;=75,"Strong Match",IF($L287&gt;=60,"Moderate Match","Low Match"))),"")</f>
        <v/>
      </c>
      <c r="AE287" s="87">
        <f>IF($D287="","",IF(OR($M287="Rejected",$M287="Withdrawn"),IF($AB287&lt;&gt;"",$AB287,IF(OR($M287="Rejected",ISNUMBER($C287)),"Applied","Wishlist")),IF($M287="",IF(ISNUMBER($C287),"Applied","Wishlist"),$M287)))</f>
        <v/>
      </c>
      <c r="AF287" s="88">
        <f>IF(AND(ISNUMBER($C287),ISNUMBER($AA287)),$AA287-$C287,"")</f>
        <v/>
      </c>
      <c r="AG287" s="87">
        <f>IF($AE287="","",IFERROR(MATCH($AE287,{"Wishlist","Applied","Screening","Interview 1","Interview 2","Final","Offer","Accepted"},0)-1,""))</f>
        <v/>
      </c>
      <c r="AH287" s="87">
        <f>IF($AC287="","",MATCH($AC287,{"FOLLOW UP REQUIRED","ACTION DUE TODAY","NO RESPONSE","DUE SOON"},0)*100000+IF(ISNUMBER($O287),$O287,IF(ISNUMBER($C287),$C287,0))+ROW()/10000)</f>
        <v/>
      </c>
      <c r="AI287" s="87">
        <f>IF(AND(ISNUMBER($AG287),$AG287&gt;=1,$AG287&lt;=6,$M287&lt;&gt;"Rejected",$M287&lt;&gt;"Withdrawn"),(10-$AG287)*100000+IF(ISNUMBER($C287),$C287,0)+ROW()/10000,"")</f>
        <v/>
      </c>
    </row>
    <row r="288">
      <c r="A288" s="80" t="n"/>
      <c r="B288" s="81" t="n"/>
      <c r="C288" s="81" t="n"/>
      <c r="D288" s="82" t="n"/>
      <c r="E288" s="82" t="n"/>
      <c r="F288" s="82" t="n"/>
      <c r="G288" s="82" t="n"/>
      <c r="H288" s="82" t="n"/>
      <c r="I288" s="83" t="n"/>
      <c r="J288" s="82" t="n"/>
      <c r="K288" s="84" t="n"/>
      <c r="L288" s="85" t="n"/>
      <c r="M288" s="82" t="n"/>
      <c r="N288" s="86" t="n"/>
      <c r="O288" s="81" t="n"/>
      <c r="P288" s="82" t="n"/>
      <c r="Q288" s="83" t="n"/>
      <c r="R288" s="82" t="n"/>
      <c r="S288" s="84" t="n"/>
      <c r="T288" s="84" t="n"/>
      <c r="U288" s="82" t="n"/>
      <c r="V288" s="86" t="n"/>
      <c r="W288" s="86" t="n"/>
      <c r="X288" s="86" t="n"/>
      <c r="Y288" s="81" t="n"/>
      <c r="Z288" s="82" t="n"/>
      <c r="AA288" s="81" t="n"/>
      <c r="AB288" s="82" t="n"/>
      <c r="AC288" s="87">
        <f>IF(OR($D288="",$M288="Rejected",$M288="Withdrawn",$M288="Accepted"),"",IF(ISNUMBER($O288),IF(INT($O288)&lt;TODAY(),"FOLLOW UP REQUIRED",IF(INT($O288)=TODAY(),"ACTION DUE TODAY",IF(INT($O288)-TODAY()&lt;=Set_DueSoonDays,"DUE SOON",""))),IF(AND($M288="Applied",$AA288=""),IF(ISNUMBER($C288),IF(TODAY()-$C288&gt;=Set_FollowUpDays,"NO RESPONSE",""),""),"")))</f>
        <v/>
      </c>
      <c r="AD288" s="87">
        <f>IF(ISNUMBER($L288),IF($L288&gt;=90,"Excellent Match",IF($L288&gt;=75,"Strong Match",IF($L288&gt;=60,"Moderate Match","Low Match"))),"")</f>
        <v/>
      </c>
      <c r="AE288" s="87">
        <f>IF($D288="","",IF(OR($M288="Rejected",$M288="Withdrawn"),IF($AB288&lt;&gt;"",$AB288,IF(OR($M288="Rejected",ISNUMBER($C288)),"Applied","Wishlist")),IF($M288="",IF(ISNUMBER($C288),"Applied","Wishlist"),$M288)))</f>
        <v/>
      </c>
      <c r="AF288" s="88">
        <f>IF(AND(ISNUMBER($C288),ISNUMBER($AA288)),$AA288-$C288,"")</f>
        <v/>
      </c>
      <c r="AG288" s="87">
        <f>IF($AE288="","",IFERROR(MATCH($AE288,{"Wishlist","Applied","Screening","Interview 1","Interview 2","Final","Offer","Accepted"},0)-1,""))</f>
        <v/>
      </c>
      <c r="AH288" s="87">
        <f>IF($AC288="","",MATCH($AC288,{"FOLLOW UP REQUIRED","ACTION DUE TODAY","NO RESPONSE","DUE SOON"},0)*100000+IF(ISNUMBER($O288),$O288,IF(ISNUMBER($C288),$C288,0))+ROW()/10000)</f>
        <v/>
      </c>
      <c r="AI288" s="87">
        <f>IF(AND(ISNUMBER($AG288),$AG288&gt;=1,$AG288&lt;=6,$M288&lt;&gt;"Rejected",$M288&lt;&gt;"Withdrawn"),(10-$AG288)*100000+IF(ISNUMBER($C288),$C288,0)+ROW()/10000,"")</f>
        <v/>
      </c>
    </row>
    <row r="289">
      <c r="A289" s="80" t="n"/>
      <c r="B289" s="81" t="n"/>
      <c r="C289" s="81" t="n"/>
      <c r="D289" s="82" t="n"/>
      <c r="E289" s="82" t="n"/>
      <c r="F289" s="82" t="n"/>
      <c r="G289" s="82" t="n"/>
      <c r="H289" s="82" t="n"/>
      <c r="I289" s="83" t="n"/>
      <c r="J289" s="82" t="n"/>
      <c r="K289" s="84" t="n"/>
      <c r="L289" s="85" t="n"/>
      <c r="M289" s="82" t="n"/>
      <c r="N289" s="86" t="n"/>
      <c r="O289" s="81" t="n"/>
      <c r="P289" s="82" t="n"/>
      <c r="Q289" s="83" t="n"/>
      <c r="R289" s="82" t="n"/>
      <c r="S289" s="84" t="n"/>
      <c r="T289" s="84" t="n"/>
      <c r="U289" s="82" t="n"/>
      <c r="V289" s="86" t="n"/>
      <c r="W289" s="86" t="n"/>
      <c r="X289" s="86" t="n"/>
      <c r="Y289" s="81" t="n"/>
      <c r="Z289" s="82" t="n"/>
      <c r="AA289" s="81" t="n"/>
      <c r="AB289" s="82" t="n"/>
      <c r="AC289" s="87">
        <f>IF(OR($D289="",$M289="Rejected",$M289="Withdrawn",$M289="Accepted"),"",IF(ISNUMBER($O289),IF(INT($O289)&lt;TODAY(),"FOLLOW UP REQUIRED",IF(INT($O289)=TODAY(),"ACTION DUE TODAY",IF(INT($O289)-TODAY()&lt;=Set_DueSoonDays,"DUE SOON",""))),IF(AND($M289="Applied",$AA289=""),IF(ISNUMBER($C289),IF(TODAY()-$C289&gt;=Set_FollowUpDays,"NO RESPONSE",""),""),"")))</f>
        <v/>
      </c>
      <c r="AD289" s="87">
        <f>IF(ISNUMBER($L289),IF($L289&gt;=90,"Excellent Match",IF($L289&gt;=75,"Strong Match",IF($L289&gt;=60,"Moderate Match","Low Match"))),"")</f>
        <v/>
      </c>
      <c r="AE289" s="87">
        <f>IF($D289="","",IF(OR($M289="Rejected",$M289="Withdrawn"),IF($AB289&lt;&gt;"",$AB289,IF(OR($M289="Rejected",ISNUMBER($C289)),"Applied","Wishlist")),IF($M289="",IF(ISNUMBER($C289),"Applied","Wishlist"),$M289)))</f>
        <v/>
      </c>
      <c r="AF289" s="88">
        <f>IF(AND(ISNUMBER($C289),ISNUMBER($AA289)),$AA289-$C289,"")</f>
        <v/>
      </c>
      <c r="AG289" s="87">
        <f>IF($AE289="","",IFERROR(MATCH($AE289,{"Wishlist","Applied","Screening","Interview 1","Interview 2","Final","Offer","Accepted"},0)-1,""))</f>
        <v/>
      </c>
      <c r="AH289" s="87">
        <f>IF($AC289="","",MATCH($AC289,{"FOLLOW UP REQUIRED","ACTION DUE TODAY","NO RESPONSE","DUE SOON"},0)*100000+IF(ISNUMBER($O289),$O289,IF(ISNUMBER($C289),$C289,0))+ROW()/10000)</f>
        <v/>
      </c>
      <c r="AI289" s="87">
        <f>IF(AND(ISNUMBER($AG289),$AG289&gt;=1,$AG289&lt;=6,$M289&lt;&gt;"Rejected",$M289&lt;&gt;"Withdrawn"),(10-$AG289)*100000+IF(ISNUMBER($C289),$C289,0)+ROW()/10000,"")</f>
        <v/>
      </c>
    </row>
    <row r="290">
      <c r="A290" s="80" t="n"/>
      <c r="B290" s="81" t="n"/>
      <c r="C290" s="81" t="n"/>
      <c r="D290" s="82" t="n"/>
      <c r="E290" s="82" t="n"/>
      <c r="F290" s="82" t="n"/>
      <c r="G290" s="82" t="n"/>
      <c r="H290" s="82" t="n"/>
      <c r="I290" s="83" t="n"/>
      <c r="J290" s="82" t="n"/>
      <c r="K290" s="84" t="n"/>
      <c r="L290" s="85" t="n"/>
      <c r="M290" s="82" t="n"/>
      <c r="N290" s="86" t="n"/>
      <c r="O290" s="81" t="n"/>
      <c r="P290" s="82" t="n"/>
      <c r="Q290" s="83" t="n"/>
      <c r="R290" s="82" t="n"/>
      <c r="S290" s="84" t="n"/>
      <c r="T290" s="84" t="n"/>
      <c r="U290" s="82" t="n"/>
      <c r="V290" s="86" t="n"/>
      <c r="W290" s="86" t="n"/>
      <c r="X290" s="86" t="n"/>
      <c r="Y290" s="81" t="n"/>
      <c r="Z290" s="82" t="n"/>
      <c r="AA290" s="81" t="n"/>
      <c r="AB290" s="82" t="n"/>
      <c r="AC290" s="87">
        <f>IF(OR($D290="",$M290="Rejected",$M290="Withdrawn",$M290="Accepted"),"",IF(ISNUMBER($O290),IF(INT($O290)&lt;TODAY(),"FOLLOW UP REQUIRED",IF(INT($O290)=TODAY(),"ACTION DUE TODAY",IF(INT($O290)-TODAY()&lt;=Set_DueSoonDays,"DUE SOON",""))),IF(AND($M290="Applied",$AA290=""),IF(ISNUMBER($C290),IF(TODAY()-$C290&gt;=Set_FollowUpDays,"NO RESPONSE",""),""),"")))</f>
        <v/>
      </c>
      <c r="AD290" s="87">
        <f>IF(ISNUMBER($L290),IF($L290&gt;=90,"Excellent Match",IF($L290&gt;=75,"Strong Match",IF($L290&gt;=60,"Moderate Match","Low Match"))),"")</f>
        <v/>
      </c>
      <c r="AE290" s="87">
        <f>IF($D290="","",IF(OR($M290="Rejected",$M290="Withdrawn"),IF($AB290&lt;&gt;"",$AB290,IF(OR($M290="Rejected",ISNUMBER($C290)),"Applied","Wishlist")),IF($M290="",IF(ISNUMBER($C290),"Applied","Wishlist"),$M290)))</f>
        <v/>
      </c>
      <c r="AF290" s="88">
        <f>IF(AND(ISNUMBER($C290),ISNUMBER($AA290)),$AA290-$C290,"")</f>
        <v/>
      </c>
      <c r="AG290" s="87">
        <f>IF($AE290="","",IFERROR(MATCH($AE290,{"Wishlist","Applied","Screening","Interview 1","Interview 2","Final","Offer","Accepted"},0)-1,""))</f>
        <v/>
      </c>
      <c r="AH290" s="87">
        <f>IF($AC290="","",MATCH($AC290,{"FOLLOW UP REQUIRED","ACTION DUE TODAY","NO RESPONSE","DUE SOON"},0)*100000+IF(ISNUMBER($O290),$O290,IF(ISNUMBER($C290),$C290,0))+ROW()/10000)</f>
        <v/>
      </c>
      <c r="AI290" s="87">
        <f>IF(AND(ISNUMBER($AG290),$AG290&gt;=1,$AG290&lt;=6,$M290&lt;&gt;"Rejected",$M290&lt;&gt;"Withdrawn"),(10-$AG290)*100000+IF(ISNUMBER($C290),$C290,0)+ROW()/10000,"")</f>
        <v/>
      </c>
    </row>
    <row r="291">
      <c r="A291" s="80" t="n"/>
      <c r="B291" s="81" t="n"/>
      <c r="C291" s="81" t="n"/>
      <c r="D291" s="82" t="n"/>
      <c r="E291" s="82" t="n"/>
      <c r="F291" s="82" t="n"/>
      <c r="G291" s="82" t="n"/>
      <c r="H291" s="82" t="n"/>
      <c r="I291" s="83" t="n"/>
      <c r="J291" s="82" t="n"/>
      <c r="K291" s="84" t="n"/>
      <c r="L291" s="85" t="n"/>
      <c r="M291" s="82" t="n"/>
      <c r="N291" s="86" t="n"/>
      <c r="O291" s="81" t="n"/>
      <c r="P291" s="82" t="n"/>
      <c r="Q291" s="83" t="n"/>
      <c r="R291" s="82" t="n"/>
      <c r="S291" s="84" t="n"/>
      <c r="T291" s="84" t="n"/>
      <c r="U291" s="82" t="n"/>
      <c r="V291" s="86" t="n"/>
      <c r="W291" s="86" t="n"/>
      <c r="X291" s="86" t="n"/>
      <c r="Y291" s="81" t="n"/>
      <c r="Z291" s="82" t="n"/>
      <c r="AA291" s="81" t="n"/>
      <c r="AB291" s="82" t="n"/>
      <c r="AC291" s="87">
        <f>IF(OR($D291="",$M291="Rejected",$M291="Withdrawn",$M291="Accepted"),"",IF(ISNUMBER($O291),IF(INT($O291)&lt;TODAY(),"FOLLOW UP REQUIRED",IF(INT($O291)=TODAY(),"ACTION DUE TODAY",IF(INT($O291)-TODAY()&lt;=Set_DueSoonDays,"DUE SOON",""))),IF(AND($M291="Applied",$AA291=""),IF(ISNUMBER($C291),IF(TODAY()-$C291&gt;=Set_FollowUpDays,"NO RESPONSE",""),""),"")))</f>
        <v/>
      </c>
      <c r="AD291" s="87">
        <f>IF(ISNUMBER($L291),IF($L291&gt;=90,"Excellent Match",IF($L291&gt;=75,"Strong Match",IF($L291&gt;=60,"Moderate Match","Low Match"))),"")</f>
        <v/>
      </c>
      <c r="AE291" s="87">
        <f>IF($D291="","",IF(OR($M291="Rejected",$M291="Withdrawn"),IF($AB291&lt;&gt;"",$AB291,IF(OR($M291="Rejected",ISNUMBER($C291)),"Applied","Wishlist")),IF($M291="",IF(ISNUMBER($C291),"Applied","Wishlist"),$M291)))</f>
        <v/>
      </c>
      <c r="AF291" s="88">
        <f>IF(AND(ISNUMBER($C291),ISNUMBER($AA291)),$AA291-$C291,"")</f>
        <v/>
      </c>
      <c r="AG291" s="87">
        <f>IF($AE291="","",IFERROR(MATCH($AE291,{"Wishlist","Applied","Screening","Interview 1","Interview 2","Final","Offer","Accepted"},0)-1,""))</f>
        <v/>
      </c>
      <c r="AH291" s="87">
        <f>IF($AC291="","",MATCH($AC291,{"FOLLOW UP REQUIRED","ACTION DUE TODAY","NO RESPONSE","DUE SOON"},0)*100000+IF(ISNUMBER($O291),$O291,IF(ISNUMBER($C291),$C291,0))+ROW()/10000)</f>
        <v/>
      </c>
      <c r="AI291" s="87">
        <f>IF(AND(ISNUMBER($AG291),$AG291&gt;=1,$AG291&lt;=6,$M291&lt;&gt;"Rejected",$M291&lt;&gt;"Withdrawn"),(10-$AG291)*100000+IF(ISNUMBER($C291),$C291,0)+ROW()/10000,"")</f>
        <v/>
      </c>
    </row>
    <row r="292">
      <c r="A292" s="80" t="n"/>
      <c r="B292" s="81" t="n"/>
      <c r="C292" s="81" t="n"/>
      <c r="D292" s="82" t="n"/>
      <c r="E292" s="82" t="n"/>
      <c r="F292" s="82" t="n"/>
      <c r="G292" s="82" t="n"/>
      <c r="H292" s="82" t="n"/>
      <c r="I292" s="83" t="n"/>
      <c r="J292" s="82" t="n"/>
      <c r="K292" s="84" t="n"/>
      <c r="L292" s="85" t="n"/>
      <c r="M292" s="82" t="n"/>
      <c r="N292" s="86" t="n"/>
      <c r="O292" s="81" t="n"/>
      <c r="P292" s="82" t="n"/>
      <c r="Q292" s="83" t="n"/>
      <c r="R292" s="82" t="n"/>
      <c r="S292" s="84" t="n"/>
      <c r="T292" s="84" t="n"/>
      <c r="U292" s="82" t="n"/>
      <c r="V292" s="86" t="n"/>
      <c r="W292" s="86" t="n"/>
      <c r="X292" s="86" t="n"/>
      <c r="Y292" s="81" t="n"/>
      <c r="Z292" s="82" t="n"/>
      <c r="AA292" s="81" t="n"/>
      <c r="AB292" s="82" t="n"/>
      <c r="AC292" s="87">
        <f>IF(OR($D292="",$M292="Rejected",$M292="Withdrawn",$M292="Accepted"),"",IF(ISNUMBER($O292),IF(INT($O292)&lt;TODAY(),"FOLLOW UP REQUIRED",IF(INT($O292)=TODAY(),"ACTION DUE TODAY",IF(INT($O292)-TODAY()&lt;=Set_DueSoonDays,"DUE SOON",""))),IF(AND($M292="Applied",$AA292=""),IF(ISNUMBER($C292),IF(TODAY()-$C292&gt;=Set_FollowUpDays,"NO RESPONSE",""),""),"")))</f>
        <v/>
      </c>
      <c r="AD292" s="87">
        <f>IF(ISNUMBER($L292),IF($L292&gt;=90,"Excellent Match",IF($L292&gt;=75,"Strong Match",IF($L292&gt;=60,"Moderate Match","Low Match"))),"")</f>
        <v/>
      </c>
      <c r="AE292" s="87">
        <f>IF($D292="","",IF(OR($M292="Rejected",$M292="Withdrawn"),IF($AB292&lt;&gt;"",$AB292,IF(OR($M292="Rejected",ISNUMBER($C292)),"Applied","Wishlist")),IF($M292="",IF(ISNUMBER($C292),"Applied","Wishlist"),$M292)))</f>
        <v/>
      </c>
      <c r="AF292" s="88">
        <f>IF(AND(ISNUMBER($C292),ISNUMBER($AA292)),$AA292-$C292,"")</f>
        <v/>
      </c>
      <c r="AG292" s="87">
        <f>IF($AE292="","",IFERROR(MATCH($AE292,{"Wishlist","Applied","Screening","Interview 1","Interview 2","Final","Offer","Accepted"},0)-1,""))</f>
        <v/>
      </c>
      <c r="AH292" s="87">
        <f>IF($AC292="","",MATCH($AC292,{"FOLLOW UP REQUIRED","ACTION DUE TODAY","NO RESPONSE","DUE SOON"},0)*100000+IF(ISNUMBER($O292),$O292,IF(ISNUMBER($C292),$C292,0))+ROW()/10000)</f>
        <v/>
      </c>
      <c r="AI292" s="87">
        <f>IF(AND(ISNUMBER($AG292),$AG292&gt;=1,$AG292&lt;=6,$M292&lt;&gt;"Rejected",$M292&lt;&gt;"Withdrawn"),(10-$AG292)*100000+IF(ISNUMBER($C292),$C292,0)+ROW()/10000,"")</f>
        <v/>
      </c>
    </row>
    <row r="293">
      <c r="A293" s="80" t="n"/>
      <c r="B293" s="81" t="n"/>
      <c r="C293" s="81" t="n"/>
      <c r="D293" s="82" t="n"/>
      <c r="E293" s="82" t="n"/>
      <c r="F293" s="82" t="n"/>
      <c r="G293" s="82" t="n"/>
      <c r="H293" s="82" t="n"/>
      <c r="I293" s="83" t="n"/>
      <c r="J293" s="82" t="n"/>
      <c r="K293" s="84" t="n"/>
      <c r="L293" s="85" t="n"/>
      <c r="M293" s="82" t="n"/>
      <c r="N293" s="86" t="n"/>
      <c r="O293" s="81" t="n"/>
      <c r="P293" s="82" t="n"/>
      <c r="Q293" s="83" t="n"/>
      <c r="R293" s="82" t="n"/>
      <c r="S293" s="84" t="n"/>
      <c r="T293" s="84" t="n"/>
      <c r="U293" s="82" t="n"/>
      <c r="V293" s="86" t="n"/>
      <c r="W293" s="86" t="n"/>
      <c r="X293" s="86" t="n"/>
      <c r="Y293" s="81" t="n"/>
      <c r="Z293" s="82" t="n"/>
      <c r="AA293" s="81" t="n"/>
      <c r="AB293" s="82" t="n"/>
      <c r="AC293" s="87">
        <f>IF(OR($D293="",$M293="Rejected",$M293="Withdrawn",$M293="Accepted"),"",IF(ISNUMBER($O293),IF(INT($O293)&lt;TODAY(),"FOLLOW UP REQUIRED",IF(INT($O293)=TODAY(),"ACTION DUE TODAY",IF(INT($O293)-TODAY()&lt;=Set_DueSoonDays,"DUE SOON",""))),IF(AND($M293="Applied",$AA293=""),IF(ISNUMBER($C293),IF(TODAY()-$C293&gt;=Set_FollowUpDays,"NO RESPONSE",""),""),"")))</f>
        <v/>
      </c>
      <c r="AD293" s="87">
        <f>IF(ISNUMBER($L293),IF($L293&gt;=90,"Excellent Match",IF($L293&gt;=75,"Strong Match",IF($L293&gt;=60,"Moderate Match","Low Match"))),"")</f>
        <v/>
      </c>
      <c r="AE293" s="87">
        <f>IF($D293="","",IF(OR($M293="Rejected",$M293="Withdrawn"),IF($AB293&lt;&gt;"",$AB293,IF(OR($M293="Rejected",ISNUMBER($C293)),"Applied","Wishlist")),IF($M293="",IF(ISNUMBER($C293),"Applied","Wishlist"),$M293)))</f>
        <v/>
      </c>
      <c r="AF293" s="88">
        <f>IF(AND(ISNUMBER($C293),ISNUMBER($AA293)),$AA293-$C293,"")</f>
        <v/>
      </c>
      <c r="AG293" s="87">
        <f>IF($AE293="","",IFERROR(MATCH($AE293,{"Wishlist","Applied","Screening","Interview 1","Interview 2","Final","Offer","Accepted"},0)-1,""))</f>
        <v/>
      </c>
      <c r="AH293" s="87">
        <f>IF($AC293="","",MATCH($AC293,{"FOLLOW UP REQUIRED","ACTION DUE TODAY","NO RESPONSE","DUE SOON"},0)*100000+IF(ISNUMBER($O293),$O293,IF(ISNUMBER($C293),$C293,0))+ROW()/10000)</f>
        <v/>
      </c>
      <c r="AI293" s="87">
        <f>IF(AND(ISNUMBER($AG293),$AG293&gt;=1,$AG293&lt;=6,$M293&lt;&gt;"Rejected",$M293&lt;&gt;"Withdrawn"),(10-$AG293)*100000+IF(ISNUMBER($C293),$C293,0)+ROW()/10000,"")</f>
        <v/>
      </c>
    </row>
    <row r="294">
      <c r="A294" s="80" t="n"/>
      <c r="B294" s="81" t="n"/>
      <c r="C294" s="81" t="n"/>
      <c r="D294" s="82" t="n"/>
      <c r="E294" s="82" t="n"/>
      <c r="F294" s="82" t="n"/>
      <c r="G294" s="82" t="n"/>
      <c r="H294" s="82" t="n"/>
      <c r="I294" s="83" t="n"/>
      <c r="J294" s="82" t="n"/>
      <c r="K294" s="84" t="n"/>
      <c r="L294" s="85" t="n"/>
      <c r="M294" s="82" t="n"/>
      <c r="N294" s="86" t="n"/>
      <c r="O294" s="81" t="n"/>
      <c r="P294" s="82" t="n"/>
      <c r="Q294" s="83" t="n"/>
      <c r="R294" s="82" t="n"/>
      <c r="S294" s="84" t="n"/>
      <c r="T294" s="84" t="n"/>
      <c r="U294" s="82" t="n"/>
      <c r="V294" s="86" t="n"/>
      <c r="W294" s="86" t="n"/>
      <c r="X294" s="86" t="n"/>
      <c r="Y294" s="81" t="n"/>
      <c r="Z294" s="82" t="n"/>
      <c r="AA294" s="81" t="n"/>
      <c r="AB294" s="82" t="n"/>
      <c r="AC294" s="87">
        <f>IF(OR($D294="",$M294="Rejected",$M294="Withdrawn",$M294="Accepted"),"",IF(ISNUMBER($O294),IF(INT($O294)&lt;TODAY(),"FOLLOW UP REQUIRED",IF(INT($O294)=TODAY(),"ACTION DUE TODAY",IF(INT($O294)-TODAY()&lt;=Set_DueSoonDays,"DUE SOON",""))),IF(AND($M294="Applied",$AA294=""),IF(ISNUMBER($C294),IF(TODAY()-$C294&gt;=Set_FollowUpDays,"NO RESPONSE",""),""),"")))</f>
        <v/>
      </c>
      <c r="AD294" s="87">
        <f>IF(ISNUMBER($L294),IF($L294&gt;=90,"Excellent Match",IF($L294&gt;=75,"Strong Match",IF($L294&gt;=60,"Moderate Match","Low Match"))),"")</f>
        <v/>
      </c>
      <c r="AE294" s="87">
        <f>IF($D294="","",IF(OR($M294="Rejected",$M294="Withdrawn"),IF($AB294&lt;&gt;"",$AB294,IF(OR($M294="Rejected",ISNUMBER($C294)),"Applied","Wishlist")),IF($M294="",IF(ISNUMBER($C294),"Applied","Wishlist"),$M294)))</f>
        <v/>
      </c>
      <c r="AF294" s="88">
        <f>IF(AND(ISNUMBER($C294),ISNUMBER($AA294)),$AA294-$C294,"")</f>
        <v/>
      </c>
      <c r="AG294" s="87">
        <f>IF($AE294="","",IFERROR(MATCH($AE294,{"Wishlist","Applied","Screening","Interview 1","Interview 2","Final","Offer","Accepted"},0)-1,""))</f>
        <v/>
      </c>
      <c r="AH294" s="87">
        <f>IF($AC294="","",MATCH($AC294,{"FOLLOW UP REQUIRED","ACTION DUE TODAY","NO RESPONSE","DUE SOON"},0)*100000+IF(ISNUMBER($O294),$O294,IF(ISNUMBER($C294),$C294,0))+ROW()/10000)</f>
        <v/>
      </c>
      <c r="AI294" s="87">
        <f>IF(AND(ISNUMBER($AG294),$AG294&gt;=1,$AG294&lt;=6,$M294&lt;&gt;"Rejected",$M294&lt;&gt;"Withdrawn"),(10-$AG294)*100000+IF(ISNUMBER($C294),$C294,0)+ROW()/10000,"")</f>
        <v/>
      </c>
    </row>
    <row r="295">
      <c r="A295" s="80" t="n"/>
      <c r="B295" s="81" t="n"/>
      <c r="C295" s="81" t="n"/>
      <c r="D295" s="82" t="n"/>
      <c r="E295" s="82" t="n"/>
      <c r="F295" s="82" t="n"/>
      <c r="G295" s="82" t="n"/>
      <c r="H295" s="82" t="n"/>
      <c r="I295" s="83" t="n"/>
      <c r="J295" s="82" t="n"/>
      <c r="K295" s="84" t="n"/>
      <c r="L295" s="85" t="n"/>
      <c r="M295" s="82" t="n"/>
      <c r="N295" s="86" t="n"/>
      <c r="O295" s="81" t="n"/>
      <c r="P295" s="82" t="n"/>
      <c r="Q295" s="83" t="n"/>
      <c r="R295" s="82" t="n"/>
      <c r="S295" s="84" t="n"/>
      <c r="T295" s="84" t="n"/>
      <c r="U295" s="82" t="n"/>
      <c r="V295" s="86" t="n"/>
      <c r="W295" s="86" t="n"/>
      <c r="X295" s="86" t="n"/>
      <c r="Y295" s="81" t="n"/>
      <c r="Z295" s="82" t="n"/>
      <c r="AA295" s="81" t="n"/>
      <c r="AB295" s="82" t="n"/>
      <c r="AC295" s="87">
        <f>IF(OR($D295="",$M295="Rejected",$M295="Withdrawn",$M295="Accepted"),"",IF(ISNUMBER($O295),IF(INT($O295)&lt;TODAY(),"FOLLOW UP REQUIRED",IF(INT($O295)=TODAY(),"ACTION DUE TODAY",IF(INT($O295)-TODAY()&lt;=Set_DueSoonDays,"DUE SOON",""))),IF(AND($M295="Applied",$AA295=""),IF(ISNUMBER($C295),IF(TODAY()-$C295&gt;=Set_FollowUpDays,"NO RESPONSE",""),""),"")))</f>
        <v/>
      </c>
      <c r="AD295" s="87">
        <f>IF(ISNUMBER($L295),IF($L295&gt;=90,"Excellent Match",IF($L295&gt;=75,"Strong Match",IF($L295&gt;=60,"Moderate Match","Low Match"))),"")</f>
        <v/>
      </c>
      <c r="AE295" s="87">
        <f>IF($D295="","",IF(OR($M295="Rejected",$M295="Withdrawn"),IF($AB295&lt;&gt;"",$AB295,IF(OR($M295="Rejected",ISNUMBER($C295)),"Applied","Wishlist")),IF($M295="",IF(ISNUMBER($C295),"Applied","Wishlist"),$M295)))</f>
        <v/>
      </c>
      <c r="AF295" s="88">
        <f>IF(AND(ISNUMBER($C295),ISNUMBER($AA295)),$AA295-$C295,"")</f>
        <v/>
      </c>
      <c r="AG295" s="87">
        <f>IF($AE295="","",IFERROR(MATCH($AE295,{"Wishlist","Applied","Screening","Interview 1","Interview 2","Final","Offer","Accepted"},0)-1,""))</f>
        <v/>
      </c>
      <c r="AH295" s="87">
        <f>IF($AC295="","",MATCH($AC295,{"FOLLOW UP REQUIRED","ACTION DUE TODAY","NO RESPONSE","DUE SOON"},0)*100000+IF(ISNUMBER($O295),$O295,IF(ISNUMBER($C295),$C295,0))+ROW()/10000)</f>
        <v/>
      </c>
      <c r="AI295" s="87">
        <f>IF(AND(ISNUMBER($AG295),$AG295&gt;=1,$AG295&lt;=6,$M295&lt;&gt;"Rejected",$M295&lt;&gt;"Withdrawn"),(10-$AG295)*100000+IF(ISNUMBER($C295),$C295,0)+ROW()/10000,"")</f>
        <v/>
      </c>
    </row>
    <row r="296">
      <c r="A296" s="80" t="n"/>
      <c r="B296" s="81" t="n"/>
      <c r="C296" s="81" t="n"/>
      <c r="D296" s="82" t="n"/>
      <c r="E296" s="82" t="n"/>
      <c r="F296" s="82" t="n"/>
      <c r="G296" s="82" t="n"/>
      <c r="H296" s="82" t="n"/>
      <c r="I296" s="83" t="n"/>
      <c r="J296" s="82" t="n"/>
      <c r="K296" s="84" t="n"/>
      <c r="L296" s="85" t="n"/>
      <c r="M296" s="82" t="n"/>
      <c r="N296" s="86" t="n"/>
      <c r="O296" s="81" t="n"/>
      <c r="P296" s="82" t="n"/>
      <c r="Q296" s="83" t="n"/>
      <c r="R296" s="82" t="n"/>
      <c r="S296" s="84" t="n"/>
      <c r="T296" s="84" t="n"/>
      <c r="U296" s="82" t="n"/>
      <c r="V296" s="86" t="n"/>
      <c r="W296" s="86" t="n"/>
      <c r="X296" s="86" t="n"/>
      <c r="Y296" s="81" t="n"/>
      <c r="Z296" s="82" t="n"/>
      <c r="AA296" s="81" t="n"/>
      <c r="AB296" s="82" t="n"/>
      <c r="AC296" s="87">
        <f>IF(OR($D296="",$M296="Rejected",$M296="Withdrawn",$M296="Accepted"),"",IF(ISNUMBER($O296),IF(INT($O296)&lt;TODAY(),"FOLLOW UP REQUIRED",IF(INT($O296)=TODAY(),"ACTION DUE TODAY",IF(INT($O296)-TODAY()&lt;=Set_DueSoonDays,"DUE SOON",""))),IF(AND($M296="Applied",$AA296=""),IF(ISNUMBER($C296),IF(TODAY()-$C296&gt;=Set_FollowUpDays,"NO RESPONSE",""),""),"")))</f>
        <v/>
      </c>
      <c r="AD296" s="87">
        <f>IF(ISNUMBER($L296),IF($L296&gt;=90,"Excellent Match",IF($L296&gt;=75,"Strong Match",IF($L296&gt;=60,"Moderate Match","Low Match"))),"")</f>
        <v/>
      </c>
      <c r="AE296" s="87">
        <f>IF($D296="","",IF(OR($M296="Rejected",$M296="Withdrawn"),IF($AB296&lt;&gt;"",$AB296,IF(OR($M296="Rejected",ISNUMBER($C296)),"Applied","Wishlist")),IF($M296="",IF(ISNUMBER($C296),"Applied","Wishlist"),$M296)))</f>
        <v/>
      </c>
      <c r="AF296" s="88">
        <f>IF(AND(ISNUMBER($C296),ISNUMBER($AA296)),$AA296-$C296,"")</f>
        <v/>
      </c>
      <c r="AG296" s="87">
        <f>IF($AE296="","",IFERROR(MATCH($AE296,{"Wishlist","Applied","Screening","Interview 1","Interview 2","Final","Offer","Accepted"},0)-1,""))</f>
        <v/>
      </c>
      <c r="AH296" s="87">
        <f>IF($AC296="","",MATCH($AC296,{"FOLLOW UP REQUIRED","ACTION DUE TODAY","NO RESPONSE","DUE SOON"},0)*100000+IF(ISNUMBER($O296),$O296,IF(ISNUMBER($C296),$C296,0))+ROW()/10000)</f>
        <v/>
      </c>
      <c r="AI296" s="87">
        <f>IF(AND(ISNUMBER($AG296),$AG296&gt;=1,$AG296&lt;=6,$M296&lt;&gt;"Rejected",$M296&lt;&gt;"Withdrawn"),(10-$AG296)*100000+IF(ISNUMBER($C296),$C296,0)+ROW()/10000,"")</f>
        <v/>
      </c>
    </row>
    <row r="297">
      <c r="A297" s="80" t="n"/>
      <c r="B297" s="81" t="n"/>
      <c r="C297" s="81" t="n"/>
      <c r="D297" s="82" t="n"/>
      <c r="E297" s="82" t="n"/>
      <c r="F297" s="82" t="n"/>
      <c r="G297" s="82" t="n"/>
      <c r="H297" s="82" t="n"/>
      <c r="I297" s="83" t="n"/>
      <c r="J297" s="82" t="n"/>
      <c r="K297" s="84" t="n"/>
      <c r="L297" s="85" t="n"/>
      <c r="M297" s="82" t="n"/>
      <c r="N297" s="86" t="n"/>
      <c r="O297" s="81" t="n"/>
      <c r="P297" s="82" t="n"/>
      <c r="Q297" s="83" t="n"/>
      <c r="R297" s="82" t="n"/>
      <c r="S297" s="84" t="n"/>
      <c r="T297" s="84" t="n"/>
      <c r="U297" s="82" t="n"/>
      <c r="V297" s="86" t="n"/>
      <c r="W297" s="86" t="n"/>
      <c r="X297" s="86" t="n"/>
      <c r="Y297" s="81" t="n"/>
      <c r="Z297" s="82" t="n"/>
      <c r="AA297" s="81" t="n"/>
      <c r="AB297" s="82" t="n"/>
      <c r="AC297" s="87">
        <f>IF(OR($D297="",$M297="Rejected",$M297="Withdrawn",$M297="Accepted"),"",IF(ISNUMBER($O297),IF(INT($O297)&lt;TODAY(),"FOLLOW UP REQUIRED",IF(INT($O297)=TODAY(),"ACTION DUE TODAY",IF(INT($O297)-TODAY()&lt;=Set_DueSoonDays,"DUE SOON",""))),IF(AND($M297="Applied",$AA297=""),IF(ISNUMBER($C297),IF(TODAY()-$C297&gt;=Set_FollowUpDays,"NO RESPONSE",""),""),"")))</f>
        <v/>
      </c>
      <c r="AD297" s="87">
        <f>IF(ISNUMBER($L297),IF($L297&gt;=90,"Excellent Match",IF($L297&gt;=75,"Strong Match",IF($L297&gt;=60,"Moderate Match","Low Match"))),"")</f>
        <v/>
      </c>
      <c r="AE297" s="87">
        <f>IF($D297="","",IF(OR($M297="Rejected",$M297="Withdrawn"),IF($AB297&lt;&gt;"",$AB297,IF(OR($M297="Rejected",ISNUMBER($C297)),"Applied","Wishlist")),IF($M297="",IF(ISNUMBER($C297),"Applied","Wishlist"),$M297)))</f>
        <v/>
      </c>
      <c r="AF297" s="88">
        <f>IF(AND(ISNUMBER($C297),ISNUMBER($AA297)),$AA297-$C297,"")</f>
        <v/>
      </c>
      <c r="AG297" s="87">
        <f>IF($AE297="","",IFERROR(MATCH($AE297,{"Wishlist","Applied","Screening","Interview 1","Interview 2","Final","Offer","Accepted"},0)-1,""))</f>
        <v/>
      </c>
      <c r="AH297" s="87">
        <f>IF($AC297="","",MATCH($AC297,{"FOLLOW UP REQUIRED","ACTION DUE TODAY","NO RESPONSE","DUE SOON"},0)*100000+IF(ISNUMBER($O297),$O297,IF(ISNUMBER($C297),$C297,0))+ROW()/10000)</f>
        <v/>
      </c>
      <c r="AI297" s="87">
        <f>IF(AND(ISNUMBER($AG297),$AG297&gt;=1,$AG297&lt;=6,$M297&lt;&gt;"Rejected",$M297&lt;&gt;"Withdrawn"),(10-$AG297)*100000+IF(ISNUMBER($C297),$C297,0)+ROW()/10000,"")</f>
        <v/>
      </c>
    </row>
    <row r="298">
      <c r="A298" s="80" t="n"/>
      <c r="B298" s="81" t="n"/>
      <c r="C298" s="81" t="n"/>
      <c r="D298" s="82" t="n"/>
      <c r="E298" s="82" t="n"/>
      <c r="F298" s="82" t="n"/>
      <c r="G298" s="82" t="n"/>
      <c r="H298" s="82" t="n"/>
      <c r="I298" s="83" t="n"/>
      <c r="J298" s="82" t="n"/>
      <c r="K298" s="84" t="n"/>
      <c r="L298" s="85" t="n"/>
      <c r="M298" s="82" t="n"/>
      <c r="N298" s="86" t="n"/>
      <c r="O298" s="81" t="n"/>
      <c r="P298" s="82" t="n"/>
      <c r="Q298" s="83" t="n"/>
      <c r="R298" s="82" t="n"/>
      <c r="S298" s="84" t="n"/>
      <c r="T298" s="84" t="n"/>
      <c r="U298" s="82" t="n"/>
      <c r="V298" s="86" t="n"/>
      <c r="W298" s="86" t="n"/>
      <c r="X298" s="86" t="n"/>
      <c r="Y298" s="81" t="n"/>
      <c r="Z298" s="82" t="n"/>
      <c r="AA298" s="81" t="n"/>
      <c r="AB298" s="82" t="n"/>
      <c r="AC298" s="87">
        <f>IF(OR($D298="",$M298="Rejected",$M298="Withdrawn",$M298="Accepted"),"",IF(ISNUMBER($O298),IF(INT($O298)&lt;TODAY(),"FOLLOW UP REQUIRED",IF(INT($O298)=TODAY(),"ACTION DUE TODAY",IF(INT($O298)-TODAY()&lt;=Set_DueSoonDays,"DUE SOON",""))),IF(AND($M298="Applied",$AA298=""),IF(ISNUMBER($C298),IF(TODAY()-$C298&gt;=Set_FollowUpDays,"NO RESPONSE",""),""),"")))</f>
        <v/>
      </c>
      <c r="AD298" s="87">
        <f>IF(ISNUMBER($L298),IF($L298&gt;=90,"Excellent Match",IF($L298&gt;=75,"Strong Match",IF($L298&gt;=60,"Moderate Match","Low Match"))),"")</f>
        <v/>
      </c>
      <c r="AE298" s="87">
        <f>IF($D298="","",IF(OR($M298="Rejected",$M298="Withdrawn"),IF($AB298&lt;&gt;"",$AB298,IF(OR($M298="Rejected",ISNUMBER($C298)),"Applied","Wishlist")),IF($M298="",IF(ISNUMBER($C298),"Applied","Wishlist"),$M298)))</f>
        <v/>
      </c>
      <c r="AF298" s="88">
        <f>IF(AND(ISNUMBER($C298),ISNUMBER($AA298)),$AA298-$C298,"")</f>
        <v/>
      </c>
      <c r="AG298" s="87">
        <f>IF($AE298="","",IFERROR(MATCH($AE298,{"Wishlist","Applied","Screening","Interview 1","Interview 2","Final","Offer","Accepted"},0)-1,""))</f>
        <v/>
      </c>
      <c r="AH298" s="87">
        <f>IF($AC298="","",MATCH($AC298,{"FOLLOW UP REQUIRED","ACTION DUE TODAY","NO RESPONSE","DUE SOON"},0)*100000+IF(ISNUMBER($O298),$O298,IF(ISNUMBER($C298),$C298,0))+ROW()/10000)</f>
        <v/>
      </c>
      <c r="AI298" s="87">
        <f>IF(AND(ISNUMBER($AG298),$AG298&gt;=1,$AG298&lt;=6,$M298&lt;&gt;"Rejected",$M298&lt;&gt;"Withdrawn"),(10-$AG298)*100000+IF(ISNUMBER($C298),$C298,0)+ROW()/10000,"")</f>
        <v/>
      </c>
    </row>
    <row r="299">
      <c r="A299" s="80" t="n"/>
      <c r="B299" s="81" t="n"/>
      <c r="C299" s="81" t="n"/>
      <c r="D299" s="82" t="n"/>
      <c r="E299" s="82" t="n"/>
      <c r="F299" s="82" t="n"/>
      <c r="G299" s="82" t="n"/>
      <c r="H299" s="82" t="n"/>
      <c r="I299" s="83" t="n"/>
      <c r="J299" s="82" t="n"/>
      <c r="K299" s="84" t="n"/>
      <c r="L299" s="85" t="n"/>
      <c r="M299" s="82" t="n"/>
      <c r="N299" s="86" t="n"/>
      <c r="O299" s="81" t="n"/>
      <c r="P299" s="82" t="n"/>
      <c r="Q299" s="83" t="n"/>
      <c r="R299" s="82" t="n"/>
      <c r="S299" s="84" t="n"/>
      <c r="T299" s="84" t="n"/>
      <c r="U299" s="82" t="n"/>
      <c r="V299" s="86" t="n"/>
      <c r="W299" s="86" t="n"/>
      <c r="X299" s="86" t="n"/>
      <c r="Y299" s="81" t="n"/>
      <c r="Z299" s="82" t="n"/>
      <c r="AA299" s="81" t="n"/>
      <c r="AB299" s="82" t="n"/>
      <c r="AC299" s="87">
        <f>IF(OR($D299="",$M299="Rejected",$M299="Withdrawn",$M299="Accepted"),"",IF(ISNUMBER($O299),IF(INT($O299)&lt;TODAY(),"FOLLOW UP REQUIRED",IF(INT($O299)=TODAY(),"ACTION DUE TODAY",IF(INT($O299)-TODAY()&lt;=Set_DueSoonDays,"DUE SOON",""))),IF(AND($M299="Applied",$AA299=""),IF(ISNUMBER($C299),IF(TODAY()-$C299&gt;=Set_FollowUpDays,"NO RESPONSE",""),""),"")))</f>
        <v/>
      </c>
      <c r="AD299" s="87">
        <f>IF(ISNUMBER($L299),IF($L299&gt;=90,"Excellent Match",IF($L299&gt;=75,"Strong Match",IF($L299&gt;=60,"Moderate Match","Low Match"))),"")</f>
        <v/>
      </c>
      <c r="AE299" s="87">
        <f>IF($D299="","",IF(OR($M299="Rejected",$M299="Withdrawn"),IF($AB299&lt;&gt;"",$AB299,IF(OR($M299="Rejected",ISNUMBER($C299)),"Applied","Wishlist")),IF($M299="",IF(ISNUMBER($C299),"Applied","Wishlist"),$M299)))</f>
        <v/>
      </c>
      <c r="AF299" s="88">
        <f>IF(AND(ISNUMBER($C299),ISNUMBER($AA299)),$AA299-$C299,"")</f>
        <v/>
      </c>
      <c r="AG299" s="87">
        <f>IF($AE299="","",IFERROR(MATCH($AE299,{"Wishlist","Applied","Screening","Interview 1","Interview 2","Final","Offer","Accepted"},0)-1,""))</f>
        <v/>
      </c>
      <c r="AH299" s="87">
        <f>IF($AC299="","",MATCH($AC299,{"FOLLOW UP REQUIRED","ACTION DUE TODAY","NO RESPONSE","DUE SOON"},0)*100000+IF(ISNUMBER($O299),$O299,IF(ISNUMBER($C299),$C299,0))+ROW()/10000)</f>
        <v/>
      </c>
      <c r="AI299" s="87">
        <f>IF(AND(ISNUMBER($AG299),$AG299&gt;=1,$AG299&lt;=6,$M299&lt;&gt;"Rejected",$M299&lt;&gt;"Withdrawn"),(10-$AG299)*100000+IF(ISNUMBER($C299),$C299,0)+ROW()/10000,"")</f>
        <v/>
      </c>
    </row>
    <row r="300">
      <c r="A300" s="80" t="n"/>
      <c r="B300" s="81" t="n"/>
      <c r="C300" s="81" t="n"/>
      <c r="D300" s="82" t="n"/>
      <c r="E300" s="82" t="n"/>
      <c r="F300" s="82" t="n"/>
      <c r="G300" s="82" t="n"/>
      <c r="H300" s="82" t="n"/>
      <c r="I300" s="83" t="n"/>
      <c r="J300" s="82" t="n"/>
      <c r="K300" s="84" t="n"/>
      <c r="L300" s="85" t="n"/>
      <c r="M300" s="82" t="n"/>
      <c r="N300" s="86" t="n"/>
      <c r="O300" s="81" t="n"/>
      <c r="P300" s="82" t="n"/>
      <c r="Q300" s="83" t="n"/>
      <c r="R300" s="82" t="n"/>
      <c r="S300" s="84" t="n"/>
      <c r="T300" s="84" t="n"/>
      <c r="U300" s="82" t="n"/>
      <c r="V300" s="86" t="n"/>
      <c r="W300" s="86" t="n"/>
      <c r="X300" s="86" t="n"/>
      <c r="Y300" s="81" t="n"/>
      <c r="Z300" s="82" t="n"/>
      <c r="AA300" s="81" t="n"/>
      <c r="AB300" s="82" t="n"/>
      <c r="AC300" s="87">
        <f>IF(OR($D300="",$M300="Rejected",$M300="Withdrawn",$M300="Accepted"),"",IF(ISNUMBER($O300),IF(INT($O300)&lt;TODAY(),"FOLLOW UP REQUIRED",IF(INT($O300)=TODAY(),"ACTION DUE TODAY",IF(INT($O300)-TODAY()&lt;=Set_DueSoonDays,"DUE SOON",""))),IF(AND($M300="Applied",$AA300=""),IF(ISNUMBER($C300),IF(TODAY()-$C300&gt;=Set_FollowUpDays,"NO RESPONSE",""),""),"")))</f>
        <v/>
      </c>
      <c r="AD300" s="87">
        <f>IF(ISNUMBER($L300),IF($L300&gt;=90,"Excellent Match",IF($L300&gt;=75,"Strong Match",IF($L300&gt;=60,"Moderate Match","Low Match"))),"")</f>
        <v/>
      </c>
      <c r="AE300" s="87">
        <f>IF($D300="","",IF(OR($M300="Rejected",$M300="Withdrawn"),IF($AB300&lt;&gt;"",$AB300,IF(OR($M300="Rejected",ISNUMBER($C300)),"Applied","Wishlist")),IF($M300="",IF(ISNUMBER($C300),"Applied","Wishlist"),$M300)))</f>
        <v/>
      </c>
      <c r="AF300" s="88">
        <f>IF(AND(ISNUMBER($C300),ISNUMBER($AA300)),$AA300-$C300,"")</f>
        <v/>
      </c>
      <c r="AG300" s="87">
        <f>IF($AE300="","",IFERROR(MATCH($AE300,{"Wishlist","Applied","Screening","Interview 1","Interview 2","Final","Offer","Accepted"},0)-1,""))</f>
        <v/>
      </c>
      <c r="AH300" s="87">
        <f>IF($AC300="","",MATCH($AC300,{"FOLLOW UP REQUIRED","ACTION DUE TODAY","NO RESPONSE","DUE SOON"},0)*100000+IF(ISNUMBER($O300),$O300,IF(ISNUMBER($C300),$C300,0))+ROW()/10000)</f>
        <v/>
      </c>
      <c r="AI300" s="87">
        <f>IF(AND(ISNUMBER($AG300),$AG300&gt;=1,$AG300&lt;=6,$M300&lt;&gt;"Rejected",$M300&lt;&gt;"Withdrawn"),(10-$AG300)*100000+IF(ISNUMBER($C300),$C300,0)+ROW()/10000,"")</f>
        <v/>
      </c>
    </row>
    <row r="301">
      <c r="A301" s="80" t="n"/>
      <c r="B301" s="81" t="n"/>
      <c r="C301" s="81" t="n"/>
      <c r="D301" s="82" t="n"/>
      <c r="E301" s="82" t="n"/>
      <c r="F301" s="82" t="n"/>
      <c r="G301" s="82" t="n"/>
      <c r="H301" s="82" t="n"/>
      <c r="I301" s="83" t="n"/>
      <c r="J301" s="82" t="n"/>
      <c r="K301" s="84" t="n"/>
      <c r="L301" s="85" t="n"/>
      <c r="M301" s="82" t="n"/>
      <c r="N301" s="86" t="n"/>
      <c r="O301" s="81" t="n"/>
      <c r="P301" s="82" t="n"/>
      <c r="Q301" s="83" t="n"/>
      <c r="R301" s="82" t="n"/>
      <c r="S301" s="84" t="n"/>
      <c r="T301" s="84" t="n"/>
      <c r="U301" s="82" t="n"/>
      <c r="V301" s="86" t="n"/>
      <c r="W301" s="86" t="n"/>
      <c r="X301" s="86" t="n"/>
      <c r="Y301" s="81" t="n"/>
      <c r="Z301" s="82" t="n"/>
      <c r="AA301" s="81" t="n"/>
      <c r="AB301" s="82" t="n"/>
      <c r="AC301" s="87">
        <f>IF(OR($D301="",$M301="Rejected",$M301="Withdrawn",$M301="Accepted"),"",IF(ISNUMBER($O301),IF(INT($O301)&lt;TODAY(),"FOLLOW UP REQUIRED",IF(INT($O301)=TODAY(),"ACTION DUE TODAY",IF(INT($O301)-TODAY()&lt;=Set_DueSoonDays,"DUE SOON",""))),IF(AND($M301="Applied",$AA301=""),IF(ISNUMBER($C301),IF(TODAY()-$C301&gt;=Set_FollowUpDays,"NO RESPONSE",""),""),"")))</f>
        <v/>
      </c>
      <c r="AD301" s="87">
        <f>IF(ISNUMBER($L301),IF($L301&gt;=90,"Excellent Match",IF($L301&gt;=75,"Strong Match",IF($L301&gt;=60,"Moderate Match","Low Match"))),"")</f>
        <v/>
      </c>
      <c r="AE301" s="87">
        <f>IF($D301="","",IF(OR($M301="Rejected",$M301="Withdrawn"),IF($AB301&lt;&gt;"",$AB301,IF(OR($M301="Rejected",ISNUMBER($C301)),"Applied","Wishlist")),IF($M301="",IF(ISNUMBER($C301),"Applied","Wishlist"),$M301)))</f>
        <v/>
      </c>
      <c r="AF301" s="88">
        <f>IF(AND(ISNUMBER($C301),ISNUMBER($AA301)),$AA301-$C301,"")</f>
        <v/>
      </c>
      <c r="AG301" s="87">
        <f>IF($AE301="","",IFERROR(MATCH($AE301,{"Wishlist","Applied","Screening","Interview 1","Interview 2","Final","Offer","Accepted"},0)-1,""))</f>
        <v/>
      </c>
      <c r="AH301" s="87">
        <f>IF($AC301="","",MATCH($AC301,{"FOLLOW UP REQUIRED","ACTION DUE TODAY","NO RESPONSE","DUE SOON"},0)*100000+IF(ISNUMBER($O301),$O301,IF(ISNUMBER($C301),$C301,0))+ROW()/10000)</f>
        <v/>
      </c>
      <c r="AI301" s="87">
        <f>IF(AND(ISNUMBER($AG301),$AG301&gt;=1,$AG301&lt;=6,$M301&lt;&gt;"Rejected",$M301&lt;&gt;"Withdrawn"),(10-$AG301)*100000+IF(ISNUMBER($C301),$C301,0)+ROW()/10000,"")</f>
        <v/>
      </c>
    </row>
    <row r="302">
      <c r="A302" s="80" t="n"/>
      <c r="B302" s="81" t="n"/>
      <c r="C302" s="81" t="n"/>
      <c r="D302" s="82" t="n"/>
      <c r="E302" s="82" t="n"/>
      <c r="F302" s="82" t="n"/>
      <c r="G302" s="82" t="n"/>
      <c r="H302" s="82" t="n"/>
      <c r="I302" s="83" t="n"/>
      <c r="J302" s="82" t="n"/>
      <c r="K302" s="84" t="n"/>
      <c r="L302" s="85" t="n"/>
      <c r="M302" s="82" t="n"/>
      <c r="N302" s="86" t="n"/>
      <c r="O302" s="81" t="n"/>
      <c r="P302" s="82" t="n"/>
      <c r="Q302" s="83" t="n"/>
      <c r="R302" s="82" t="n"/>
      <c r="S302" s="84" t="n"/>
      <c r="T302" s="84" t="n"/>
      <c r="U302" s="82" t="n"/>
      <c r="V302" s="86" t="n"/>
      <c r="W302" s="86" t="n"/>
      <c r="X302" s="86" t="n"/>
      <c r="Y302" s="81" t="n"/>
      <c r="Z302" s="82" t="n"/>
      <c r="AA302" s="81" t="n"/>
      <c r="AB302" s="82" t="n"/>
      <c r="AC302" s="87">
        <f>IF(OR($D302="",$M302="Rejected",$M302="Withdrawn",$M302="Accepted"),"",IF(ISNUMBER($O302),IF(INT($O302)&lt;TODAY(),"FOLLOW UP REQUIRED",IF(INT($O302)=TODAY(),"ACTION DUE TODAY",IF(INT($O302)-TODAY()&lt;=Set_DueSoonDays,"DUE SOON",""))),IF(AND($M302="Applied",$AA302=""),IF(ISNUMBER($C302),IF(TODAY()-$C302&gt;=Set_FollowUpDays,"NO RESPONSE",""),""),"")))</f>
        <v/>
      </c>
      <c r="AD302" s="87">
        <f>IF(ISNUMBER($L302),IF($L302&gt;=90,"Excellent Match",IF($L302&gt;=75,"Strong Match",IF($L302&gt;=60,"Moderate Match","Low Match"))),"")</f>
        <v/>
      </c>
      <c r="AE302" s="87">
        <f>IF($D302="","",IF(OR($M302="Rejected",$M302="Withdrawn"),IF($AB302&lt;&gt;"",$AB302,IF(OR($M302="Rejected",ISNUMBER($C302)),"Applied","Wishlist")),IF($M302="",IF(ISNUMBER($C302),"Applied","Wishlist"),$M302)))</f>
        <v/>
      </c>
      <c r="AF302" s="88">
        <f>IF(AND(ISNUMBER($C302),ISNUMBER($AA302)),$AA302-$C302,"")</f>
        <v/>
      </c>
      <c r="AG302" s="87">
        <f>IF($AE302="","",IFERROR(MATCH($AE302,{"Wishlist","Applied","Screening","Interview 1","Interview 2","Final","Offer","Accepted"},0)-1,""))</f>
        <v/>
      </c>
      <c r="AH302" s="87">
        <f>IF($AC302="","",MATCH($AC302,{"FOLLOW UP REQUIRED","ACTION DUE TODAY","NO RESPONSE","DUE SOON"},0)*100000+IF(ISNUMBER($O302),$O302,IF(ISNUMBER($C302),$C302,0))+ROW()/10000)</f>
        <v/>
      </c>
      <c r="AI302" s="87">
        <f>IF(AND(ISNUMBER($AG302),$AG302&gt;=1,$AG302&lt;=6,$M302&lt;&gt;"Rejected",$M302&lt;&gt;"Withdrawn"),(10-$AG302)*100000+IF(ISNUMBER($C302),$C302,0)+ROW()/10000,"")</f>
        <v/>
      </c>
    </row>
    <row r="303">
      <c r="A303" s="80" t="n"/>
      <c r="B303" s="81" t="n"/>
      <c r="C303" s="81" t="n"/>
      <c r="D303" s="82" t="n"/>
      <c r="E303" s="82" t="n"/>
      <c r="F303" s="82" t="n"/>
      <c r="G303" s="82" t="n"/>
      <c r="H303" s="82" t="n"/>
      <c r="I303" s="83" t="n"/>
      <c r="J303" s="82" t="n"/>
      <c r="K303" s="84" t="n"/>
      <c r="L303" s="85" t="n"/>
      <c r="M303" s="82" t="n"/>
      <c r="N303" s="86" t="n"/>
      <c r="O303" s="81" t="n"/>
      <c r="P303" s="82" t="n"/>
      <c r="Q303" s="83" t="n"/>
      <c r="R303" s="82" t="n"/>
      <c r="S303" s="84" t="n"/>
      <c r="T303" s="84" t="n"/>
      <c r="U303" s="82" t="n"/>
      <c r="V303" s="86" t="n"/>
      <c r="W303" s="86" t="n"/>
      <c r="X303" s="86" t="n"/>
      <c r="Y303" s="81" t="n"/>
      <c r="Z303" s="82" t="n"/>
      <c r="AA303" s="81" t="n"/>
      <c r="AB303" s="82" t="n"/>
      <c r="AC303" s="87">
        <f>IF(OR($D303="",$M303="Rejected",$M303="Withdrawn",$M303="Accepted"),"",IF(ISNUMBER($O303),IF(INT($O303)&lt;TODAY(),"FOLLOW UP REQUIRED",IF(INT($O303)=TODAY(),"ACTION DUE TODAY",IF(INT($O303)-TODAY()&lt;=Set_DueSoonDays,"DUE SOON",""))),IF(AND($M303="Applied",$AA303=""),IF(ISNUMBER($C303),IF(TODAY()-$C303&gt;=Set_FollowUpDays,"NO RESPONSE",""),""),"")))</f>
        <v/>
      </c>
      <c r="AD303" s="87">
        <f>IF(ISNUMBER($L303),IF($L303&gt;=90,"Excellent Match",IF($L303&gt;=75,"Strong Match",IF($L303&gt;=60,"Moderate Match","Low Match"))),"")</f>
        <v/>
      </c>
      <c r="AE303" s="87">
        <f>IF($D303="","",IF(OR($M303="Rejected",$M303="Withdrawn"),IF($AB303&lt;&gt;"",$AB303,IF(OR($M303="Rejected",ISNUMBER($C303)),"Applied","Wishlist")),IF($M303="",IF(ISNUMBER($C303),"Applied","Wishlist"),$M303)))</f>
        <v/>
      </c>
      <c r="AF303" s="88">
        <f>IF(AND(ISNUMBER($C303),ISNUMBER($AA303)),$AA303-$C303,"")</f>
        <v/>
      </c>
      <c r="AG303" s="87">
        <f>IF($AE303="","",IFERROR(MATCH($AE303,{"Wishlist","Applied","Screening","Interview 1","Interview 2","Final","Offer","Accepted"},0)-1,""))</f>
        <v/>
      </c>
      <c r="AH303" s="87">
        <f>IF($AC303="","",MATCH($AC303,{"FOLLOW UP REQUIRED","ACTION DUE TODAY","NO RESPONSE","DUE SOON"},0)*100000+IF(ISNUMBER($O303),$O303,IF(ISNUMBER($C303),$C303,0))+ROW()/10000)</f>
        <v/>
      </c>
      <c r="AI303" s="87">
        <f>IF(AND(ISNUMBER($AG303),$AG303&gt;=1,$AG303&lt;=6,$M303&lt;&gt;"Rejected",$M303&lt;&gt;"Withdrawn"),(10-$AG303)*100000+IF(ISNUMBER($C303),$C303,0)+ROW()/10000,"")</f>
        <v/>
      </c>
    </row>
    <row r="304">
      <c r="A304" s="80" t="n"/>
      <c r="B304" s="81" t="n"/>
      <c r="C304" s="81" t="n"/>
      <c r="D304" s="82" t="n"/>
      <c r="E304" s="82" t="n"/>
      <c r="F304" s="82" t="n"/>
      <c r="G304" s="82" t="n"/>
      <c r="H304" s="82" t="n"/>
      <c r="I304" s="83" t="n"/>
      <c r="J304" s="82" t="n"/>
      <c r="K304" s="84" t="n"/>
      <c r="L304" s="85" t="n"/>
      <c r="M304" s="82" t="n"/>
      <c r="N304" s="86" t="n"/>
      <c r="O304" s="81" t="n"/>
      <c r="P304" s="82" t="n"/>
      <c r="Q304" s="83" t="n"/>
      <c r="R304" s="82" t="n"/>
      <c r="S304" s="84" t="n"/>
      <c r="T304" s="84" t="n"/>
      <c r="U304" s="82" t="n"/>
      <c r="V304" s="86" t="n"/>
      <c r="W304" s="86" t="n"/>
      <c r="X304" s="86" t="n"/>
      <c r="Y304" s="81" t="n"/>
      <c r="Z304" s="82" t="n"/>
      <c r="AA304" s="81" t="n"/>
      <c r="AB304" s="82" t="n"/>
      <c r="AC304" s="87">
        <f>IF(OR($D304="",$M304="Rejected",$M304="Withdrawn",$M304="Accepted"),"",IF(ISNUMBER($O304),IF(INT($O304)&lt;TODAY(),"FOLLOW UP REQUIRED",IF(INT($O304)=TODAY(),"ACTION DUE TODAY",IF(INT($O304)-TODAY()&lt;=Set_DueSoonDays,"DUE SOON",""))),IF(AND($M304="Applied",$AA304=""),IF(ISNUMBER($C304),IF(TODAY()-$C304&gt;=Set_FollowUpDays,"NO RESPONSE",""),""),"")))</f>
        <v/>
      </c>
      <c r="AD304" s="87">
        <f>IF(ISNUMBER($L304),IF($L304&gt;=90,"Excellent Match",IF($L304&gt;=75,"Strong Match",IF($L304&gt;=60,"Moderate Match","Low Match"))),"")</f>
        <v/>
      </c>
      <c r="AE304" s="87">
        <f>IF($D304="","",IF(OR($M304="Rejected",$M304="Withdrawn"),IF($AB304&lt;&gt;"",$AB304,IF(OR($M304="Rejected",ISNUMBER($C304)),"Applied","Wishlist")),IF($M304="",IF(ISNUMBER($C304),"Applied","Wishlist"),$M304)))</f>
        <v/>
      </c>
      <c r="AF304" s="88">
        <f>IF(AND(ISNUMBER($C304),ISNUMBER($AA304)),$AA304-$C304,"")</f>
        <v/>
      </c>
      <c r="AG304" s="87">
        <f>IF($AE304="","",IFERROR(MATCH($AE304,{"Wishlist","Applied","Screening","Interview 1","Interview 2","Final","Offer","Accepted"},0)-1,""))</f>
        <v/>
      </c>
      <c r="AH304" s="87">
        <f>IF($AC304="","",MATCH($AC304,{"FOLLOW UP REQUIRED","ACTION DUE TODAY","NO RESPONSE","DUE SOON"},0)*100000+IF(ISNUMBER($O304),$O304,IF(ISNUMBER($C304),$C304,0))+ROW()/10000)</f>
        <v/>
      </c>
      <c r="AI304" s="87">
        <f>IF(AND(ISNUMBER($AG304),$AG304&gt;=1,$AG304&lt;=6,$M304&lt;&gt;"Rejected",$M304&lt;&gt;"Withdrawn"),(10-$AG304)*100000+IF(ISNUMBER($C304),$C304,0)+ROW()/10000,"")</f>
        <v/>
      </c>
    </row>
    <row r="305">
      <c r="A305" s="80" t="n"/>
      <c r="B305" s="81" t="n"/>
      <c r="C305" s="81" t="n"/>
      <c r="D305" s="82" t="n"/>
      <c r="E305" s="82" t="n"/>
      <c r="F305" s="82" t="n"/>
      <c r="G305" s="82" t="n"/>
      <c r="H305" s="82" t="n"/>
      <c r="I305" s="83" t="n"/>
      <c r="J305" s="82" t="n"/>
      <c r="K305" s="84" t="n"/>
      <c r="L305" s="85" t="n"/>
      <c r="M305" s="82" t="n"/>
      <c r="N305" s="86" t="n"/>
      <c r="O305" s="81" t="n"/>
      <c r="P305" s="82" t="n"/>
      <c r="Q305" s="83" t="n"/>
      <c r="R305" s="82" t="n"/>
      <c r="S305" s="84" t="n"/>
      <c r="T305" s="84" t="n"/>
      <c r="U305" s="82" t="n"/>
      <c r="V305" s="86" t="n"/>
      <c r="W305" s="86" t="n"/>
      <c r="X305" s="86" t="n"/>
      <c r="Y305" s="81" t="n"/>
      <c r="Z305" s="82" t="n"/>
      <c r="AA305" s="81" t="n"/>
      <c r="AB305" s="82" t="n"/>
      <c r="AC305" s="87">
        <f>IF(OR($D305="",$M305="Rejected",$M305="Withdrawn",$M305="Accepted"),"",IF(ISNUMBER($O305),IF(INT($O305)&lt;TODAY(),"FOLLOW UP REQUIRED",IF(INT($O305)=TODAY(),"ACTION DUE TODAY",IF(INT($O305)-TODAY()&lt;=Set_DueSoonDays,"DUE SOON",""))),IF(AND($M305="Applied",$AA305=""),IF(ISNUMBER($C305),IF(TODAY()-$C305&gt;=Set_FollowUpDays,"NO RESPONSE",""),""),"")))</f>
        <v/>
      </c>
      <c r="AD305" s="87">
        <f>IF(ISNUMBER($L305),IF($L305&gt;=90,"Excellent Match",IF($L305&gt;=75,"Strong Match",IF($L305&gt;=60,"Moderate Match","Low Match"))),"")</f>
        <v/>
      </c>
      <c r="AE305" s="87">
        <f>IF($D305="","",IF(OR($M305="Rejected",$M305="Withdrawn"),IF($AB305&lt;&gt;"",$AB305,IF(OR($M305="Rejected",ISNUMBER($C305)),"Applied","Wishlist")),IF($M305="",IF(ISNUMBER($C305),"Applied","Wishlist"),$M305)))</f>
        <v/>
      </c>
      <c r="AF305" s="88">
        <f>IF(AND(ISNUMBER($C305),ISNUMBER($AA305)),$AA305-$C305,"")</f>
        <v/>
      </c>
      <c r="AG305" s="87">
        <f>IF($AE305="","",IFERROR(MATCH($AE305,{"Wishlist","Applied","Screening","Interview 1","Interview 2","Final","Offer","Accepted"},0)-1,""))</f>
        <v/>
      </c>
      <c r="AH305" s="87">
        <f>IF($AC305="","",MATCH($AC305,{"FOLLOW UP REQUIRED","ACTION DUE TODAY","NO RESPONSE","DUE SOON"},0)*100000+IF(ISNUMBER($O305),$O305,IF(ISNUMBER($C305),$C305,0))+ROW()/10000)</f>
        <v/>
      </c>
      <c r="AI305" s="87">
        <f>IF(AND(ISNUMBER($AG305),$AG305&gt;=1,$AG305&lt;=6,$M305&lt;&gt;"Rejected",$M305&lt;&gt;"Withdrawn"),(10-$AG305)*100000+IF(ISNUMBER($C305),$C305,0)+ROW()/10000,"")</f>
        <v/>
      </c>
    </row>
    <row r="306">
      <c r="A306" s="80" t="n"/>
      <c r="B306" s="81" t="n"/>
      <c r="C306" s="81" t="n"/>
      <c r="D306" s="82" t="n"/>
      <c r="E306" s="82" t="n"/>
      <c r="F306" s="82" t="n"/>
      <c r="G306" s="82" t="n"/>
      <c r="H306" s="82" t="n"/>
      <c r="I306" s="83" t="n"/>
      <c r="J306" s="82" t="n"/>
      <c r="K306" s="84" t="n"/>
      <c r="L306" s="85" t="n"/>
      <c r="M306" s="82" t="n"/>
      <c r="N306" s="86" t="n"/>
      <c r="O306" s="81" t="n"/>
      <c r="P306" s="82" t="n"/>
      <c r="Q306" s="83" t="n"/>
      <c r="R306" s="82" t="n"/>
      <c r="S306" s="84" t="n"/>
      <c r="T306" s="84" t="n"/>
      <c r="U306" s="82" t="n"/>
      <c r="V306" s="86" t="n"/>
      <c r="W306" s="86" t="n"/>
      <c r="X306" s="86" t="n"/>
      <c r="Y306" s="81" t="n"/>
      <c r="Z306" s="82" t="n"/>
      <c r="AA306" s="81" t="n"/>
      <c r="AB306" s="82" t="n"/>
      <c r="AC306" s="87">
        <f>IF(OR($D306="",$M306="Rejected",$M306="Withdrawn",$M306="Accepted"),"",IF(ISNUMBER($O306),IF(INT($O306)&lt;TODAY(),"FOLLOW UP REQUIRED",IF(INT($O306)=TODAY(),"ACTION DUE TODAY",IF(INT($O306)-TODAY()&lt;=Set_DueSoonDays,"DUE SOON",""))),IF(AND($M306="Applied",$AA306=""),IF(ISNUMBER($C306),IF(TODAY()-$C306&gt;=Set_FollowUpDays,"NO RESPONSE",""),""),"")))</f>
        <v/>
      </c>
      <c r="AD306" s="87">
        <f>IF(ISNUMBER($L306),IF($L306&gt;=90,"Excellent Match",IF($L306&gt;=75,"Strong Match",IF($L306&gt;=60,"Moderate Match","Low Match"))),"")</f>
        <v/>
      </c>
      <c r="AE306" s="87">
        <f>IF($D306="","",IF(OR($M306="Rejected",$M306="Withdrawn"),IF($AB306&lt;&gt;"",$AB306,IF(OR($M306="Rejected",ISNUMBER($C306)),"Applied","Wishlist")),IF($M306="",IF(ISNUMBER($C306),"Applied","Wishlist"),$M306)))</f>
        <v/>
      </c>
      <c r="AF306" s="88">
        <f>IF(AND(ISNUMBER($C306),ISNUMBER($AA306)),$AA306-$C306,"")</f>
        <v/>
      </c>
      <c r="AG306" s="87">
        <f>IF($AE306="","",IFERROR(MATCH($AE306,{"Wishlist","Applied","Screening","Interview 1","Interview 2","Final","Offer","Accepted"},0)-1,""))</f>
        <v/>
      </c>
      <c r="AH306" s="87">
        <f>IF($AC306="","",MATCH($AC306,{"FOLLOW UP REQUIRED","ACTION DUE TODAY","NO RESPONSE","DUE SOON"},0)*100000+IF(ISNUMBER($O306),$O306,IF(ISNUMBER($C306),$C306,0))+ROW()/10000)</f>
        <v/>
      </c>
      <c r="AI306" s="87">
        <f>IF(AND(ISNUMBER($AG306),$AG306&gt;=1,$AG306&lt;=6,$M306&lt;&gt;"Rejected",$M306&lt;&gt;"Withdrawn"),(10-$AG306)*100000+IF(ISNUMBER($C306),$C306,0)+ROW()/10000,"")</f>
        <v/>
      </c>
    </row>
    <row r="307">
      <c r="A307" s="80" t="n"/>
      <c r="B307" s="81" t="n"/>
      <c r="C307" s="81" t="n"/>
      <c r="D307" s="82" t="n"/>
      <c r="E307" s="82" t="n"/>
      <c r="F307" s="82" t="n"/>
      <c r="G307" s="82" t="n"/>
      <c r="H307" s="82" t="n"/>
      <c r="I307" s="83" t="n"/>
      <c r="J307" s="82" t="n"/>
      <c r="K307" s="84" t="n"/>
      <c r="L307" s="85" t="n"/>
      <c r="M307" s="82" t="n"/>
      <c r="N307" s="86" t="n"/>
      <c r="O307" s="81" t="n"/>
      <c r="P307" s="82" t="n"/>
      <c r="Q307" s="83" t="n"/>
      <c r="R307" s="82" t="n"/>
      <c r="S307" s="84" t="n"/>
      <c r="T307" s="84" t="n"/>
      <c r="U307" s="82" t="n"/>
      <c r="V307" s="86" t="n"/>
      <c r="W307" s="86" t="n"/>
      <c r="X307" s="86" t="n"/>
      <c r="Y307" s="81" t="n"/>
      <c r="Z307" s="82" t="n"/>
      <c r="AA307" s="81" t="n"/>
      <c r="AB307" s="82" t="n"/>
      <c r="AC307" s="87">
        <f>IF(OR($D307="",$M307="Rejected",$M307="Withdrawn",$M307="Accepted"),"",IF(ISNUMBER($O307),IF(INT($O307)&lt;TODAY(),"FOLLOW UP REQUIRED",IF(INT($O307)=TODAY(),"ACTION DUE TODAY",IF(INT($O307)-TODAY()&lt;=Set_DueSoonDays,"DUE SOON",""))),IF(AND($M307="Applied",$AA307=""),IF(ISNUMBER($C307),IF(TODAY()-$C307&gt;=Set_FollowUpDays,"NO RESPONSE",""),""),"")))</f>
        <v/>
      </c>
      <c r="AD307" s="87">
        <f>IF(ISNUMBER($L307),IF($L307&gt;=90,"Excellent Match",IF($L307&gt;=75,"Strong Match",IF($L307&gt;=60,"Moderate Match","Low Match"))),"")</f>
        <v/>
      </c>
      <c r="AE307" s="87">
        <f>IF($D307="","",IF(OR($M307="Rejected",$M307="Withdrawn"),IF($AB307&lt;&gt;"",$AB307,IF(OR($M307="Rejected",ISNUMBER($C307)),"Applied","Wishlist")),IF($M307="",IF(ISNUMBER($C307),"Applied","Wishlist"),$M307)))</f>
        <v/>
      </c>
      <c r="AF307" s="88">
        <f>IF(AND(ISNUMBER($C307),ISNUMBER($AA307)),$AA307-$C307,"")</f>
        <v/>
      </c>
      <c r="AG307" s="87">
        <f>IF($AE307="","",IFERROR(MATCH($AE307,{"Wishlist","Applied","Screening","Interview 1","Interview 2","Final","Offer","Accepted"},0)-1,""))</f>
        <v/>
      </c>
      <c r="AH307" s="87">
        <f>IF($AC307="","",MATCH($AC307,{"FOLLOW UP REQUIRED","ACTION DUE TODAY","NO RESPONSE","DUE SOON"},0)*100000+IF(ISNUMBER($O307),$O307,IF(ISNUMBER($C307),$C307,0))+ROW()/10000)</f>
        <v/>
      </c>
      <c r="AI307" s="87">
        <f>IF(AND(ISNUMBER($AG307),$AG307&gt;=1,$AG307&lt;=6,$M307&lt;&gt;"Rejected",$M307&lt;&gt;"Withdrawn"),(10-$AG307)*100000+IF(ISNUMBER($C307),$C307,0)+ROW()/10000,"")</f>
        <v/>
      </c>
    </row>
    <row r="308">
      <c r="A308" s="80" t="n"/>
      <c r="B308" s="81" t="n"/>
      <c r="C308" s="81" t="n"/>
      <c r="D308" s="82" t="n"/>
      <c r="E308" s="82" t="n"/>
      <c r="F308" s="82" t="n"/>
      <c r="G308" s="82" t="n"/>
      <c r="H308" s="82" t="n"/>
      <c r="I308" s="83" t="n"/>
      <c r="J308" s="82" t="n"/>
      <c r="K308" s="84" t="n"/>
      <c r="L308" s="85" t="n"/>
      <c r="M308" s="82" t="n"/>
      <c r="N308" s="86" t="n"/>
      <c r="O308" s="81" t="n"/>
      <c r="P308" s="82" t="n"/>
      <c r="Q308" s="83" t="n"/>
      <c r="R308" s="82" t="n"/>
      <c r="S308" s="84" t="n"/>
      <c r="T308" s="84" t="n"/>
      <c r="U308" s="82" t="n"/>
      <c r="V308" s="86" t="n"/>
      <c r="W308" s="86" t="n"/>
      <c r="X308" s="86" t="n"/>
      <c r="Y308" s="81" t="n"/>
      <c r="Z308" s="82" t="n"/>
      <c r="AA308" s="81" t="n"/>
      <c r="AB308" s="82" t="n"/>
      <c r="AC308" s="87">
        <f>IF(OR($D308="",$M308="Rejected",$M308="Withdrawn",$M308="Accepted"),"",IF(ISNUMBER($O308),IF(INT($O308)&lt;TODAY(),"FOLLOW UP REQUIRED",IF(INT($O308)=TODAY(),"ACTION DUE TODAY",IF(INT($O308)-TODAY()&lt;=Set_DueSoonDays,"DUE SOON",""))),IF(AND($M308="Applied",$AA308=""),IF(ISNUMBER($C308),IF(TODAY()-$C308&gt;=Set_FollowUpDays,"NO RESPONSE",""),""),"")))</f>
        <v/>
      </c>
      <c r="AD308" s="87">
        <f>IF(ISNUMBER($L308),IF($L308&gt;=90,"Excellent Match",IF($L308&gt;=75,"Strong Match",IF($L308&gt;=60,"Moderate Match","Low Match"))),"")</f>
        <v/>
      </c>
      <c r="AE308" s="87">
        <f>IF($D308="","",IF(OR($M308="Rejected",$M308="Withdrawn"),IF($AB308&lt;&gt;"",$AB308,IF(OR($M308="Rejected",ISNUMBER($C308)),"Applied","Wishlist")),IF($M308="",IF(ISNUMBER($C308),"Applied","Wishlist"),$M308)))</f>
        <v/>
      </c>
      <c r="AF308" s="88">
        <f>IF(AND(ISNUMBER($C308),ISNUMBER($AA308)),$AA308-$C308,"")</f>
        <v/>
      </c>
      <c r="AG308" s="87">
        <f>IF($AE308="","",IFERROR(MATCH($AE308,{"Wishlist","Applied","Screening","Interview 1","Interview 2","Final","Offer","Accepted"},0)-1,""))</f>
        <v/>
      </c>
      <c r="AH308" s="87">
        <f>IF($AC308="","",MATCH($AC308,{"FOLLOW UP REQUIRED","ACTION DUE TODAY","NO RESPONSE","DUE SOON"},0)*100000+IF(ISNUMBER($O308),$O308,IF(ISNUMBER($C308),$C308,0))+ROW()/10000)</f>
        <v/>
      </c>
      <c r="AI308" s="87">
        <f>IF(AND(ISNUMBER($AG308),$AG308&gt;=1,$AG308&lt;=6,$M308&lt;&gt;"Rejected",$M308&lt;&gt;"Withdrawn"),(10-$AG308)*100000+IF(ISNUMBER($C308),$C308,0)+ROW()/10000,"")</f>
        <v/>
      </c>
    </row>
    <row r="309">
      <c r="A309" s="80" t="n"/>
      <c r="B309" s="81" t="n"/>
      <c r="C309" s="81" t="n"/>
      <c r="D309" s="82" t="n"/>
      <c r="E309" s="82" t="n"/>
      <c r="F309" s="82" t="n"/>
      <c r="G309" s="82" t="n"/>
      <c r="H309" s="82" t="n"/>
      <c r="I309" s="83" t="n"/>
      <c r="J309" s="82" t="n"/>
      <c r="K309" s="84" t="n"/>
      <c r="L309" s="85" t="n"/>
      <c r="M309" s="82" t="n"/>
      <c r="N309" s="86" t="n"/>
      <c r="O309" s="81" t="n"/>
      <c r="P309" s="82" t="n"/>
      <c r="Q309" s="83" t="n"/>
      <c r="R309" s="82" t="n"/>
      <c r="S309" s="84" t="n"/>
      <c r="T309" s="84" t="n"/>
      <c r="U309" s="82" t="n"/>
      <c r="V309" s="86" t="n"/>
      <c r="W309" s="86" t="n"/>
      <c r="X309" s="86" t="n"/>
      <c r="Y309" s="81" t="n"/>
      <c r="Z309" s="82" t="n"/>
      <c r="AA309" s="81" t="n"/>
      <c r="AB309" s="82" t="n"/>
      <c r="AC309" s="87">
        <f>IF(OR($D309="",$M309="Rejected",$M309="Withdrawn",$M309="Accepted"),"",IF(ISNUMBER($O309),IF(INT($O309)&lt;TODAY(),"FOLLOW UP REQUIRED",IF(INT($O309)=TODAY(),"ACTION DUE TODAY",IF(INT($O309)-TODAY()&lt;=Set_DueSoonDays,"DUE SOON",""))),IF(AND($M309="Applied",$AA309=""),IF(ISNUMBER($C309),IF(TODAY()-$C309&gt;=Set_FollowUpDays,"NO RESPONSE",""),""),"")))</f>
        <v/>
      </c>
      <c r="AD309" s="87">
        <f>IF(ISNUMBER($L309),IF($L309&gt;=90,"Excellent Match",IF($L309&gt;=75,"Strong Match",IF($L309&gt;=60,"Moderate Match","Low Match"))),"")</f>
        <v/>
      </c>
      <c r="AE309" s="87">
        <f>IF($D309="","",IF(OR($M309="Rejected",$M309="Withdrawn"),IF($AB309&lt;&gt;"",$AB309,IF(OR($M309="Rejected",ISNUMBER($C309)),"Applied","Wishlist")),IF($M309="",IF(ISNUMBER($C309),"Applied","Wishlist"),$M309)))</f>
        <v/>
      </c>
      <c r="AF309" s="88">
        <f>IF(AND(ISNUMBER($C309),ISNUMBER($AA309)),$AA309-$C309,"")</f>
        <v/>
      </c>
      <c r="AG309" s="87">
        <f>IF($AE309="","",IFERROR(MATCH($AE309,{"Wishlist","Applied","Screening","Interview 1","Interview 2","Final","Offer","Accepted"},0)-1,""))</f>
        <v/>
      </c>
      <c r="AH309" s="87">
        <f>IF($AC309="","",MATCH($AC309,{"FOLLOW UP REQUIRED","ACTION DUE TODAY","NO RESPONSE","DUE SOON"},0)*100000+IF(ISNUMBER($O309),$O309,IF(ISNUMBER($C309),$C309,0))+ROW()/10000)</f>
        <v/>
      </c>
      <c r="AI309" s="87">
        <f>IF(AND(ISNUMBER($AG309),$AG309&gt;=1,$AG309&lt;=6,$M309&lt;&gt;"Rejected",$M309&lt;&gt;"Withdrawn"),(10-$AG309)*100000+IF(ISNUMBER($C309),$C309,0)+ROW()/10000,"")</f>
        <v/>
      </c>
    </row>
    <row r="310">
      <c r="A310" s="80" t="n"/>
      <c r="B310" s="81" t="n"/>
      <c r="C310" s="81" t="n"/>
      <c r="D310" s="82" t="n"/>
      <c r="E310" s="82" t="n"/>
      <c r="F310" s="82" t="n"/>
      <c r="G310" s="82" t="n"/>
      <c r="H310" s="82" t="n"/>
      <c r="I310" s="83" t="n"/>
      <c r="J310" s="82" t="n"/>
      <c r="K310" s="84" t="n"/>
      <c r="L310" s="85" t="n"/>
      <c r="M310" s="82" t="n"/>
      <c r="N310" s="86" t="n"/>
      <c r="O310" s="81" t="n"/>
      <c r="P310" s="82" t="n"/>
      <c r="Q310" s="83" t="n"/>
      <c r="R310" s="82" t="n"/>
      <c r="S310" s="84" t="n"/>
      <c r="T310" s="84" t="n"/>
      <c r="U310" s="82" t="n"/>
      <c r="V310" s="86" t="n"/>
      <c r="W310" s="86" t="n"/>
      <c r="X310" s="86" t="n"/>
      <c r="Y310" s="81" t="n"/>
      <c r="Z310" s="82" t="n"/>
      <c r="AA310" s="81" t="n"/>
      <c r="AB310" s="82" t="n"/>
      <c r="AC310" s="87">
        <f>IF(OR($D310="",$M310="Rejected",$M310="Withdrawn",$M310="Accepted"),"",IF(ISNUMBER($O310),IF(INT($O310)&lt;TODAY(),"FOLLOW UP REQUIRED",IF(INT($O310)=TODAY(),"ACTION DUE TODAY",IF(INT($O310)-TODAY()&lt;=Set_DueSoonDays,"DUE SOON",""))),IF(AND($M310="Applied",$AA310=""),IF(ISNUMBER($C310),IF(TODAY()-$C310&gt;=Set_FollowUpDays,"NO RESPONSE",""),""),"")))</f>
        <v/>
      </c>
      <c r="AD310" s="87">
        <f>IF(ISNUMBER($L310),IF($L310&gt;=90,"Excellent Match",IF($L310&gt;=75,"Strong Match",IF($L310&gt;=60,"Moderate Match","Low Match"))),"")</f>
        <v/>
      </c>
      <c r="AE310" s="87">
        <f>IF($D310="","",IF(OR($M310="Rejected",$M310="Withdrawn"),IF($AB310&lt;&gt;"",$AB310,IF(OR($M310="Rejected",ISNUMBER($C310)),"Applied","Wishlist")),IF($M310="",IF(ISNUMBER($C310),"Applied","Wishlist"),$M310)))</f>
        <v/>
      </c>
      <c r="AF310" s="88">
        <f>IF(AND(ISNUMBER($C310),ISNUMBER($AA310)),$AA310-$C310,"")</f>
        <v/>
      </c>
      <c r="AG310" s="87">
        <f>IF($AE310="","",IFERROR(MATCH($AE310,{"Wishlist","Applied","Screening","Interview 1","Interview 2","Final","Offer","Accepted"},0)-1,""))</f>
        <v/>
      </c>
      <c r="AH310" s="87">
        <f>IF($AC310="","",MATCH($AC310,{"FOLLOW UP REQUIRED","ACTION DUE TODAY","NO RESPONSE","DUE SOON"},0)*100000+IF(ISNUMBER($O310),$O310,IF(ISNUMBER($C310),$C310,0))+ROW()/10000)</f>
        <v/>
      </c>
      <c r="AI310" s="87">
        <f>IF(AND(ISNUMBER($AG310),$AG310&gt;=1,$AG310&lt;=6,$M310&lt;&gt;"Rejected",$M310&lt;&gt;"Withdrawn"),(10-$AG310)*100000+IF(ISNUMBER($C310),$C310,0)+ROW()/10000,"")</f>
        <v/>
      </c>
    </row>
    <row r="311">
      <c r="A311" s="80" t="n"/>
      <c r="B311" s="81" t="n"/>
      <c r="C311" s="81" t="n"/>
      <c r="D311" s="82" t="n"/>
      <c r="E311" s="82" t="n"/>
      <c r="F311" s="82" t="n"/>
      <c r="G311" s="82" t="n"/>
      <c r="H311" s="82" t="n"/>
      <c r="I311" s="83" t="n"/>
      <c r="J311" s="82" t="n"/>
      <c r="K311" s="84" t="n"/>
      <c r="L311" s="85" t="n"/>
      <c r="M311" s="82" t="n"/>
      <c r="N311" s="86" t="n"/>
      <c r="O311" s="81" t="n"/>
      <c r="P311" s="82" t="n"/>
      <c r="Q311" s="83" t="n"/>
      <c r="R311" s="82" t="n"/>
      <c r="S311" s="84" t="n"/>
      <c r="T311" s="84" t="n"/>
      <c r="U311" s="82" t="n"/>
      <c r="V311" s="86" t="n"/>
      <c r="W311" s="86" t="n"/>
      <c r="X311" s="86" t="n"/>
      <c r="Y311" s="81" t="n"/>
      <c r="Z311" s="82" t="n"/>
      <c r="AA311" s="81" t="n"/>
      <c r="AB311" s="82" t="n"/>
      <c r="AC311" s="87">
        <f>IF(OR($D311="",$M311="Rejected",$M311="Withdrawn",$M311="Accepted"),"",IF(ISNUMBER($O311),IF(INT($O311)&lt;TODAY(),"FOLLOW UP REQUIRED",IF(INT($O311)=TODAY(),"ACTION DUE TODAY",IF(INT($O311)-TODAY()&lt;=Set_DueSoonDays,"DUE SOON",""))),IF(AND($M311="Applied",$AA311=""),IF(ISNUMBER($C311),IF(TODAY()-$C311&gt;=Set_FollowUpDays,"NO RESPONSE",""),""),"")))</f>
        <v/>
      </c>
      <c r="AD311" s="87">
        <f>IF(ISNUMBER($L311),IF($L311&gt;=90,"Excellent Match",IF($L311&gt;=75,"Strong Match",IF($L311&gt;=60,"Moderate Match","Low Match"))),"")</f>
        <v/>
      </c>
      <c r="AE311" s="87">
        <f>IF($D311="","",IF(OR($M311="Rejected",$M311="Withdrawn"),IF($AB311&lt;&gt;"",$AB311,IF(OR($M311="Rejected",ISNUMBER($C311)),"Applied","Wishlist")),IF($M311="",IF(ISNUMBER($C311),"Applied","Wishlist"),$M311)))</f>
        <v/>
      </c>
      <c r="AF311" s="88">
        <f>IF(AND(ISNUMBER($C311),ISNUMBER($AA311)),$AA311-$C311,"")</f>
        <v/>
      </c>
      <c r="AG311" s="87">
        <f>IF($AE311="","",IFERROR(MATCH($AE311,{"Wishlist","Applied","Screening","Interview 1","Interview 2","Final","Offer","Accepted"},0)-1,""))</f>
        <v/>
      </c>
      <c r="AH311" s="87">
        <f>IF($AC311="","",MATCH($AC311,{"FOLLOW UP REQUIRED","ACTION DUE TODAY","NO RESPONSE","DUE SOON"},0)*100000+IF(ISNUMBER($O311),$O311,IF(ISNUMBER($C311),$C311,0))+ROW()/10000)</f>
        <v/>
      </c>
      <c r="AI311" s="87">
        <f>IF(AND(ISNUMBER($AG311),$AG311&gt;=1,$AG311&lt;=6,$M311&lt;&gt;"Rejected",$M311&lt;&gt;"Withdrawn"),(10-$AG311)*100000+IF(ISNUMBER($C311),$C311,0)+ROW()/10000,"")</f>
        <v/>
      </c>
    </row>
    <row r="312">
      <c r="A312" s="80" t="n"/>
      <c r="B312" s="81" t="n"/>
      <c r="C312" s="81" t="n"/>
      <c r="D312" s="82" t="n"/>
      <c r="E312" s="82" t="n"/>
      <c r="F312" s="82" t="n"/>
      <c r="G312" s="82" t="n"/>
      <c r="H312" s="82" t="n"/>
      <c r="I312" s="83" t="n"/>
      <c r="J312" s="82" t="n"/>
      <c r="K312" s="84" t="n"/>
      <c r="L312" s="85" t="n"/>
      <c r="M312" s="82" t="n"/>
      <c r="N312" s="86" t="n"/>
      <c r="O312" s="81" t="n"/>
      <c r="P312" s="82" t="n"/>
      <c r="Q312" s="83" t="n"/>
      <c r="R312" s="82" t="n"/>
      <c r="S312" s="84" t="n"/>
      <c r="T312" s="84" t="n"/>
      <c r="U312" s="82" t="n"/>
      <c r="V312" s="86" t="n"/>
      <c r="W312" s="86" t="n"/>
      <c r="X312" s="86" t="n"/>
      <c r="Y312" s="81" t="n"/>
      <c r="Z312" s="82" t="n"/>
      <c r="AA312" s="81" t="n"/>
      <c r="AB312" s="82" t="n"/>
      <c r="AC312" s="87">
        <f>IF(OR($D312="",$M312="Rejected",$M312="Withdrawn",$M312="Accepted"),"",IF(ISNUMBER($O312),IF(INT($O312)&lt;TODAY(),"FOLLOW UP REQUIRED",IF(INT($O312)=TODAY(),"ACTION DUE TODAY",IF(INT($O312)-TODAY()&lt;=Set_DueSoonDays,"DUE SOON",""))),IF(AND($M312="Applied",$AA312=""),IF(ISNUMBER($C312),IF(TODAY()-$C312&gt;=Set_FollowUpDays,"NO RESPONSE",""),""),"")))</f>
        <v/>
      </c>
      <c r="AD312" s="87">
        <f>IF(ISNUMBER($L312),IF($L312&gt;=90,"Excellent Match",IF($L312&gt;=75,"Strong Match",IF($L312&gt;=60,"Moderate Match","Low Match"))),"")</f>
        <v/>
      </c>
      <c r="AE312" s="87">
        <f>IF($D312="","",IF(OR($M312="Rejected",$M312="Withdrawn"),IF($AB312&lt;&gt;"",$AB312,IF(OR($M312="Rejected",ISNUMBER($C312)),"Applied","Wishlist")),IF($M312="",IF(ISNUMBER($C312),"Applied","Wishlist"),$M312)))</f>
        <v/>
      </c>
      <c r="AF312" s="88">
        <f>IF(AND(ISNUMBER($C312),ISNUMBER($AA312)),$AA312-$C312,"")</f>
        <v/>
      </c>
      <c r="AG312" s="87">
        <f>IF($AE312="","",IFERROR(MATCH($AE312,{"Wishlist","Applied","Screening","Interview 1","Interview 2","Final","Offer","Accepted"},0)-1,""))</f>
        <v/>
      </c>
      <c r="AH312" s="87">
        <f>IF($AC312="","",MATCH($AC312,{"FOLLOW UP REQUIRED","ACTION DUE TODAY","NO RESPONSE","DUE SOON"},0)*100000+IF(ISNUMBER($O312),$O312,IF(ISNUMBER($C312),$C312,0))+ROW()/10000)</f>
        <v/>
      </c>
      <c r="AI312" s="87">
        <f>IF(AND(ISNUMBER($AG312),$AG312&gt;=1,$AG312&lt;=6,$M312&lt;&gt;"Rejected",$M312&lt;&gt;"Withdrawn"),(10-$AG312)*100000+IF(ISNUMBER($C312),$C312,0)+ROW()/10000,"")</f>
        <v/>
      </c>
    </row>
    <row r="313">
      <c r="A313" s="80" t="n"/>
      <c r="B313" s="81" t="n"/>
      <c r="C313" s="81" t="n"/>
      <c r="D313" s="82" t="n"/>
      <c r="E313" s="82" t="n"/>
      <c r="F313" s="82" t="n"/>
      <c r="G313" s="82" t="n"/>
      <c r="H313" s="82" t="n"/>
      <c r="I313" s="83" t="n"/>
      <c r="J313" s="82" t="n"/>
      <c r="K313" s="84" t="n"/>
      <c r="L313" s="85" t="n"/>
      <c r="M313" s="82" t="n"/>
      <c r="N313" s="86" t="n"/>
      <c r="O313" s="81" t="n"/>
      <c r="P313" s="82" t="n"/>
      <c r="Q313" s="83" t="n"/>
      <c r="R313" s="82" t="n"/>
      <c r="S313" s="84" t="n"/>
      <c r="T313" s="84" t="n"/>
      <c r="U313" s="82" t="n"/>
      <c r="V313" s="86" t="n"/>
      <c r="W313" s="86" t="n"/>
      <c r="X313" s="86" t="n"/>
      <c r="Y313" s="81" t="n"/>
      <c r="Z313" s="82" t="n"/>
      <c r="AA313" s="81" t="n"/>
      <c r="AB313" s="82" t="n"/>
      <c r="AC313" s="87">
        <f>IF(OR($D313="",$M313="Rejected",$M313="Withdrawn",$M313="Accepted"),"",IF(ISNUMBER($O313),IF(INT($O313)&lt;TODAY(),"FOLLOW UP REQUIRED",IF(INT($O313)=TODAY(),"ACTION DUE TODAY",IF(INT($O313)-TODAY()&lt;=Set_DueSoonDays,"DUE SOON",""))),IF(AND($M313="Applied",$AA313=""),IF(ISNUMBER($C313),IF(TODAY()-$C313&gt;=Set_FollowUpDays,"NO RESPONSE",""),""),"")))</f>
        <v/>
      </c>
      <c r="AD313" s="87">
        <f>IF(ISNUMBER($L313),IF($L313&gt;=90,"Excellent Match",IF($L313&gt;=75,"Strong Match",IF($L313&gt;=60,"Moderate Match","Low Match"))),"")</f>
        <v/>
      </c>
      <c r="AE313" s="87">
        <f>IF($D313="","",IF(OR($M313="Rejected",$M313="Withdrawn"),IF($AB313&lt;&gt;"",$AB313,IF(OR($M313="Rejected",ISNUMBER($C313)),"Applied","Wishlist")),IF($M313="",IF(ISNUMBER($C313),"Applied","Wishlist"),$M313)))</f>
        <v/>
      </c>
      <c r="AF313" s="88">
        <f>IF(AND(ISNUMBER($C313),ISNUMBER($AA313)),$AA313-$C313,"")</f>
        <v/>
      </c>
      <c r="AG313" s="87">
        <f>IF($AE313="","",IFERROR(MATCH($AE313,{"Wishlist","Applied","Screening","Interview 1","Interview 2","Final","Offer","Accepted"},0)-1,""))</f>
        <v/>
      </c>
      <c r="AH313" s="87">
        <f>IF($AC313="","",MATCH($AC313,{"FOLLOW UP REQUIRED","ACTION DUE TODAY","NO RESPONSE","DUE SOON"},0)*100000+IF(ISNUMBER($O313),$O313,IF(ISNUMBER($C313),$C313,0))+ROW()/10000)</f>
        <v/>
      </c>
      <c r="AI313" s="87">
        <f>IF(AND(ISNUMBER($AG313),$AG313&gt;=1,$AG313&lt;=6,$M313&lt;&gt;"Rejected",$M313&lt;&gt;"Withdrawn"),(10-$AG313)*100000+IF(ISNUMBER($C313),$C313,0)+ROW()/10000,"")</f>
        <v/>
      </c>
    </row>
    <row r="314">
      <c r="A314" s="80" t="n"/>
      <c r="B314" s="81" t="n"/>
      <c r="C314" s="81" t="n"/>
      <c r="D314" s="82" t="n"/>
      <c r="E314" s="82" t="n"/>
      <c r="F314" s="82" t="n"/>
      <c r="G314" s="82" t="n"/>
      <c r="H314" s="82" t="n"/>
      <c r="I314" s="83" t="n"/>
      <c r="J314" s="82" t="n"/>
      <c r="K314" s="84" t="n"/>
      <c r="L314" s="85" t="n"/>
      <c r="M314" s="82" t="n"/>
      <c r="N314" s="86" t="n"/>
      <c r="O314" s="81" t="n"/>
      <c r="P314" s="82" t="n"/>
      <c r="Q314" s="83" t="n"/>
      <c r="R314" s="82" t="n"/>
      <c r="S314" s="84" t="n"/>
      <c r="T314" s="84" t="n"/>
      <c r="U314" s="82" t="n"/>
      <c r="V314" s="86" t="n"/>
      <c r="W314" s="86" t="n"/>
      <c r="X314" s="86" t="n"/>
      <c r="Y314" s="81" t="n"/>
      <c r="Z314" s="82" t="n"/>
      <c r="AA314" s="81" t="n"/>
      <c r="AB314" s="82" t="n"/>
      <c r="AC314" s="87">
        <f>IF(OR($D314="",$M314="Rejected",$M314="Withdrawn",$M314="Accepted"),"",IF(ISNUMBER($O314),IF(INT($O314)&lt;TODAY(),"FOLLOW UP REQUIRED",IF(INT($O314)=TODAY(),"ACTION DUE TODAY",IF(INT($O314)-TODAY()&lt;=Set_DueSoonDays,"DUE SOON",""))),IF(AND($M314="Applied",$AA314=""),IF(ISNUMBER($C314),IF(TODAY()-$C314&gt;=Set_FollowUpDays,"NO RESPONSE",""),""),"")))</f>
        <v/>
      </c>
      <c r="AD314" s="87">
        <f>IF(ISNUMBER($L314),IF($L314&gt;=90,"Excellent Match",IF($L314&gt;=75,"Strong Match",IF($L314&gt;=60,"Moderate Match","Low Match"))),"")</f>
        <v/>
      </c>
      <c r="AE314" s="87">
        <f>IF($D314="","",IF(OR($M314="Rejected",$M314="Withdrawn"),IF($AB314&lt;&gt;"",$AB314,IF(OR($M314="Rejected",ISNUMBER($C314)),"Applied","Wishlist")),IF($M314="",IF(ISNUMBER($C314),"Applied","Wishlist"),$M314)))</f>
        <v/>
      </c>
      <c r="AF314" s="88">
        <f>IF(AND(ISNUMBER($C314),ISNUMBER($AA314)),$AA314-$C314,"")</f>
        <v/>
      </c>
      <c r="AG314" s="87">
        <f>IF($AE314="","",IFERROR(MATCH($AE314,{"Wishlist","Applied","Screening","Interview 1","Interview 2","Final","Offer","Accepted"},0)-1,""))</f>
        <v/>
      </c>
      <c r="AH314" s="87">
        <f>IF($AC314="","",MATCH($AC314,{"FOLLOW UP REQUIRED","ACTION DUE TODAY","NO RESPONSE","DUE SOON"},0)*100000+IF(ISNUMBER($O314),$O314,IF(ISNUMBER($C314),$C314,0))+ROW()/10000)</f>
        <v/>
      </c>
      <c r="AI314" s="87">
        <f>IF(AND(ISNUMBER($AG314),$AG314&gt;=1,$AG314&lt;=6,$M314&lt;&gt;"Rejected",$M314&lt;&gt;"Withdrawn"),(10-$AG314)*100000+IF(ISNUMBER($C314),$C314,0)+ROW()/10000,"")</f>
        <v/>
      </c>
    </row>
    <row r="315">
      <c r="A315" s="80" t="n"/>
      <c r="B315" s="81" t="n"/>
      <c r="C315" s="81" t="n"/>
      <c r="D315" s="82" t="n"/>
      <c r="E315" s="82" t="n"/>
      <c r="F315" s="82" t="n"/>
      <c r="G315" s="82" t="n"/>
      <c r="H315" s="82" t="n"/>
      <c r="I315" s="83" t="n"/>
      <c r="J315" s="82" t="n"/>
      <c r="K315" s="84" t="n"/>
      <c r="L315" s="85" t="n"/>
      <c r="M315" s="82" t="n"/>
      <c r="N315" s="86" t="n"/>
      <c r="O315" s="81" t="n"/>
      <c r="P315" s="82" t="n"/>
      <c r="Q315" s="83" t="n"/>
      <c r="R315" s="82" t="n"/>
      <c r="S315" s="84" t="n"/>
      <c r="T315" s="84" t="n"/>
      <c r="U315" s="82" t="n"/>
      <c r="V315" s="86" t="n"/>
      <c r="W315" s="86" t="n"/>
      <c r="X315" s="86" t="n"/>
      <c r="Y315" s="81" t="n"/>
      <c r="Z315" s="82" t="n"/>
      <c r="AA315" s="81" t="n"/>
      <c r="AB315" s="82" t="n"/>
      <c r="AC315" s="87">
        <f>IF(OR($D315="",$M315="Rejected",$M315="Withdrawn",$M315="Accepted"),"",IF(ISNUMBER($O315),IF(INT($O315)&lt;TODAY(),"FOLLOW UP REQUIRED",IF(INT($O315)=TODAY(),"ACTION DUE TODAY",IF(INT($O315)-TODAY()&lt;=Set_DueSoonDays,"DUE SOON",""))),IF(AND($M315="Applied",$AA315=""),IF(ISNUMBER($C315),IF(TODAY()-$C315&gt;=Set_FollowUpDays,"NO RESPONSE",""),""),"")))</f>
        <v/>
      </c>
      <c r="AD315" s="87">
        <f>IF(ISNUMBER($L315),IF($L315&gt;=90,"Excellent Match",IF($L315&gt;=75,"Strong Match",IF($L315&gt;=60,"Moderate Match","Low Match"))),"")</f>
        <v/>
      </c>
      <c r="AE315" s="87">
        <f>IF($D315="","",IF(OR($M315="Rejected",$M315="Withdrawn"),IF($AB315&lt;&gt;"",$AB315,IF(OR($M315="Rejected",ISNUMBER($C315)),"Applied","Wishlist")),IF($M315="",IF(ISNUMBER($C315),"Applied","Wishlist"),$M315)))</f>
        <v/>
      </c>
      <c r="AF315" s="88">
        <f>IF(AND(ISNUMBER($C315),ISNUMBER($AA315)),$AA315-$C315,"")</f>
        <v/>
      </c>
      <c r="AG315" s="87">
        <f>IF($AE315="","",IFERROR(MATCH($AE315,{"Wishlist","Applied","Screening","Interview 1","Interview 2","Final","Offer","Accepted"},0)-1,""))</f>
        <v/>
      </c>
      <c r="AH315" s="87">
        <f>IF($AC315="","",MATCH($AC315,{"FOLLOW UP REQUIRED","ACTION DUE TODAY","NO RESPONSE","DUE SOON"},0)*100000+IF(ISNUMBER($O315),$O315,IF(ISNUMBER($C315),$C315,0))+ROW()/10000)</f>
        <v/>
      </c>
      <c r="AI315" s="87">
        <f>IF(AND(ISNUMBER($AG315),$AG315&gt;=1,$AG315&lt;=6,$M315&lt;&gt;"Rejected",$M315&lt;&gt;"Withdrawn"),(10-$AG315)*100000+IF(ISNUMBER($C315),$C315,0)+ROW()/10000,"")</f>
        <v/>
      </c>
    </row>
    <row r="316">
      <c r="A316" s="80" t="n"/>
      <c r="B316" s="81" t="n"/>
      <c r="C316" s="81" t="n"/>
      <c r="D316" s="82" t="n"/>
      <c r="E316" s="82" t="n"/>
      <c r="F316" s="82" t="n"/>
      <c r="G316" s="82" t="n"/>
      <c r="H316" s="82" t="n"/>
      <c r="I316" s="83" t="n"/>
      <c r="J316" s="82" t="n"/>
      <c r="K316" s="84" t="n"/>
      <c r="L316" s="85" t="n"/>
      <c r="M316" s="82" t="n"/>
      <c r="N316" s="86" t="n"/>
      <c r="O316" s="81" t="n"/>
      <c r="P316" s="82" t="n"/>
      <c r="Q316" s="83" t="n"/>
      <c r="R316" s="82" t="n"/>
      <c r="S316" s="84" t="n"/>
      <c r="T316" s="84" t="n"/>
      <c r="U316" s="82" t="n"/>
      <c r="V316" s="86" t="n"/>
      <c r="W316" s="86" t="n"/>
      <c r="X316" s="86" t="n"/>
      <c r="Y316" s="81" t="n"/>
      <c r="Z316" s="82" t="n"/>
      <c r="AA316" s="81" t="n"/>
      <c r="AB316" s="82" t="n"/>
      <c r="AC316" s="87">
        <f>IF(OR($D316="",$M316="Rejected",$M316="Withdrawn",$M316="Accepted"),"",IF(ISNUMBER($O316),IF(INT($O316)&lt;TODAY(),"FOLLOW UP REQUIRED",IF(INT($O316)=TODAY(),"ACTION DUE TODAY",IF(INT($O316)-TODAY()&lt;=Set_DueSoonDays,"DUE SOON",""))),IF(AND($M316="Applied",$AA316=""),IF(ISNUMBER($C316),IF(TODAY()-$C316&gt;=Set_FollowUpDays,"NO RESPONSE",""),""),"")))</f>
        <v/>
      </c>
      <c r="AD316" s="87">
        <f>IF(ISNUMBER($L316),IF($L316&gt;=90,"Excellent Match",IF($L316&gt;=75,"Strong Match",IF($L316&gt;=60,"Moderate Match","Low Match"))),"")</f>
        <v/>
      </c>
      <c r="AE316" s="87">
        <f>IF($D316="","",IF(OR($M316="Rejected",$M316="Withdrawn"),IF($AB316&lt;&gt;"",$AB316,IF(OR($M316="Rejected",ISNUMBER($C316)),"Applied","Wishlist")),IF($M316="",IF(ISNUMBER($C316),"Applied","Wishlist"),$M316)))</f>
        <v/>
      </c>
      <c r="AF316" s="88">
        <f>IF(AND(ISNUMBER($C316),ISNUMBER($AA316)),$AA316-$C316,"")</f>
        <v/>
      </c>
      <c r="AG316" s="87">
        <f>IF($AE316="","",IFERROR(MATCH($AE316,{"Wishlist","Applied","Screening","Interview 1","Interview 2","Final","Offer","Accepted"},0)-1,""))</f>
        <v/>
      </c>
      <c r="AH316" s="87">
        <f>IF($AC316="","",MATCH($AC316,{"FOLLOW UP REQUIRED","ACTION DUE TODAY","NO RESPONSE","DUE SOON"},0)*100000+IF(ISNUMBER($O316),$O316,IF(ISNUMBER($C316),$C316,0))+ROW()/10000)</f>
        <v/>
      </c>
      <c r="AI316" s="87">
        <f>IF(AND(ISNUMBER($AG316),$AG316&gt;=1,$AG316&lt;=6,$M316&lt;&gt;"Rejected",$M316&lt;&gt;"Withdrawn"),(10-$AG316)*100000+IF(ISNUMBER($C316),$C316,0)+ROW()/10000,"")</f>
        <v/>
      </c>
    </row>
    <row r="317">
      <c r="A317" s="80" t="n"/>
      <c r="B317" s="81" t="n"/>
      <c r="C317" s="81" t="n"/>
      <c r="D317" s="82" t="n"/>
      <c r="E317" s="82" t="n"/>
      <c r="F317" s="82" t="n"/>
      <c r="G317" s="82" t="n"/>
      <c r="H317" s="82" t="n"/>
      <c r="I317" s="83" t="n"/>
      <c r="J317" s="82" t="n"/>
      <c r="K317" s="84" t="n"/>
      <c r="L317" s="85" t="n"/>
      <c r="M317" s="82" t="n"/>
      <c r="N317" s="86" t="n"/>
      <c r="O317" s="81" t="n"/>
      <c r="P317" s="82" t="n"/>
      <c r="Q317" s="83" t="n"/>
      <c r="R317" s="82" t="n"/>
      <c r="S317" s="84" t="n"/>
      <c r="T317" s="84" t="n"/>
      <c r="U317" s="82" t="n"/>
      <c r="V317" s="86" t="n"/>
      <c r="W317" s="86" t="n"/>
      <c r="X317" s="86" t="n"/>
      <c r="Y317" s="81" t="n"/>
      <c r="Z317" s="82" t="n"/>
      <c r="AA317" s="81" t="n"/>
      <c r="AB317" s="82" t="n"/>
      <c r="AC317" s="87">
        <f>IF(OR($D317="",$M317="Rejected",$M317="Withdrawn",$M317="Accepted"),"",IF(ISNUMBER($O317),IF(INT($O317)&lt;TODAY(),"FOLLOW UP REQUIRED",IF(INT($O317)=TODAY(),"ACTION DUE TODAY",IF(INT($O317)-TODAY()&lt;=Set_DueSoonDays,"DUE SOON",""))),IF(AND($M317="Applied",$AA317=""),IF(ISNUMBER($C317),IF(TODAY()-$C317&gt;=Set_FollowUpDays,"NO RESPONSE",""),""),"")))</f>
        <v/>
      </c>
      <c r="AD317" s="87">
        <f>IF(ISNUMBER($L317),IF($L317&gt;=90,"Excellent Match",IF($L317&gt;=75,"Strong Match",IF($L317&gt;=60,"Moderate Match","Low Match"))),"")</f>
        <v/>
      </c>
      <c r="AE317" s="87">
        <f>IF($D317="","",IF(OR($M317="Rejected",$M317="Withdrawn"),IF($AB317&lt;&gt;"",$AB317,IF(OR($M317="Rejected",ISNUMBER($C317)),"Applied","Wishlist")),IF($M317="",IF(ISNUMBER($C317),"Applied","Wishlist"),$M317)))</f>
        <v/>
      </c>
      <c r="AF317" s="88">
        <f>IF(AND(ISNUMBER($C317),ISNUMBER($AA317)),$AA317-$C317,"")</f>
        <v/>
      </c>
      <c r="AG317" s="87">
        <f>IF($AE317="","",IFERROR(MATCH($AE317,{"Wishlist","Applied","Screening","Interview 1","Interview 2","Final","Offer","Accepted"},0)-1,""))</f>
        <v/>
      </c>
      <c r="AH317" s="87">
        <f>IF($AC317="","",MATCH($AC317,{"FOLLOW UP REQUIRED","ACTION DUE TODAY","NO RESPONSE","DUE SOON"},0)*100000+IF(ISNUMBER($O317),$O317,IF(ISNUMBER($C317),$C317,0))+ROW()/10000)</f>
        <v/>
      </c>
      <c r="AI317" s="87">
        <f>IF(AND(ISNUMBER($AG317),$AG317&gt;=1,$AG317&lt;=6,$M317&lt;&gt;"Rejected",$M317&lt;&gt;"Withdrawn"),(10-$AG317)*100000+IF(ISNUMBER($C317),$C317,0)+ROW()/10000,"")</f>
        <v/>
      </c>
    </row>
    <row r="318">
      <c r="A318" s="80" t="n"/>
      <c r="B318" s="81" t="n"/>
      <c r="C318" s="81" t="n"/>
      <c r="D318" s="82" t="n"/>
      <c r="E318" s="82" t="n"/>
      <c r="F318" s="82" t="n"/>
      <c r="G318" s="82" t="n"/>
      <c r="H318" s="82" t="n"/>
      <c r="I318" s="83" t="n"/>
      <c r="J318" s="82" t="n"/>
      <c r="K318" s="84" t="n"/>
      <c r="L318" s="85" t="n"/>
      <c r="M318" s="82" t="n"/>
      <c r="N318" s="86" t="n"/>
      <c r="O318" s="81" t="n"/>
      <c r="P318" s="82" t="n"/>
      <c r="Q318" s="83" t="n"/>
      <c r="R318" s="82" t="n"/>
      <c r="S318" s="84" t="n"/>
      <c r="T318" s="84" t="n"/>
      <c r="U318" s="82" t="n"/>
      <c r="V318" s="86" t="n"/>
      <c r="W318" s="86" t="n"/>
      <c r="X318" s="86" t="n"/>
      <c r="Y318" s="81" t="n"/>
      <c r="Z318" s="82" t="n"/>
      <c r="AA318" s="81" t="n"/>
      <c r="AB318" s="82" t="n"/>
      <c r="AC318" s="87">
        <f>IF(OR($D318="",$M318="Rejected",$M318="Withdrawn",$M318="Accepted"),"",IF(ISNUMBER($O318),IF(INT($O318)&lt;TODAY(),"FOLLOW UP REQUIRED",IF(INT($O318)=TODAY(),"ACTION DUE TODAY",IF(INT($O318)-TODAY()&lt;=Set_DueSoonDays,"DUE SOON",""))),IF(AND($M318="Applied",$AA318=""),IF(ISNUMBER($C318),IF(TODAY()-$C318&gt;=Set_FollowUpDays,"NO RESPONSE",""),""),"")))</f>
        <v/>
      </c>
      <c r="AD318" s="87">
        <f>IF(ISNUMBER($L318),IF($L318&gt;=90,"Excellent Match",IF($L318&gt;=75,"Strong Match",IF($L318&gt;=60,"Moderate Match","Low Match"))),"")</f>
        <v/>
      </c>
      <c r="AE318" s="87">
        <f>IF($D318="","",IF(OR($M318="Rejected",$M318="Withdrawn"),IF($AB318&lt;&gt;"",$AB318,IF(OR($M318="Rejected",ISNUMBER($C318)),"Applied","Wishlist")),IF($M318="",IF(ISNUMBER($C318),"Applied","Wishlist"),$M318)))</f>
        <v/>
      </c>
      <c r="AF318" s="88">
        <f>IF(AND(ISNUMBER($C318),ISNUMBER($AA318)),$AA318-$C318,"")</f>
        <v/>
      </c>
      <c r="AG318" s="87">
        <f>IF($AE318="","",IFERROR(MATCH($AE318,{"Wishlist","Applied","Screening","Interview 1","Interview 2","Final","Offer","Accepted"},0)-1,""))</f>
        <v/>
      </c>
      <c r="AH318" s="87">
        <f>IF($AC318="","",MATCH($AC318,{"FOLLOW UP REQUIRED","ACTION DUE TODAY","NO RESPONSE","DUE SOON"},0)*100000+IF(ISNUMBER($O318),$O318,IF(ISNUMBER($C318),$C318,0))+ROW()/10000)</f>
        <v/>
      </c>
      <c r="AI318" s="87">
        <f>IF(AND(ISNUMBER($AG318),$AG318&gt;=1,$AG318&lt;=6,$M318&lt;&gt;"Rejected",$M318&lt;&gt;"Withdrawn"),(10-$AG318)*100000+IF(ISNUMBER($C318),$C318,0)+ROW()/10000,"")</f>
        <v/>
      </c>
    </row>
    <row r="319">
      <c r="A319" s="80" t="n"/>
      <c r="B319" s="81" t="n"/>
      <c r="C319" s="81" t="n"/>
      <c r="D319" s="82" t="n"/>
      <c r="E319" s="82" t="n"/>
      <c r="F319" s="82" t="n"/>
      <c r="G319" s="82" t="n"/>
      <c r="H319" s="82" t="n"/>
      <c r="I319" s="83" t="n"/>
      <c r="J319" s="82" t="n"/>
      <c r="K319" s="84" t="n"/>
      <c r="L319" s="85" t="n"/>
      <c r="M319" s="82" t="n"/>
      <c r="N319" s="86" t="n"/>
      <c r="O319" s="81" t="n"/>
      <c r="P319" s="82" t="n"/>
      <c r="Q319" s="83" t="n"/>
      <c r="R319" s="82" t="n"/>
      <c r="S319" s="84" t="n"/>
      <c r="T319" s="84" t="n"/>
      <c r="U319" s="82" t="n"/>
      <c r="V319" s="86" t="n"/>
      <c r="W319" s="86" t="n"/>
      <c r="X319" s="86" t="n"/>
      <c r="Y319" s="81" t="n"/>
      <c r="Z319" s="82" t="n"/>
      <c r="AA319" s="81" t="n"/>
      <c r="AB319" s="82" t="n"/>
      <c r="AC319" s="87">
        <f>IF(OR($D319="",$M319="Rejected",$M319="Withdrawn",$M319="Accepted"),"",IF(ISNUMBER($O319),IF(INT($O319)&lt;TODAY(),"FOLLOW UP REQUIRED",IF(INT($O319)=TODAY(),"ACTION DUE TODAY",IF(INT($O319)-TODAY()&lt;=Set_DueSoonDays,"DUE SOON",""))),IF(AND($M319="Applied",$AA319=""),IF(ISNUMBER($C319),IF(TODAY()-$C319&gt;=Set_FollowUpDays,"NO RESPONSE",""),""),"")))</f>
        <v/>
      </c>
      <c r="AD319" s="87">
        <f>IF(ISNUMBER($L319),IF($L319&gt;=90,"Excellent Match",IF($L319&gt;=75,"Strong Match",IF($L319&gt;=60,"Moderate Match","Low Match"))),"")</f>
        <v/>
      </c>
      <c r="AE319" s="87">
        <f>IF($D319="","",IF(OR($M319="Rejected",$M319="Withdrawn"),IF($AB319&lt;&gt;"",$AB319,IF(OR($M319="Rejected",ISNUMBER($C319)),"Applied","Wishlist")),IF($M319="",IF(ISNUMBER($C319),"Applied","Wishlist"),$M319)))</f>
        <v/>
      </c>
      <c r="AF319" s="88">
        <f>IF(AND(ISNUMBER($C319),ISNUMBER($AA319)),$AA319-$C319,"")</f>
        <v/>
      </c>
      <c r="AG319" s="87">
        <f>IF($AE319="","",IFERROR(MATCH($AE319,{"Wishlist","Applied","Screening","Interview 1","Interview 2","Final","Offer","Accepted"},0)-1,""))</f>
        <v/>
      </c>
      <c r="AH319" s="87">
        <f>IF($AC319="","",MATCH($AC319,{"FOLLOW UP REQUIRED","ACTION DUE TODAY","NO RESPONSE","DUE SOON"},0)*100000+IF(ISNUMBER($O319),$O319,IF(ISNUMBER($C319),$C319,0))+ROW()/10000)</f>
        <v/>
      </c>
      <c r="AI319" s="87">
        <f>IF(AND(ISNUMBER($AG319),$AG319&gt;=1,$AG319&lt;=6,$M319&lt;&gt;"Rejected",$M319&lt;&gt;"Withdrawn"),(10-$AG319)*100000+IF(ISNUMBER($C319),$C319,0)+ROW()/10000,"")</f>
        <v/>
      </c>
    </row>
    <row r="320">
      <c r="A320" s="80" t="n"/>
      <c r="B320" s="81" t="n"/>
      <c r="C320" s="81" t="n"/>
      <c r="D320" s="82" t="n"/>
      <c r="E320" s="82" t="n"/>
      <c r="F320" s="82" t="n"/>
      <c r="G320" s="82" t="n"/>
      <c r="H320" s="82" t="n"/>
      <c r="I320" s="83" t="n"/>
      <c r="J320" s="82" t="n"/>
      <c r="K320" s="84" t="n"/>
      <c r="L320" s="85" t="n"/>
      <c r="M320" s="82" t="n"/>
      <c r="N320" s="86" t="n"/>
      <c r="O320" s="81" t="n"/>
      <c r="P320" s="82" t="n"/>
      <c r="Q320" s="83" t="n"/>
      <c r="R320" s="82" t="n"/>
      <c r="S320" s="84" t="n"/>
      <c r="T320" s="84" t="n"/>
      <c r="U320" s="82" t="n"/>
      <c r="V320" s="86" t="n"/>
      <c r="W320" s="86" t="n"/>
      <c r="X320" s="86" t="n"/>
      <c r="Y320" s="81" t="n"/>
      <c r="Z320" s="82" t="n"/>
      <c r="AA320" s="81" t="n"/>
      <c r="AB320" s="82" t="n"/>
      <c r="AC320" s="87">
        <f>IF(OR($D320="",$M320="Rejected",$M320="Withdrawn",$M320="Accepted"),"",IF(ISNUMBER($O320),IF(INT($O320)&lt;TODAY(),"FOLLOW UP REQUIRED",IF(INT($O320)=TODAY(),"ACTION DUE TODAY",IF(INT($O320)-TODAY()&lt;=Set_DueSoonDays,"DUE SOON",""))),IF(AND($M320="Applied",$AA320=""),IF(ISNUMBER($C320),IF(TODAY()-$C320&gt;=Set_FollowUpDays,"NO RESPONSE",""),""),"")))</f>
        <v/>
      </c>
      <c r="AD320" s="87">
        <f>IF(ISNUMBER($L320),IF($L320&gt;=90,"Excellent Match",IF($L320&gt;=75,"Strong Match",IF($L320&gt;=60,"Moderate Match","Low Match"))),"")</f>
        <v/>
      </c>
      <c r="AE320" s="87">
        <f>IF($D320="","",IF(OR($M320="Rejected",$M320="Withdrawn"),IF($AB320&lt;&gt;"",$AB320,IF(OR($M320="Rejected",ISNUMBER($C320)),"Applied","Wishlist")),IF($M320="",IF(ISNUMBER($C320),"Applied","Wishlist"),$M320)))</f>
        <v/>
      </c>
      <c r="AF320" s="88">
        <f>IF(AND(ISNUMBER($C320),ISNUMBER($AA320)),$AA320-$C320,"")</f>
        <v/>
      </c>
      <c r="AG320" s="87">
        <f>IF($AE320="","",IFERROR(MATCH($AE320,{"Wishlist","Applied","Screening","Interview 1","Interview 2","Final","Offer","Accepted"},0)-1,""))</f>
        <v/>
      </c>
      <c r="AH320" s="87">
        <f>IF($AC320="","",MATCH($AC320,{"FOLLOW UP REQUIRED","ACTION DUE TODAY","NO RESPONSE","DUE SOON"},0)*100000+IF(ISNUMBER($O320),$O320,IF(ISNUMBER($C320),$C320,0))+ROW()/10000)</f>
        <v/>
      </c>
      <c r="AI320" s="87">
        <f>IF(AND(ISNUMBER($AG320),$AG320&gt;=1,$AG320&lt;=6,$M320&lt;&gt;"Rejected",$M320&lt;&gt;"Withdrawn"),(10-$AG320)*100000+IF(ISNUMBER($C320),$C320,0)+ROW()/10000,"")</f>
        <v/>
      </c>
    </row>
    <row r="321">
      <c r="A321" s="80" t="n"/>
      <c r="B321" s="81" t="n"/>
      <c r="C321" s="81" t="n"/>
      <c r="D321" s="82" t="n"/>
      <c r="E321" s="82" t="n"/>
      <c r="F321" s="82" t="n"/>
      <c r="G321" s="82" t="n"/>
      <c r="H321" s="82" t="n"/>
      <c r="I321" s="83" t="n"/>
      <c r="J321" s="82" t="n"/>
      <c r="K321" s="84" t="n"/>
      <c r="L321" s="85" t="n"/>
      <c r="M321" s="82" t="n"/>
      <c r="N321" s="86" t="n"/>
      <c r="O321" s="81" t="n"/>
      <c r="P321" s="82" t="n"/>
      <c r="Q321" s="83" t="n"/>
      <c r="R321" s="82" t="n"/>
      <c r="S321" s="84" t="n"/>
      <c r="T321" s="84" t="n"/>
      <c r="U321" s="82" t="n"/>
      <c r="V321" s="86" t="n"/>
      <c r="W321" s="86" t="n"/>
      <c r="X321" s="86" t="n"/>
      <c r="Y321" s="81" t="n"/>
      <c r="Z321" s="82" t="n"/>
      <c r="AA321" s="81" t="n"/>
      <c r="AB321" s="82" t="n"/>
      <c r="AC321" s="87">
        <f>IF(OR($D321="",$M321="Rejected",$M321="Withdrawn",$M321="Accepted"),"",IF(ISNUMBER($O321),IF(INT($O321)&lt;TODAY(),"FOLLOW UP REQUIRED",IF(INT($O321)=TODAY(),"ACTION DUE TODAY",IF(INT($O321)-TODAY()&lt;=Set_DueSoonDays,"DUE SOON",""))),IF(AND($M321="Applied",$AA321=""),IF(ISNUMBER($C321),IF(TODAY()-$C321&gt;=Set_FollowUpDays,"NO RESPONSE",""),""),"")))</f>
        <v/>
      </c>
      <c r="AD321" s="87">
        <f>IF(ISNUMBER($L321),IF($L321&gt;=90,"Excellent Match",IF($L321&gt;=75,"Strong Match",IF($L321&gt;=60,"Moderate Match","Low Match"))),"")</f>
        <v/>
      </c>
      <c r="AE321" s="87">
        <f>IF($D321="","",IF(OR($M321="Rejected",$M321="Withdrawn"),IF($AB321&lt;&gt;"",$AB321,IF(OR($M321="Rejected",ISNUMBER($C321)),"Applied","Wishlist")),IF($M321="",IF(ISNUMBER($C321),"Applied","Wishlist"),$M321)))</f>
        <v/>
      </c>
      <c r="AF321" s="88">
        <f>IF(AND(ISNUMBER($C321),ISNUMBER($AA321)),$AA321-$C321,"")</f>
        <v/>
      </c>
      <c r="AG321" s="87">
        <f>IF($AE321="","",IFERROR(MATCH($AE321,{"Wishlist","Applied","Screening","Interview 1","Interview 2","Final","Offer","Accepted"},0)-1,""))</f>
        <v/>
      </c>
      <c r="AH321" s="87">
        <f>IF($AC321="","",MATCH($AC321,{"FOLLOW UP REQUIRED","ACTION DUE TODAY","NO RESPONSE","DUE SOON"},0)*100000+IF(ISNUMBER($O321),$O321,IF(ISNUMBER($C321),$C321,0))+ROW()/10000)</f>
        <v/>
      </c>
      <c r="AI321" s="87">
        <f>IF(AND(ISNUMBER($AG321),$AG321&gt;=1,$AG321&lt;=6,$M321&lt;&gt;"Rejected",$M321&lt;&gt;"Withdrawn"),(10-$AG321)*100000+IF(ISNUMBER($C321),$C321,0)+ROW()/10000,"")</f>
        <v/>
      </c>
    </row>
    <row r="322">
      <c r="A322" s="80" t="n"/>
      <c r="B322" s="81" t="n"/>
      <c r="C322" s="81" t="n"/>
      <c r="D322" s="82" t="n"/>
      <c r="E322" s="82" t="n"/>
      <c r="F322" s="82" t="n"/>
      <c r="G322" s="82" t="n"/>
      <c r="H322" s="82" t="n"/>
      <c r="I322" s="83" t="n"/>
      <c r="J322" s="82" t="n"/>
      <c r="K322" s="84" t="n"/>
      <c r="L322" s="85" t="n"/>
      <c r="M322" s="82" t="n"/>
      <c r="N322" s="86" t="n"/>
      <c r="O322" s="81" t="n"/>
      <c r="P322" s="82" t="n"/>
      <c r="Q322" s="83" t="n"/>
      <c r="R322" s="82" t="n"/>
      <c r="S322" s="84" t="n"/>
      <c r="T322" s="84" t="n"/>
      <c r="U322" s="82" t="n"/>
      <c r="V322" s="86" t="n"/>
      <c r="W322" s="86" t="n"/>
      <c r="X322" s="86" t="n"/>
      <c r="Y322" s="81" t="n"/>
      <c r="Z322" s="82" t="n"/>
      <c r="AA322" s="81" t="n"/>
      <c r="AB322" s="82" t="n"/>
      <c r="AC322" s="87">
        <f>IF(OR($D322="",$M322="Rejected",$M322="Withdrawn",$M322="Accepted"),"",IF(ISNUMBER($O322),IF(INT($O322)&lt;TODAY(),"FOLLOW UP REQUIRED",IF(INT($O322)=TODAY(),"ACTION DUE TODAY",IF(INT($O322)-TODAY()&lt;=Set_DueSoonDays,"DUE SOON",""))),IF(AND($M322="Applied",$AA322=""),IF(ISNUMBER($C322),IF(TODAY()-$C322&gt;=Set_FollowUpDays,"NO RESPONSE",""),""),"")))</f>
        <v/>
      </c>
      <c r="AD322" s="87">
        <f>IF(ISNUMBER($L322),IF($L322&gt;=90,"Excellent Match",IF($L322&gt;=75,"Strong Match",IF($L322&gt;=60,"Moderate Match","Low Match"))),"")</f>
        <v/>
      </c>
      <c r="AE322" s="87">
        <f>IF($D322="","",IF(OR($M322="Rejected",$M322="Withdrawn"),IF($AB322&lt;&gt;"",$AB322,IF(OR($M322="Rejected",ISNUMBER($C322)),"Applied","Wishlist")),IF($M322="",IF(ISNUMBER($C322),"Applied","Wishlist"),$M322)))</f>
        <v/>
      </c>
      <c r="AF322" s="88">
        <f>IF(AND(ISNUMBER($C322),ISNUMBER($AA322)),$AA322-$C322,"")</f>
        <v/>
      </c>
      <c r="AG322" s="87">
        <f>IF($AE322="","",IFERROR(MATCH($AE322,{"Wishlist","Applied","Screening","Interview 1","Interview 2","Final","Offer","Accepted"},0)-1,""))</f>
        <v/>
      </c>
      <c r="AH322" s="87">
        <f>IF($AC322="","",MATCH($AC322,{"FOLLOW UP REQUIRED","ACTION DUE TODAY","NO RESPONSE","DUE SOON"},0)*100000+IF(ISNUMBER($O322),$O322,IF(ISNUMBER($C322),$C322,0))+ROW()/10000)</f>
        <v/>
      </c>
      <c r="AI322" s="87">
        <f>IF(AND(ISNUMBER($AG322),$AG322&gt;=1,$AG322&lt;=6,$M322&lt;&gt;"Rejected",$M322&lt;&gt;"Withdrawn"),(10-$AG322)*100000+IF(ISNUMBER($C322),$C322,0)+ROW()/10000,"")</f>
        <v/>
      </c>
    </row>
    <row r="323">
      <c r="A323" s="80" t="n"/>
      <c r="B323" s="81" t="n"/>
      <c r="C323" s="81" t="n"/>
      <c r="D323" s="82" t="n"/>
      <c r="E323" s="82" t="n"/>
      <c r="F323" s="82" t="n"/>
      <c r="G323" s="82" t="n"/>
      <c r="H323" s="82" t="n"/>
      <c r="I323" s="83" t="n"/>
      <c r="J323" s="82" t="n"/>
      <c r="K323" s="84" t="n"/>
      <c r="L323" s="85" t="n"/>
      <c r="M323" s="82" t="n"/>
      <c r="N323" s="86" t="n"/>
      <c r="O323" s="81" t="n"/>
      <c r="P323" s="82" t="n"/>
      <c r="Q323" s="83" t="n"/>
      <c r="R323" s="82" t="n"/>
      <c r="S323" s="84" t="n"/>
      <c r="T323" s="84" t="n"/>
      <c r="U323" s="82" t="n"/>
      <c r="V323" s="86" t="n"/>
      <c r="W323" s="86" t="n"/>
      <c r="X323" s="86" t="n"/>
      <c r="Y323" s="81" t="n"/>
      <c r="Z323" s="82" t="n"/>
      <c r="AA323" s="81" t="n"/>
      <c r="AB323" s="82" t="n"/>
      <c r="AC323" s="87">
        <f>IF(OR($D323="",$M323="Rejected",$M323="Withdrawn",$M323="Accepted"),"",IF(ISNUMBER($O323),IF(INT($O323)&lt;TODAY(),"FOLLOW UP REQUIRED",IF(INT($O323)=TODAY(),"ACTION DUE TODAY",IF(INT($O323)-TODAY()&lt;=Set_DueSoonDays,"DUE SOON",""))),IF(AND($M323="Applied",$AA323=""),IF(ISNUMBER($C323),IF(TODAY()-$C323&gt;=Set_FollowUpDays,"NO RESPONSE",""),""),"")))</f>
        <v/>
      </c>
      <c r="AD323" s="87">
        <f>IF(ISNUMBER($L323),IF($L323&gt;=90,"Excellent Match",IF($L323&gt;=75,"Strong Match",IF($L323&gt;=60,"Moderate Match","Low Match"))),"")</f>
        <v/>
      </c>
      <c r="AE323" s="87">
        <f>IF($D323="","",IF(OR($M323="Rejected",$M323="Withdrawn"),IF($AB323&lt;&gt;"",$AB323,IF(OR($M323="Rejected",ISNUMBER($C323)),"Applied","Wishlist")),IF($M323="",IF(ISNUMBER($C323),"Applied","Wishlist"),$M323)))</f>
        <v/>
      </c>
      <c r="AF323" s="88">
        <f>IF(AND(ISNUMBER($C323),ISNUMBER($AA323)),$AA323-$C323,"")</f>
        <v/>
      </c>
      <c r="AG323" s="87">
        <f>IF($AE323="","",IFERROR(MATCH($AE323,{"Wishlist","Applied","Screening","Interview 1","Interview 2","Final","Offer","Accepted"},0)-1,""))</f>
        <v/>
      </c>
      <c r="AH323" s="87">
        <f>IF($AC323="","",MATCH($AC323,{"FOLLOW UP REQUIRED","ACTION DUE TODAY","NO RESPONSE","DUE SOON"},0)*100000+IF(ISNUMBER($O323),$O323,IF(ISNUMBER($C323),$C323,0))+ROW()/10000)</f>
        <v/>
      </c>
      <c r="AI323" s="87">
        <f>IF(AND(ISNUMBER($AG323),$AG323&gt;=1,$AG323&lt;=6,$M323&lt;&gt;"Rejected",$M323&lt;&gt;"Withdrawn"),(10-$AG323)*100000+IF(ISNUMBER($C323),$C323,0)+ROW()/10000,"")</f>
        <v/>
      </c>
    </row>
    <row r="324">
      <c r="A324" s="80" t="n"/>
      <c r="B324" s="81" t="n"/>
      <c r="C324" s="81" t="n"/>
      <c r="D324" s="82" t="n"/>
      <c r="E324" s="82" t="n"/>
      <c r="F324" s="82" t="n"/>
      <c r="G324" s="82" t="n"/>
      <c r="H324" s="82" t="n"/>
      <c r="I324" s="83" t="n"/>
      <c r="J324" s="82" t="n"/>
      <c r="K324" s="84" t="n"/>
      <c r="L324" s="85" t="n"/>
      <c r="M324" s="82" t="n"/>
      <c r="N324" s="86" t="n"/>
      <c r="O324" s="81" t="n"/>
      <c r="P324" s="82" t="n"/>
      <c r="Q324" s="83" t="n"/>
      <c r="R324" s="82" t="n"/>
      <c r="S324" s="84" t="n"/>
      <c r="T324" s="84" t="n"/>
      <c r="U324" s="82" t="n"/>
      <c r="V324" s="86" t="n"/>
      <c r="W324" s="86" t="n"/>
      <c r="X324" s="86" t="n"/>
      <c r="Y324" s="81" t="n"/>
      <c r="Z324" s="82" t="n"/>
      <c r="AA324" s="81" t="n"/>
      <c r="AB324" s="82" t="n"/>
      <c r="AC324" s="87">
        <f>IF(OR($D324="",$M324="Rejected",$M324="Withdrawn",$M324="Accepted"),"",IF(ISNUMBER($O324),IF(INT($O324)&lt;TODAY(),"FOLLOW UP REQUIRED",IF(INT($O324)=TODAY(),"ACTION DUE TODAY",IF(INT($O324)-TODAY()&lt;=Set_DueSoonDays,"DUE SOON",""))),IF(AND($M324="Applied",$AA324=""),IF(ISNUMBER($C324),IF(TODAY()-$C324&gt;=Set_FollowUpDays,"NO RESPONSE",""),""),"")))</f>
        <v/>
      </c>
      <c r="AD324" s="87">
        <f>IF(ISNUMBER($L324),IF($L324&gt;=90,"Excellent Match",IF($L324&gt;=75,"Strong Match",IF($L324&gt;=60,"Moderate Match","Low Match"))),"")</f>
        <v/>
      </c>
      <c r="AE324" s="87">
        <f>IF($D324="","",IF(OR($M324="Rejected",$M324="Withdrawn"),IF($AB324&lt;&gt;"",$AB324,IF(OR($M324="Rejected",ISNUMBER($C324)),"Applied","Wishlist")),IF($M324="",IF(ISNUMBER($C324),"Applied","Wishlist"),$M324)))</f>
        <v/>
      </c>
      <c r="AF324" s="88">
        <f>IF(AND(ISNUMBER($C324),ISNUMBER($AA324)),$AA324-$C324,"")</f>
        <v/>
      </c>
      <c r="AG324" s="87">
        <f>IF($AE324="","",IFERROR(MATCH($AE324,{"Wishlist","Applied","Screening","Interview 1","Interview 2","Final","Offer","Accepted"},0)-1,""))</f>
        <v/>
      </c>
      <c r="AH324" s="87">
        <f>IF($AC324="","",MATCH($AC324,{"FOLLOW UP REQUIRED","ACTION DUE TODAY","NO RESPONSE","DUE SOON"},0)*100000+IF(ISNUMBER($O324),$O324,IF(ISNUMBER($C324),$C324,0))+ROW()/10000)</f>
        <v/>
      </c>
      <c r="AI324" s="87">
        <f>IF(AND(ISNUMBER($AG324),$AG324&gt;=1,$AG324&lt;=6,$M324&lt;&gt;"Rejected",$M324&lt;&gt;"Withdrawn"),(10-$AG324)*100000+IF(ISNUMBER($C324),$C324,0)+ROW()/10000,"")</f>
        <v/>
      </c>
    </row>
    <row r="325">
      <c r="A325" s="80" t="n"/>
      <c r="B325" s="81" t="n"/>
      <c r="C325" s="81" t="n"/>
      <c r="D325" s="82" t="n"/>
      <c r="E325" s="82" t="n"/>
      <c r="F325" s="82" t="n"/>
      <c r="G325" s="82" t="n"/>
      <c r="H325" s="82" t="n"/>
      <c r="I325" s="83" t="n"/>
      <c r="J325" s="82" t="n"/>
      <c r="K325" s="84" t="n"/>
      <c r="L325" s="85" t="n"/>
      <c r="M325" s="82" t="n"/>
      <c r="N325" s="86" t="n"/>
      <c r="O325" s="81" t="n"/>
      <c r="P325" s="82" t="n"/>
      <c r="Q325" s="83" t="n"/>
      <c r="R325" s="82" t="n"/>
      <c r="S325" s="84" t="n"/>
      <c r="T325" s="84" t="n"/>
      <c r="U325" s="82" t="n"/>
      <c r="V325" s="86" t="n"/>
      <c r="W325" s="86" t="n"/>
      <c r="X325" s="86" t="n"/>
      <c r="Y325" s="81" t="n"/>
      <c r="Z325" s="82" t="n"/>
      <c r="AA325" s="81" t="n"/>
      <c r="AB325" s="82" t="n"/>
      <c r="AC325" s="87">
        <f>IF(OR($D325="",$M325="Rejected",$M325="Withdrawn",$M325="Accepted"),"",IF(ISNUMBER($O325),IF(INT($O325)&lt;TODAY(),"FOLLOW UP REQUIRED",IF(INT($O325)=TODAY(),"ACTION DUE TODAY",IF(INT($O325)-TODAY()&lt;=Set_DueSoonDays,"DUE SOON",""))),IF(AND($M325="Applied",$AA325=""),IF(ISNUMBER($C325),IF(TODAY()-$C325&gt;=Set_FollowUpDays,"NO RESPONSE",""),""),"")))</f>
        <v/>
      </c>
      <c r="AD325" s="87">
        <f>IF(ISNUMBER($L325),IF($L325&gt;=90,"Excellent Match",IF($L325&gt;=75,"Strong Match",IF($L325&gt;=60,"Moderate Match","Low Match"))),"")</f>
        <v/>
      </c>
      <c r="AE325" s="87">
        <f>IF($D325="","",IF(OR($M325="Rejected",$M325="Withdrawn"),IF($AB325&lt;&gt;"",$AB325,IF(OR($M325="Rejected",ISNUMBER($C325)),"Applied","Wishlist")),IF($M325="",IF(ISNUMBER($C325),"Applied","Wishlist"),$M325)))</f>
        <v/>
      </c>
      <c r="AF325" s="88">
        <f>IF(AND(ISNUMBER($C325),ISNUMBER($AA325)),$AA325-$C325,"")</f>
        <v/>
      </c>
      <c r="AG325" s="87">
        <f>IF($AE325="","",IFERROR(MATCH($AE325,{"Wishlist","Applied","Screening","Interview 1","Interview 2","Final","Offer","Accepted"},0)-1,""))</f>
        <v/>
      </c>
      <c r="AH325" s="87">
        <f>IF($AC325="","",MATCH($AC325,{"FOLLOW UP REQUIRED","ACTION DUE TODAY","NO RESPONSE","DUE SOON"},0)*100000+IF(ISNUMBER($O325),$O325,IF(ISNUMBER($C325),$C325,0))+ROW()/10000)</f>
        <v/>
      </c>
      <c r="AI325" s="87">
        <f>IF(AND(ISNUMBER($AG325),$AG325&gt;=1,$AG325&lt;=6,$M325&lt;&gt;"Rejected",$M325&lt;&gt;"Withdrawn"),(10-$AG325)*100000+IF(ISNUMBER($C325),$C325,0)+ROW()/10000,"")</f>
        <v/>
      </c>
    </row>
    <row r="326">
      <c r="A326" s="80" t="n"/>
      <c r="B326" s="81" t="n"/>
      <c r="C326" s="81" t="n"/>
      <c r="D326" s="82" t="n"/>
      <c r="E326" s="82" t="n"/>
      <c r="F326" s="82" t="n"/>
      <c r="G326" s="82" t="n"/>
      <c r="H326" s="82" t="n"/>
      <c r="I326" s="83" t="n"/>
      <c r="J326" s="82" t="n"/>
      <c r="K326" s="84" t="n"/>
      <c r="L326" s="85" t="n"/>
      <c r="M326" s="82" t="n"/>
      <c r="N326" s="86" t="n"/>
      <c r="O326" s="81" t="n"/>
      <c r="P326" s="82" t="n"/>
      <c r="Q326" s="83" t="n"/>
      <c r="R326" s="82" t="n"/>
      <c r="S326" s="84" t="n"/>
      <c r="T326" s="84" t="n"/>
      <c r="U326" s="82" t="n"/>
      <c r="V326" s="86" t="n"/>
      <c r="W326" s="86" t="n"/>
      <c r="X326" s="86" t="n"/>
      <c r="Y326" s="81" t="n"/>
      <c r="Z326" s="82" t="n"/>
      <c r="AA326" s="81" t="n"/>
      <c r="AB326" s="82" t="n"/>
      <c r="AC326" s="87">
        <f>IF(OR($D326="",$M326="Rejected",$M326="Withdrawn",$M326="Accepted"),"",IF(ISNUMBER($O326),IF(INT($O326)&lt;TODAY(),"FOLLOW UP REQUIRED",IF(INT($O326)=TODAY(),"ACTION DUE TODAY",IF(INT($O326)-TODAY()&lt;=Set_DueSoonDays,"DUE SOON",""))),IF(AND($M326="Applied",$AA326=""),IF(ISNUMBER($C326),IF(TODAY()-$C326&gt;=Set_FollowUpDays,"NO RESPONSE",""),""),"")))</f>
        <v/>
      </c>
      <c r="AD326" s="87">
        <f>IF(ISNUMBER($L326),IF($L326&gt;=90,"Excellent Match",IF($L326&gt;=75,"Strong Match",IF($L326&gt;=60,"Moderate Match","Low Match"))),"")</f>
        <v/>
      </c>
      <c r="AE326" s="87">
        <f>IF($D326="","",IF(OR($M326="Rejected",$M326="Withdrawn"),IF($AB326&lt;&gt;"",$AB326,IF(OR($M326="Rejected",ISNUMBER($C326)),"Applied","Wishlist")),IF($M326="",IF(ISNUMBER($C326),"Applied","Wishlist"),$M326)))</f>
        <v/>
      </c>
      <c r="AF326" s="88">
        <f>IF(AND(ISNUMBER($C326),ISNUMBER($AA326)),$AA326-$C326,"")</f>
        <v/>
      </c>
      <c r="AG326" s="87">
        <f>IF($AE326="","",IFERROR(MATCH($AE326,{"Wishlist","Applied","Screening","Interview 1","Interview 2","Final","Offer","Accepted"},0)-1,""))</f>
        <v/>
      </c>
      <c r="AH326" s="87">
        <f>IF($AC326="","",MATCH($AC326,{"FOLLOW UP REQUIRED","ACTION DUE TODAY","NO RESPONSE","DUE SOON"},0)*100000+IF(ISNUMBER($O326),$O326,IF(ISNUMBER($C326),$C326,0))+ROW()/10000)</f>
        <v/>
      </c>
      <c r="AI326" s="87">
        <f>IF(AND(ISNUMBER($AG326),$AG326&gt;=1,$AG326&lt;=6,$M326&lt;&gt;"Rejected",$M326&lt;&gt;"Withdrawn"),(10-$AG326)*100000+IF(ISNUMBER($C326),$C326,0)+ROW()/10000,"")</f>
        <v/>
      </c>
    </row>
    <row r="327">
      <c r="A327" s="80" t="n"/>
      <c r="B327" s="81" t="n"/>
      <c r="C327" s="81" t="n"/>
      <c r="D327" s="82" t="n"/>
      <c r="E327" s="82" t="n"/>
      <c r="F327" s="82" t="n"/>
      <c r="G327" s="82" t="n"/>
      <c r="H327" s="82" t="n"/>
      <c r="I327" s="83" t="n"/>
      <c r="J327" s="82" t="n"/>
      <c r="K327" s="84" t="n"/>
      <c r="L327" s="85" t="n"/>
      <c r="M327" s="82" t="n"/>
      <c r="N327" s="86" t="n"/>
      <c r="O327" s="81" t="n"/>
      <c r="P327" s="82" t="n"/>
      <c r="Q327" s="83" t="n"/>
      <c r="R327" s="82" t="n"/>
      <c r="S327" s="84" t="n"/>
      <c r="T327" s="84" t="n"/>
      <c r="U327" s="82" t="n"/>
      <c r="V327" s="86" t="n"/>
      <c r="W327" s="86" t="n"/>
      <c r="X327" s="86" t="n"/>
      <c r="Y327" s="81" t="n"/>
      <c r="Z327" s="82" t="n"/>
      <c r="AA327" s="81" t="n"/>
      <c r="AB327" s="82" t="n"/>
      <c r="AC327" s="87">
        <f>IF(OR($D327="",$M327="Rejected",$M327="Withdrawn",$M327="Accepted"),"",IF(ISNUMBER($O327),IF(INT($O327)&lt;TODAY(),"FOLLOW UP REQUIRED",IF(INT($O327)=TODAY(),"ACTION DUE TODAY",IF(INT($O327)-TODAY()&lt;=Set_DueSoonDays,"DUE SOON",""))),IF(AND($M327="Applied",$AA327=""),IF(ISNUMBER($C327),IF(TODAY()-$C327&gt;=Set_FollowUpDays,"NO RESPONSE",""),""),"")))</f>
        <v/>
      </c>
      <c r="AD327" s="87">
        <f>IF(ISNUMBER($L327),IF($L327&gt;=90,"Excellent Match",IF($L327&gt;=75,"Strong Match",IF($L327&gt;=60,"Moderate Match","Low Match"))),"")</f>
        <v/>
      </c>
      <c r="AE327" s="87">
        <f>IF($D327="","",IF(OR($M327="Rejected",$M327="Withdrawn"),IF($AB327&lt;&gt;"",$AB327,IF(OR($M327="Rejected",ISNUMBER($C327)),"Applied","Wishlist")),IF($M327="",IF(ISNUMBER($C327),"Applied","Wishlist"),$M327)))</f>
        <v/>
      </c>
      <c r="AF327" s="88">
        <f>IF(AND(ISNUMBER($C327),ISNUMBER($AA327)),$AA327-$C327,"")</f>
        <v/>
      </c>
      <c r="AG327" s="87">
        <f>IF($AE327="","",IFERROR(MATCH($AE327,{"Wishlist","Applied","Screening","Interview 1","Interview 2","Final","Offer","Accepted"},0)-1,""))</f>
        <v/>
      </c>
      <c r="AH327" s="87">
        <f>IF($AC327="","",MATCH($AC327,{"FOLLOW UP REQUIRED","ACTION DUE TODAY","NO RESPONSE","DUE SOON"},0)*100000+IF(ISNUMBER($O327),$O327,IF(ISNUMBER($C327),$C327,0))+ROW()/10000)</f>
        <v/>
      </c>
      <c r="AI327" s="87">
        <f>IF(AND(ISNUMBER($AG327),$AG327&gt;=1,$AG327&lt;=6,$M327&lt;&gt;"Rejected",$M327&lt;&gt;"Withdrawn"),(10-$AG327)*100000+IF(ISNUMBER($C327),$C327,0)+ROW()/10000,"")</f>
        <v/>
      </c>
    </row>
    <row r="328">
      <c r="A328" s="80" t="n"/>
      <c r="B328" s="81" t="n"/>
      <c r="C328" s="81" t="n"/>
      <c r="D328" s="82" t="n"/>
      <c r="E328" s="82" t="n"/>
      <c r="F328" s="82" t="n"/>
      <c r="G328" s="82" t="n"/>
      <c r="H328" s="82" t="n"/>
      <c r="I328" s="83" t="n"/>
      <c r="J328" s="82" t="n"/>
      <c r="K328" s="84" t="n"/>
      <c r="L328" s="85" t="n"/>
      <c r="M328" s="82" t="n"/>
      <c r="N328" s="86" t="n"/>
      <c r="O328" s="81" t="n"/>
      <c r="P328" s="82" t="n"/>
      <c r="Q328" s="83" t="n"/>
      <c r="R328" s="82" t="n"/>
      <c r="S328" s="84" t="n"/>
      <c r="T328" s="84" t="n"/>
      <c r="U328" s="82" t="n"/>
      <c r="V328" s="86" t="n"/>
      <c r="W328" s="86" t="n"/>
      <c r="X328" s="86" t="n"/>
      <c r="Y328" s="81" t="n"/>
      <c r="Z328" s="82" t="n"/>
      <c r="AA328" s="81" t="n"/>
      <c r="AB328" s="82" t="n"/>
      <c r="AC328" s="87">
        <f>IF(OR($D328="",$M328="Rejected",$M328="Withdrawn",$M328="Accepted"),"",IF(ISNUMBER($O328),IF(INT($O328)&lt;TODAY(),"FOLLOW UP REQUIRED",IF(INT($O328)=TODAY(),"ACTION DUE TODAY",IF(INT($O328)-TODAY()&lt;=Set_DueSoonDays,"DUE SOON",""))),IF(AND($M328="Applied",$AA328=""),IF(ISNUMBER($C328),IF(TODAY()-$C328&gt;=Set_FollowUpDays,"NO RESPONSE",""),""),"")))</f>
        <v/>
      </c>
      <c r="AD328" s="87">
        <f>IF(ISNUMBER($L328),IF($L328&gt;=90,"Excellent Match",IF($L328&gt;=75,"Strong Match",IF($L328&gt;=60,"Moderate Match","Low Match"))),"")</f>
        <v/>
      </c>
      <c r="AE328" s="87">
        <f>IF($D328="","",IF(OR($M328="Rejected",$M328="Withdrawn"),IF($AB328&lt;&gt;"",$AB328,IF(OR($M328="Rejected",ISNUMBER($C328)),"Applied","Wishlist")),IF($M328="",IF(ISNUMBER($C328),"Applied","Wishlist"),$M328)))</f>
        <v/>
      </c>
      <c r="AF328" s="88">
        <f>IF(AND(ISNUMBER($C328),ISNUMBER($AA328)),$AA328-$C328,"")</f>
        <v/>
      </c>
      <c r="AG328" s="87">
        <f>IF($AE328="","",IFERROR(MATCH($AE328,{"Wishlist","Applied","Screening","Interview 1","Interview 2","Final","Offer","Accepted"},0)-1,""))</f>
        <v/>
      </c>
      <c r="AH328" s="87">
        <f>IF($AC328="","",MATCH($AC328,{"FOLLOW UP REQUIRED","ACTION DUE TODAY","NO RESPONSE","DUE SOON"},0)*100000+IF(ISNUMBER($O328),$O328,IF(ISNUMBER($C328),$C328,0))+ROW()/10000)</f>
        <v/>
      </c>
      <c r="AI328" s="87">
        <f>IF(AND(ISNUMBER($AG328),$AG328&gt;=1,$AG328&lt;=6,$M328&lt;&gt;"Rejected",$M328&lt;&gt;"Withdrawn"),(10-$AG328)*100000+IF(ISNUMBER($C328),$C328,0)+ROW()/10000,"")</f>
        <v/>
      </c>
    </row>
    <row r="329">
      <c r="A329" s="80" t="n"/>
      <c r="B329" s="81" t="n"/>
      <c r="C329" s="81" t="n"/>
      <c r="D329" s="82" t="n"/>
      <c r="E329" s="82" t="n"/>
      <c r="F329" s="82" t="n"/>
      <c r="G329" s="82" t="n"/>
      <c r="H329" s="82" t="n"/>
      <c r="I329" s="83" t="n"/>
      <c r="J329" s="82" t="n"/>
      <c r="K329" s="84" t="n"/>
      <c r="L329" s="85" t="n"/>
      <c r="M329" s="82" t="n"/>
      <c r="N329" s="86" t="n"/>
      <c r="O329" s="81" t="n"/>
      <c r="P329" s="82" t="n"/>
      <c r="Q329" s="83" t="n"/>
      <c r="R329" s="82" t="n"/>
      <c r="S329" s="84" t="n"/>
      <c r="T329" s="84" t="n"/>
      <c r="U329" s="82" t="n"/>
      <c r="V329" s="86" t="n"/>
      <c r="W329" s="86" t="n"/>
      <c r="X329" s="86" t="n"/>
      <c r="Y329" s="81" t="n"/>
      <c r="Z329" s="82" t="n"/>
      <c r="AA329" s="81" t="n"/>
      <c r="AB329" s="82" t="n"/>
      <c r="AC329" s="87">
        <f>IF(OR($D329="",$M329="Rejected",$M329="Withdrawn",$M329="Accepted"),"",IF(ISNUMBER($O329),IF(INT($O329)&lt;TODAY(),"FOLLOW UP REQUIRED",IF(INT($O329)=TODAY(),"ACTION DUE TODAY",IF(INT($O329)-TODAY()&lt;=Set_DueSoonDays,"DUE SOON",""))),IF(AND($M329="Applied",$AA329=""),IF(ISNUMBER($C329),IF(TODAY()-$C329&gt;=Set_FollowUpDays,"NO RESPONSE",""),""),"")))</f>
        <v/>
      </c>
      <c r="AD329" s="87">
        <f>IF(ISNUMBER($L329),IF($L329&gt;=90,"Excellent Match",IF($L329&gt;=75,"Strong Match",IF($L329&gt;=60,"Moderate Match","Low Match"))),"")</f>
        <v/>
      </c>
      <c r="AE329" s="87">
        <f>IF($D329="","",IF(OR($M329="Rejected",$M329="Withdrawn"),IF($AB329&lt;&gt;"",$AB329,IF(OR($M329="Rejected",ISNUMBER($C329)),"Applied","Wishlist")),IF($M329="",IF(ISNUMBER($C329),"Applied","Wishlist"),$M329)))</f>
        <v/>
      </c>
      <c r="AF329" s="88">
        <f>IF(AND(ISNUMBER($C329),ISNUMBER($AA329)),$AA329-$C329,"")</f>
        <v/>
      </c>
      <c r="AG329" s="87">
        <f>IF($AE329="","",IFERROR(MATCH($AE329,{"Wishlist","Applied","Screening","Interview 1","Interview 2","Final","Offer","Accepted"},0)-1,""))</f>
        <v/>
      </c>
      <c r="AH329" s="87">
        <f>IF($AC329="","",MATCH($AC329,{"FOLLOW UP REQUIRED","ACTION DUE TODAY","NO RESPONSE","DUE SOON"},0)*100000+IF(ISNUMBER($O329),$O329,IF(ISNUMBER($C329),$C329,0))+ROW()/10000)</f>
        <v/>
      </c>
      <c r="AI329" s="87">
        <f>IF(AND(ISNUMBER($AG329),$AG329&gt;=1,$AG329&lt;=6,$M329&lt;&gt;"Rejected",$M329&lt;&gt;"Withdrawn"),(10-$AG329)*100000+IF(ISNUMBER($C329),$C329,0)+ROW()/10000,"")</f>
        <v/>
      </c>
    </row>
    <row r="330">
      <c r="A330" s="80" t="n"/>
      <c r="B330" s="81" t="n"/>
      <c r="C330" s="81" t="n"/>
      <c r="D330" s="82" t="n"/>
      <c r="E330" s="82" t="n"/>
      <c r="F330" s="82" t="n"/>
      <c r="G330" s="82" t="n"/>
      <c r="H330" s="82" t="n"/>
      <c r="I330" s="83" t="n"/>
      <c r="J330" s="82" t="n"/>
      <c r="K330" s="84" t="n"/>
      <c r="L330" s="85" t="n"/>
      <c r="M330" s="82" t="n"/>
      <c r="N330" s="86" t="n"/>
      <c r="O330" s="81" t="n"/>
      <c r="P330" s="82" t="n"/>
      <c r="Q330" s="83" t="n"/>
      <c r="R330" s="82" t="n"/>
      <c r="S330" s="84" t="n"/>
      <c r="T330" s="84" t="n"/>
      <c r="U330" s="82" t="n"/>
      <c r="V330" s="86" t="n"/>
      <c r="W330" s="86" t="n"/>
      <c r="X330" s="86" t="n"/>
      <c r="Y330" s="81" t="n"/>
      <c r="Z330" s="82" t="n"/>
      <c r="AA330" s="81" t="n"/>
      <c r="AB330" s="82" t="n"/>
      <c r="AC330" s="87">
        <f>IF(OR($D330="",$M330="Rejected",$M330="Withdrawn",$M330="Accepted"),"",IF(ISNUMBER($O330),IF(INT($O330)&lt;TODAY(),"FOLLOW UP REQUIRED",IF(INT($O330)=TODAY(),"ACTION DUE TODAY",IF(INT($O330)-TODAY()&lt;=Set_DueSoonDays,"DUE SOON",""))),IF(AND($M330="Applied",$AA330=""),IF(ISNUMBER($C330),IF(TODAY()-$C330&gt;=Set_FollowUpDays,"NO RESPONSE",""),""),"")))</f>
        <v/>
      </c>
      <c r="AD330" s="87">
        <f>IF(ISNUMBER($L330),IF($L330&gt;=90,"Excellent Match",IF($L330&gt;=75,"Strong Match",IF($L330&gt;=60,"Moderate Match","Low Match"))),"")</f>
        <v/>
      </c>
      <c r="AE330" s="87">
        <f>IF($D330="","",IF(OR($M330="Rejected",$M330="Withdrawn"),IF($AB330&lt;&gt;"",$AB330,IF(OR($M330="Rejected",ISNUMBER($C330)),"Applied","Wishlist")),IF($M330="",IF(ISNUMBER($C330),"Applied","Wishlist"),$M330)))</f>
        <v/>
      </c>
      <c r="AF330" s="88">
        <f>IF(AND(ISNUMBER($C330),ISNUMBER($AA330)),$AA330-$C330,"")</f>
        <v/>
      </c>
      <c r="AG330" s="87">
        <f>IF($AE330="","",IFERROR(MATCH($AE330,{"Wishlist","Applied","Screening","Interview 1","Interview 2","Final","Offer","Accepted"},0)-1,""))</f>
        <v/>
      </c>
      <c r="AH330" s="87">
        <f>IF($AC330="","",MATCH($AC330,{"FOLLOW UP REQUIRED","ACTION DUE TODAY","NO RESPONSE","DUE SOON"},0)*100000+IF(ISNUMBER($O330),$O330,IF(ISNUMBER($C330),$C330,0))+ROW()/10000)</f>
        <v/>
      </c>
      <c r="AI330" s="87">
        <f>IF(AND(ISNUMBER($AG330),$AG330&gt;=1,$AG330&lt;=6,$M330&lt;&gt;"Rejected",$M330&lt;&gt;"Withdrawn"),(10-$AG330)*100000+IF(ISNUMBER($C330),$C330,0)+ROW()/10000,"")</f>
        <v/>
      </c>
    </row>
    <row r="331">
      <c r="A331" s="80" t="n"/>
      <c r="B331" s="81" t="n"/>
      <c r="C331" s="81" t="n"/>
      <c r="D331" s="82" t="n"/>
      <c r="E331" s="82" t="n"/>
      <c r="F331" s="82" t="n"/>
      <c r="G331" s="82" t="n"/>
      <c r="H331" s="82" t="n"/>
      <c r="I331" s="83" t="n"/>
      <c r="J331" s="82" t="n"/>
      <c r="K331" s="84" t="n"/>
      <c r="L331" s="85" t="n"/>
      <c r="M331" s="82" t="n"/>
      <c r="N331" s="86" t="n"/>
      <c r="O331" s="81" t="n"/>
      <c r="P331" s="82" t="n"/>
      <c r="Q331" s="83" t="n"/>
      <c r="R331" s="82" t="n"/>
      <c r="S331" s="84" t="n"/>
      <c r="T331" s="84" t="n"/>
      <c r="U331" s="82" t="n"/>
      <c r="V331" s="86" t="n"/>
      <c r="W331" s="86" t="n"/>
      <c r="X331" s="86" t="n"/>
      <c r="Y331" s="81" t="n"/>
      <c r="Z331" s="82" t="n"/>
      <c r="AA331" s="81" t="n"/>
      <c r="AB331" s="82" t="n"/>
      <c r="AC331" s="87">
        <f>IF(OR($D331="",$M331="Rejected",$M331="Withdrawn",$M331="Accepted"),"",IF(ISNUMBER($O331),IF(INT($O331)&lt;TODAY(),"FOLLOW UP REQUIRED",IF(INT($O331)=TODAY(),"ACTION DUE TODAY",IF(INT($O331)-TODAY()&lt;=Set_DueSoonDays,"DUE SOON",""))),IF(AND($M331="Applied",$AA331=""),IF(ISNUMBER($C331),IF(TODAY()-$C331&gt;=Set_FollowUpDays,"NO RESPONSE",""),""),"")))</f>
        <v/>
      </c>
      <c r="AD331" s="87">
        <f>IF(ISNUMBER($L331),IF($L331&gt;=90,"Excellent Match",IF($L331&gt;=75,"Strong Match",IF($L331&gt;=60,"Moderate Match","Low Match"))),"")</f>
        <v/>
      </c>
      <c r="AE331" s="87">
        <f>IF($D331="","",IF(OR($M331="Rejected",$M331="Withdrawn"),IF($AB331&lt;&gt;"",$AB331,IF(OR($M331="Rejected",ISNUMBER($C331)),"Applied","Wishlist")),IF($M331="",IF(ISNUMBER($C331),"Applied","Wishlist"),$M331)))</f>
        <v/>
      </c>
      <c r="AF331" s="88">
        <f>IF(AND(ISNUMBER($C331),ISNUMBER($AA331)),$AA331-$C331,"")</f>
        <v/>
      </c>
      <c r="AG331" s="87">
        <f>IF($AE331="","",IFERROR(MATCH($AE331,{"Wishlist","Applied","Screening","Interview 1","Interview 2","Final","Offer","Accepted"},0)-1,""))</f>
        <v/>
      </c>
      <c r="AH331" s="87">
        <f>IF($AC331="","",MATCH($AC331,{"FOLLOW UP REQUIRED","ACTION DUE TODAY","NO RESPONSE","DUE SOON"},0)*100000+IF(ISNUMBER($O331),$O331,IF(ISNUMBER($C331),$C331,0))+ROW()/10000)</f>
        <v/>
      </c>
      <c r="AI331" s="87">
        <f>IF(AND(ISNUMBER($AG331),$AG331&gt;=1,$AG331&lt;=6,$M331&lt;&gt;"Rejected",$M331&lt;&gt;"Withdrawn"),(10-$AG331)*100000+IF(ISNUMBER($C331),$C331,0)+ROW()/10000,"")</f>
        <v/>
      </c>
    </row>
    <row r="332">
      <c r="A332" s="80" t="n"/>
      <c r="B332" s="81" t="n"/>
      <c r="C332" s="81" t="n"/>
      <c r="D332" s="82" t="n"/>
      <c r="E332" s="82" t="n"/>
      <c r="F332" s="82" t="n"/>
      <c r="G332" s="82" t="n"/>
      <c r="H332" s="82" t="n"/>
      <c r="I332" s="83" t="n"/>
      <c r="J332" s="82" t="n"/>
      <c r="K332" s="84" t="n"/>
      <c r="L332" s="85" t="n"/>
      <c r="M332" s="82" t="n"/>
      <c r="N332" s="86" t="n"/>
      <c r="O332" s="81" t="n"/>
      <c r="P332" s="82" t="n"/>
      <c r="Q332" s="83" t="n"/>
      <c r="R332" s="82" t="n"/>
      <c r="S332" s="84" t="n"/>
      <c r="T332" s="84" t="n"/>
      <c r="U332" s="82" t="n"/>
      <c r="V332" s="86" t="n"/>
      <c r="W332" s="86" t="n"/>
      <c r="X332" s="86" t="n"/>
      <c r="Y332" s="81" t="n"/>
      <c r="Z332" s="82" t="n"/>
      <c r="AA332" s="81" t="n"/>
      <c r="AB332" s="82" t="n"/>
      <c r="AC332" s="87">
        <f>IF(OR($D332="",$M332="Rejected",$M332="Withdrawn",$M332="Accepted"),"",IF(ISNUMBER($O332),IF(INT($O332)&lt;TODAY(),"FOLLOW UP REQUIRED",IF(INT($O332)=TODAY(),"ACTION DUE TODAY",IF(INT($O332)-TODAY()&lt;=Set_DueSoonDays,"DUE SOON",""))),IF(AND($M332="Applied",$AA332=""),IF(ISNUMBER($C332),IF(TODAY()-$C332&gt;=Set_FollowUpDays,"NO RESPONSE",""),""),"")))</f>
        <v/>
      </c>
      <c r="AD332" s="87">
        <f>IF(ISNUMBER($L332),IF($L332&gt;=90,"Excellent Match",IF($L332&gt;=75,"Strong Match",IF($L332&gt;=60,"Moderate Match","Low Match"))),"")</f>
        <v/>
      </c>
      <c r="AE332" s="87">
        <f>IF($D332="","",IF(OR($M332="Rejected",$M332="Withdrawn"),IF($AB332&lt;&gt;"",$AB332,IF(OR($M332="Rejected",ISNUMBER($C332)),"Applied","Wishlist")),IF($M332="",IF(ISNUMBER($C332),"Applied","Wishlist"),$M332)))</f>
        <v/>
      </c>
      <c r="AF332" s="88">
        <f>IF(AND(ISNUMBER($C332),ISNUMBER($AA332)),$AA332-$C332,"")</f>
        <v/>
      </c>
      <c r="AG332" s="87">
        <f>IF($AE332="","",IFERROR(MATCH($AE332,{"Wishlist","Applied","Screening","Interview 1","Interview 2","Final","Offer","Accepted"},0)-1,""))</f>
        <v/>
      </c>
      <c r="AH332" s="87">
        <f>IF($AC332="","",MATCH($AC332,{"FOLLOW UP REQUIRED","ACTION DUE TODAY","NO RESPONSE","DUE SOON"},0)*100000+IF(ISNUMBER($O332),$O332,IF(ISNUMBER($C332),$C332,0))+ROW()/10000)</f>
        <v/>
      </c>
      <c r="AI332" s="87">
        <f>IF(AND(ISNUMBER($AG332),$AG332&gt;=1,$AG332&lt;=6,$M332&lt;&gt;"Rejected",$M332&lt;&gt;"Withdrawn"),(10-$AG332)*100000+IF(ISNUMBER($C332),$C332,0)+ROW()/10000,"")</f>
        <v/>
      </c>
    </row>
    <row r="333">
      <c r="A333" s="80" t="n"/>
      <c r="B333" s="81" t="n"/>
      <c r="C333" s="81" t="n"/>
      <c r="D333" s="82" t="n"/>
      <c r="E333" s="82" t="n"/>
      <c r="F333" s="82" t="n"/>
      <c r="G333" s="82" t="n"/>
      <c r="H333" s="82" t="n"/>
      <c r="I333" s="83" t="n"/>
      <c r="J333" s="82" t="n"/>
      <c r="K333" s="84" t="n"/>
      <c r="L333" s="85" t="n"/>
      <c r="M333" s="82" t="n"/>
      <c r="N333" s="86" t="n"/>
      <c r="O333" s="81" t="n"/>
      <c r="P333" s="82" t="n"/>
      <c r="Q333" s="83" t="n"/>
      <c r="R333" s="82" t="n"/>
      <c r="S333" s="84" t="n"/>
      <c r="T333" s="84" t="n"/>
      <c r="U333" s="82" t="n"/>
      <c r="V333" s="86" t="n"/>
      <c r="W333" s="86" t="n"/>
      <c r="X333" s="86" t="n"/>
      <c r="Y333" s="81" t="n"/>
      <c r="Z333" s="82" t="n"/>
      <c r="AA333" s="81" t="n"/>
      <c r="AB333" s="82" t="n"/>
      <c r="AC333" s="87">
        <f>IF(OR($D333="",$M333="Rejected",$M333="Withdrawn",$M333="Accepted"),"",IF(ISNUMBER($O333),IF(INT($O333)&lt;TODAY(),"FOLLOW UP REQUIRED",IF(INT($O333)=TODAY(),"ACTION DUE TODAY",IF(INT($O333)-TODAY()&lt;=Set_DueSoonDays,"DUE SOON",""))),IF(AND($M333="Applied",$AA333=""),IF(ISNUMBER($C333),IF(TODAY()-$C333&gt;=Set_FollowUpDays,"NO RESPONSE",""),""),"")))</f>
        <v/>
      </c>
      <c r="AD333" s="87">
        <f>IF(ISNUMBER($L333),IF($L333&gt;=90,"Excellent Match",IF($L333&gt;=75,"Strong Match",IF($L333&gt;=60,"Moderate Match","Low Match"))),"")</f>
        <v/>
      </c>
      <c r="AE333" s="87">
        <f>IF($D333="","",IF(OR($M333="Rejected",$M333="Withdrawn"),IF($AB333&lt;&gt;"",$AB333,IF(OR($M333="Rejected",ISNUMBER($C333)),"Applied","Wishlist")),IF($M333="",IF(ISNUMBER($C333),"Applied","Wishlist"),$M333)))</f>
        <v/>
      </c>
      <c r="AF333" s="88">
        <f>IF(AND(ISNUMBER($C333),ISNUMBER($AA333)),$AA333-$C333,"")</f>
        <v/>
      </c>
      <c r="AG333" s="87">
        <f>IF($AE333="","",IFERROR(MATCH($AE333,{"Wishlist","Applied","Screening","Interview 1","Interview 2","Final","Offer","Accepted"},0)-1,""))</f>
        <v/>
      </c>
      <c r="AH333" s="87">
        <f>IF($AC333="","",MATCH($AC333,{"FOLLOW UP REQUIRED","ACTION DUE TODAY","NO RESPONSE","DUE SOON"},0)*100000+IF(ISNUMBER($O333),$O333,IF(ISNUMBER($C333),$C333,0))+ROW()/10000)</f>
        <v/>
      </c>
      <c r="AI333" s="87">
        <f>IF(AND(ISNUMBER($AG333),$AG333&gt;=1,$AG333&lt;=6,$M333&lt;&gt;"Rejected",$M333&lt;&gt;"Withdrawn"),(10-$AG333)*100000+IF(ISNUMBER($C333),$C333,0)+ROW()/10000,"")</f>
        <v/>
      </c>
    </row>
    <row r="334">
      <c r="A334" s="80" t="n"/>
      <c r="B334" s="81" t="n"/>
      <c r="C334" s="81" t="n"/>
      <c r="D334" s="82" t="n"/>
      <c r="E334" s="82" t="n"/>
      <c r="F334" s="82" t="n"/>
      <c r="G334" s="82" t="n"/>
      <c r="H334" s="82" t="n"/>
      <c r="I334" s="83" t="n"/>
      <c r="J334" s="82" t="n"/>
      <c r="K334" s="84" t="n"/>
      <c r="L334" s="85" t="n"/>
      <c r="M334" s="82" t="n"/>
      <c r="N334" s="86" t="n"/>
      <c r="O334" s="81" t="n"/>
      <c r="P334" s="82" t="n"/>
      <c r="Q334" s="83" t="n"/>
      <c r="R334" s="82" t="n"/>
      <c r="S334" s="84" t="n"/>
      <c r="T334" s="84" t="n"/>
      <c r="U334" s="82" t="n"/>
      <c r="V334" s="86" t="n"/>
      <c r="W334" s="86" t="n"/>
      <c r="X334" s="86" t="n"/>
      <c r="Y334" s="81" t="n"/>
      <c r="Z334" s="82" t="n"/>
      <c r="AA334" s="81" t="n"/>
      <c r="AB334" s="82" t="n"/>
      <c r="AC334" s="87">
        <f>IF(OR($D334="",$M334="Rejected",$M334="Withdrawn",$M334="Accepted"),"",IF(ISNUMBER($O334),IF(INT($O334)&lt;TODAY(),"FOLLOW UP REQUIRED",IF(INT($O334)=TODAY(),"ACTION DUE TODAY",IF(INT($O334)-TODAY()&lt;=Set_DueSoonDays,"DUE SOON",""))),IF(AND($M334="Applied",$AA334=""),IF(ISNUMBER($C334),IF(TODAY()-$C334&gt;=Set_FollowUpDays,"NO RESPONSE",""),""),"")))</f>
        <v/>
      </c>
      <c r="AD334" s="87">
        <f>IF(ISNUMBER($L334),IF($L334&gt;=90,"Excellent Match",IF($L334&gt;=75,"Strong Match",IF($L334&gt;=60,"Moderate Match","Low Match"))),"")</f>
        <v/>
      </c>
      <c r="AE334" s="87">
        <f>IF($D334="","",IF(OR($M334="Rejected",$M334="Withdrawn"),IF($AB334&lt;&gt;"",$AB334,IF(OR($M334="Rejected",ISNUMBER($C334)),"Applied","Wishlist")),IF($M334="",IF(ISNUMBER($C334),"Applied","Wishlist"),$M334)))</f>
        <v/>
      </c>
      <c r="AF334" s="88">
        <f>IF(AND(ISNUMBER($C334),ISNUMBER($AA334)),$AA334-$C334,"")</f>
        <v/>
      </c>
      <c r="AG334" s="87">
        <f>IF($AE334="","",IFERROR(MATCH($AE334,{"Wishlist","Applied","Screening","Interview 1","Interview 2","Final","Offer","Accepted"},0)-1,""))</f>
        <v/>
      </c>
      <c r="AH334" s="87">
        <f>IF($AC334="","",MATCH($AC334,{"FOLLOW UP REQUIRED","ACTION DUE TODAY","NO RESPONSE","DUE SOON"},0)*100000+IF(ISNUMBER($O334),$O334,IF(ISNUMBER($C334),$C334,0))+ROW()/10000)</f>
        <v/>
      </c>
      <c r="AI334" s="87">
        <f>IF(AND(ISNUMBER($AG334),$AG334&gt;=1,$AG334&lt;=6,$M334&lt;&gt;"Rejected",$M334&lt;&gt;"Withdrawn"),(10-$AG334)*100000+IF(ISNUMBER($C334),$C334,0)+ROW()/10000,"")</f>
        <v/>
      </c>
    </row>
    <row r="335">
      <c r="A335" s="80" t="n"/>
      <c r="B335" s="81" t="n"/>
      <c r="C335" s="81" t="n"/>
      <c r="D335" s="82" t="n"/>
      <c r="E335" s="82" t="n"/>
      <c r="F335" s="82" t="n"/>
      <c r="G335" s="82" t="n"/>
      <c r="H335" s="82" t="n"/>
      <c r="I335" s="83" t="n"/>
      <c r="J335" s="82" t="n"/>
      <c r="K335" s="84" t="n"/>
      <c r="L335" s="85" t="n"/>
      <c r="M335" s="82" t="n"/>
      <c r="N335" s="86" t="n"/>
      <c r="O335" s="81" t="n"/>
      <c r="P335" s="82" t="n"/>
      <c r="Q335" s="83" t="n"/>
      <c r="R335" s="82" t="n"/>
      <c r="S335" s="84" t="n"/>
      <c r="T335" s="84" t="n"/>
      <c r="U335" s="82" t="n"/>
      <c r="V335" s="86" t="n"/>
      <c r="W335" s="86" t="n"/>
      <c r="X335" s="86" t="n"/>
      <c r="Y335" s="81" t="n"/>
      <c r="Z335" s="82" t="n"/>
      <c r="AA335" s="81" t="n"/>
      <c r="AB335" s="82" t="n"/>
      <c r="AC335" s="87">
        <f>IF(OR($D335="",$M335="Rejected",$M335="Withdrawn",$M335="Accepted"),"",IF(ISNUMBER($O335),IF(INT($O335)&lt;TODAY(),"FOLLOW UP REQUIRED",IF(INT($O335)=TODAY(),"ACTION DUE TODAY",IF(INT($O335)-TODAY()&lt;=Set_DueSoonDays,"DUE SOON",""))),IF(AND($M335="Applied",$AA335=""),IF(ISNUMBER($C335),IF(TODAY()-$C335&gt;=Set_FollowUpDays,"NO RESPONSE",""),""),"")))</f>
        <v/>
      </c>
      <c r="AD335" s="87">
        <f>IF(ISNUMBER($L335),IF($L335&gt;=90,"Excellent Match",IF($L335&gt;=75,"Strong Match",IF($L335&gt;=60,"Moderate Match","Low Match"))),"")</f>
        <v/>
      </c>
      <c r="AE335" s="87">
        <f>IF($D335="","",IF(OR($M335="Rejected",$M335="Withdrawn"),IF($AB335&lt;&gt;"",$AB335,IF(OR($M335="Rejected",ISNUMBER($C335)),"Applied","Wishlist")),IF($M335="",IF(ISNUMBER($C335),"Applied","Wishlist"),$M335)))</f>
        <v/>
      </c>
      <c r="AF335" s="88">
        <f>IF(AND(ISNUMBER($C335),ISNUMBER($AA335)),$AA335-$C335,"")</f>
        <v/>
      </c>
      <c r="AG335" s="87">
        <f>IF($AE335="","",IFERROR(MATCH($AE335,{"Wishlist","Applied","Screening","Interview 1","Interview 2","Final","Offer","Accepted"},0)-1,""))</f>
        <v/>
      </c>
      <c r="AH335" s="87">
        <f>IF($AC335="","",MATCH($AC335,{"FOLLOW UP REQUIRED","ACTION DUE TODAY","NO RESPONSE","DUE SOON"},0)*100000+IF(ISNUMBER($O335),$O335,IF(ISNUMBER($C335),$C335,0))+ROW()/10000)</f>
        <v/>
      </c>
      <c r="AI335" s="87">
        <f>IF(AND(ISNUMBER($AG335),$AG335&gt;=1,$AG335&lt;=6,$M335&lt;&gt;"Rejected",$M335&lt;&gt;"Withdrawn"),(10-$AG335)*100000+IF(ISNUMBER($C335),$C335,0)+ROW()/10000,"")</f>
        <v/>
      </c>
    </row>
    <row r="336">
      <c r="A336" s="80" t="n"/>
      <c r="B336" s="81" t="n"/>
      <c r="C336" s="81" t="n"/>
      <c r="D336" s="82" t="n"/>
      <c r="E336" s="82" t="n"/>
      <c r="F336" s="82" t="n"/>
      <c r="G336" s="82" t="n"/>
      <c r="H336" s="82" t="n"/>
      <c r="I336" s="83" t="n"/>
      <c r="J336" s="82" t="n"/>
      <c r="K336" s="84" t="n"/>
      <c r="L336" s="85" t="n"/>
      <c r="M336" s="82" t="n"/>
      <c r="N336" s="86" t="n"/>
      <c r="O336" s="81" t="n"/>
      <c r="P336" s="82" t="n"/>
      <c r="Q336" s="83" t="n"/>
      <c r="R336" s="82" t="n"/>
      <c r="S336" s="84" t="n"/>
      <c r="T336" s="84" t="n"/>
      <c r="U336" s="82" t="n"/>
      <c r="V336" s="86" t="n"/>
      <c r="W336" s="86" t="n"/>
      <c r="X336" s="86" t="n"/>
      <c r="Y336" s="81" t="n"/>
      <c r="Z336" s="82" t="n"/>
      <c r="AA336" s="81" t="n"/>
      <c r="AB336" s="82" t="n"/>
      <c r="AC336" s="87">
        <f>IF(OR($D336="",$M336="Rejected",$M336="Withdrawn",$M336="Accepted"),"",IF(ISNUMBER($O336),IF(INT($O336)&lt;TODAY(),"FOLLOW UP REQUIRED",IF(INT($O336)=TODAY(),"ACTION DUE TODAY",IF(INT($O336)-TODAY()&lt;=Set_DueSoonDays,"DUE SOON",""))),IF(AND($M336="Applied",$AA336=""),IF(ISNUMBER($C336),IF(TODAY()-$C336&gt;=Set_FollowUpDays,"NO RESPONSE",""),""),"")))</f>
        <v/>
      </c>
      <c r="AD336" s="87">
        <f>IF(ISNUMBER($L336),IF($L336&gt;=90,"Excellent Match",IF($L336&gt;=75,"Strong Match",IF($L336&gt;=60,"Moderate Match","Low Match"))),"")</f>
        <v/>
      </c>
      <c r="AE336" s="87">
        <f>IF($D336="","",IF(OR($M336="Rejected",$M336="Withdrawn"),IF($AB336&lt;&gt;"",$AB336,IF(OR($M336="Rejected",ISNUMBER($C336)),"Applied","Wishlist")),IF($M336="",IF(ISNUMBER($C336),"Applied","Wishlist"),$M336)))</f>
        <v/>
      </c>
      <c r="AF336" s="88">
        <f>IF(AND(ISNUMBER($C336),ISNUMBER($AA336)),$AA336-$C336,"")</f>
        <v/>
      </c>
      <c r="AG336" s="87">
        <f>IF($AE336="","",IFERROR(MATCH($AE336,{"Wishlist","Applied","Screening","Interview 1","Interview 2","Final","Offer","Accepted"},0)-1,""))</f>
        <v/>
      </c>
      <c r="AH336" s="87">
        <f>IF($AC336="","",MATCH($AC336,{"FOLLOW UP REQUIRED","ACTION DUE TODAY","NO RESPONSE","DUE SOON"},0)*100000+IF(ISNUMBER($O336),$O336,IF(ISNUMBER($C336),$C336,0))+ROW()/10000)</f>
        <v/>
      </c>
      <c r="AI336" s="87">
        <f>IF(AND(ISNUMBER($AG336),$AG336&gt;=1,$AG336&lt;=6,$M336&lt;&gt;"Rejected",$M336&lt;&gt;"Withdrawn"),(10-$AG336)*100000+IF(ISNUMBER($C336),$C336,0)+ROW()/10000,"")</f>
        <v/>
      </c>
    </row>
    <row r="337">
      <c r="A337" s="80" t="n"/>
      <c r="B337" s="81" t="n"/>
      <c r="C337" s="81" t="n"/>
      <c r="D337" s="82" t="n"/>
      <c r="E337" s="82" t="n"/>
      <c r="F337" s="82" t="n"/>
      <c r="G337" s="82" t="n"/>
      <c r="H337" s="82" t="n"/>
      <c r="I337" s="83" t="n"/>
      <c r="J337" s="82" t="n"/>
      <c r="K337" s="84" t="n"/>
      <c r="L337" s="85" t="n"/>
      <c r="M337" s="82" t="n"/>
      <c r="N337" s="86" t="n"/>
      <c r="O337" s="81" t="n"/>
      <c r="P337" s="82" t="n"/>
      <c r="Q337" s="83" t="n"/>
      <c r="R337" s="82" t="n"/>
      <c r="S337" s="84" t="n"/>
      <c r="T337" s="84" t="n"/>
      <c r="U337" s="82" t="n"/>
      <c r="V337" s="86" t="n"/>
      <c r="W337" s="86" t="n"/>
      <c r="X337" s="86" t="n"/>
      <c r="Y337" s="81" t="n"/>
      <c r="Z337" s="82" t="n"/>
      <c r="AA337" s="81" t="n"/>
      <c r="AB337" s="82" t="n"/>
      <c r="AC337" s="87">
        <f>IF(OR($D337="",$M337="Rejected",$M337="Withdrawn",$M337="Accepted"),"",IF(ISNUMBER($O337),IF(INT($O337)&lt;TODAY(),"FOLLOW UP REQUIRED",IF(INT($O337)=TODAY(),"ACTION DUE TODAY",IF(INT($O337)-TODAY()&lt;=Set_DueSoonDays,"DUE SOON",""))),IF(AND($M337="Applied",$AA337=""),IF(ISNUMBER($C337),IF(TODAY()-$C337&gt;=Set_FollowUpDays,"NO RESPONSE",""),""),"")))</f>
        <v/>
      </c>
      <c r="AD337" s="87">
        <f>IF(ISNUMBER($L337),IF($L337&gt;=90,"Excellent Match",IF($L337&gt;=75,"Strong Match",IF($L337&gt;=60,"Moderate Match","Low Match"))),"")</f>
        <v/>
      </c>
      <c r="AE337" s="87">
        <f>IF($D337="","",IF(OR($M337="Rejected",$M337="Withdrawn"),IF($AB337&lt;&gt;"",$AB337,IF(OR($M337="Rejected",ISNUMBER($C337)),"Applied","Wishlist")),IF($M337="",IF(ISNUMBER($C337),"Applied","Wishlist"),$M337)))</f>
        <v/>
      </c>
      <c r="AF337" s="88">
        <f>IF(AND(ISNUMBER($C337),ISNUMBER($AA337)),$AA337-$C337,"")</f>
        <v/>
      </c>
      <c r="AG337" s="87">
        <f>IF($AE337="","",IFERROR(MATCH($AE337,{"Wishlist","Applied","Screening","Interview 1","Interview 2","Final","Offer","Accepted"},0)-1,""))</f>
        <v/>
      </c>
      <c r="AH337" s="87">
        <f>IF($AC337="","",MATCH($AC337,{"FOLLOW UP REQUIRED","ACTION DUE TODAY","NO RESPONSE","DUE SOON"},0)*100000+IF(ISNUMBER($O337),$O337,IF(ISNUMBER($C337),$C337,0))+ROW()/10000)</f>
        <v/>
      </c>
      <c r="AI337" s="87">
        <f>IF(AND(ISNUMBER($AG337),$AG337&gt;=1,$AG337&lt;=6,$M337&lt;&gt;"Rejected",$M337&lt;&gt;"Withdrawn"),(10-$AG337)*100000+IF(ISNUMBER($C337),$C337,0)+ROW()/10000,"")</f>
        <v/>
      </c>
    </row>
    <row r="338">
      <c r="A338" s="80" t="n"/>
      <c r="B338" s="81" t="n"/>
      <c r="C338" s="81" t="n"/>
      <c r="D338" s="82" t="n"/>
      <c r="E338" s="82" t="n"/>
      <c r="F338" s="82" t="n"/>
      <c r="G338" s="82" t="n"/>
      <c r="H338" s="82" t="n"/>
      <c r="I338" s="83" t="n"/>
      <c r="J338" s="82" t="n"/>
      <c r="K338" s="84" t="n"/>
      <c r="L338" s="85" t="n"/>
      <c r="M338" s="82" t="n"/>
      <c r="N338" s="86" t="n"/>
      <c r="O338" s="81" t="n"/>
      <c r="P338" s="82" t="n"/>
      <c r="Q338" s="83" t="n"/>
      <c r="R338" s="82" t="n"/>
      <c r="S338" s="84" t="n"/>
      <c r="T338" s="84" t="n"/>
      <c r="U338" s="82" t="n"/>
      <c r="V338" s="86" t="n"/>
      <c r="W338" s="86" t="n"/>
      <c r="X338" s="86" t="n"/>
      <c r="Y338" s="81" t="n"/>
      <c r="Z338" s="82" t="n"/>
      <c r="AA338" s="81" t="n"/>
      <c r="AB338" s="82" t="n"/>
      <c r="AC338" s="87">
        <f>IF(OR($D338="",$M338="Rejected",$M338="Withdrawn",$M338="Accepted"),"",IF(ISNUMBER($O338),IF(INT($O338)&lt;TODAY(),"FOLLOW UP REQUIRED",IF(INT($O338)=TODAY(),"ACTION DUE TODAY",IF(INT($O338)-TODAY()&lt;=Set_DueSoonDays,"DUE SOON",""))),IF(AND($M338="Applied",$AA338=""),IF(ISNUMBER($C338),IF(TODAY()-$C338&gt;=Set_FollowUpDays,"NO RESPONSE",""),""),"")))</f>
        <v/>
      </c>
      <c r="AD338" s="87">
        <f>IF(ISNUMBER($L338),IF($L338&gt;=90,"Excellent Match",IF($L338&gt;=75,"Strong Match",IF($L338&gt;=60,"Moderate Match","Low Match"))),"")</f>
        <v/>
      </c>
      <c r="AE338" s="87">
        <f>IF($D338="","",IF(OR($M338="Rejected",$M338="Withdrawn"),IF($AB338&lt;&gt;"",$AB338,IF(OR($M338="Rejected",ISNUMBER($C338)),"Applied","Wishlist")),IF($M338="",IF(ISNUMBER($C338),"Applied","Wishlist"),$M338)))</f>
        <v/>
      </c>
      <c r="AF338" s="88">
        <f>IF(AND(ISNUMBER($C338),ISNUMBER($AA338)),$AA338-$C338,"")</f>
        <v/>
      </c>
      <c r="AG338" s="87">
        <f>IF($AE338="","",IFERROR(MATCH($AE338,{"Wishlist","Applied","Screening","Interview 1","Interview 2","Final","Offer","Accepted"},0)-1,""))</f>
        <v/>
      </c>
      <c r="AH338" s="87">
        <f>IF($AC338="","",MATCH($AC338,{"FOLLOW UP REQUIRED","ACTION DUE TODAY","NO RESPONSE","DUE SOON"},0)*100000+IF(ISNUMBER($O338),$O338,IF(ISNUMBER($C338),$C338,0))+ROW()/10000)</f>
        <v/>
      </c>
      <c r="AI338" s="87">
        <f>IF(AND(ISNUMBER($AG338),$AG338&gt;=1,$AG338&lt;=6,$M338&lt;&gt;"Rejected",$M338&lt;&gt;"Withdrawn"),(10-$AG338)*100000+IF(ISNUMBER($C338),$C338,0)+ROW()/10000,"")</f>
        <v/>
      </c>
    </row>
    <row r="339">
      <c r="A339" s="80" t="n"/>
      <c r="B339" s="81" t="n"/>
      <c r="C339" s="81" t="n"/>
      <c r="D339" s="82" t="n"/>
      <c r="E339" s="82" t="n"/>
      <c r="F339" s="82" t="n"/>
      <c r="G339" s="82" t="n"/>
      <c r="H339" s="82" t="n"/>
      <c r="I339" s="83" t="n"/>
      <c r="J339" s="82" t="n"/>
      <c r="K339" s="84" t="n"/>
      <c r="L339" s="85" t="n"/>
      <c r="M339" s="82" t="n"/>
      <c r="N339" s="86" t="n"/>
      <c r="O339" s="81" t="n"/>
      <c r="P339" s="82" t="n"/>
      <c r="Q339" s="83" t="n"/>
      <c r="R339" s="82" t="n"/>
      <c r="S339" s="84" t="n"/>
      <c r="T339" s="84" t="n"/>
      <c r="U339" s="82" t="n"/>
      <c r="V339" s="86" t="n"/>
      <c r="W339" s="86" t="n"/>
      <c r="X339" s="86" t="n"/>
      <c r="Y339" s="81" t="n"/>
      <c r="Z339" s="82" t="n"/>
      <c r="AA339" s="81" t="n"/>
      <c r="AB339" s="82" t="n"/>
      <c r="AC339" s="87">
        <f>IF(OR($D339="",$M339="Rejected",$M339="Withdrawn",$M339="Accepted"),"",IF(ISNUMBER($O339),IF(INT($O339)&lt;TODAY(),"FOLLOW UP REQUIRED",IF(INT($O339)=TODAY(),"ACTION DUE TODAY",IF(INT($O339)-TODAY()&lt;=Set_DueSoonDays,"DUE SOON",""))),IF(AND($M339="Applied",$AA339=""),IF(ISNUMBER($C339),IF(TODAY()-$C339&gt;=Set_FollowUpDays,"NO RESPONSE",""),""),"")))</f>
        <v/>
      </c>
      <c r="AD339" s="87">
        <f>IF(ISNUMBER($L339),IF($L339&gt;=90,"Excellent Match",IF($L339&gt;=75,"Strong Match",IF($L339&gt;=60,"Moderate Match","Low Match"))),"")</f>
        <v/>
      </c>
      <c r="AE339" s="87">
        <f>IF($D339="","",IF(OR($M339="Rejected",$M339="Withdrawn"),IF($AB339&lt;&gt;"",$AB339,IF(OR($M339="Rejected",ISNUMBER($C339)),"Applied","Wishlist")),IF($M339="",IF(ISNUMBER($C339),"Applied","Wishlist"),$M339)))</f>
        <v/>
      </c>
      <c r="AF339" s="88">
        <f>IF(AND(ISNUMBER($C339),ISNUMBER($AA339)),$AA339-$C339,"")</f>
        <v/>
      </c>
      <c r="AG339" s="87">
        <f>IF($AE339="","",IFERROR(MATCH($AE339,{"Wishlist","Applied","Screening","Interview 1","Interview 2","Final","Offer","Accepted"},0)-1,""))</f>
        <v/>
      </c>
      <c r="AH339" s="87">
        <f>IF($AC339="","",MATCH($AC339,{"FOLLOW UP REQUIRED","ACTION DUE TODAY","NO RESPONSE","DUE SOON"},0)*100000+IF(ISNUMBER($O339),$O339,IF(ISNUMBER($C339),$C339,0))+ROW()/10000)</f>
        <v/>
      </c>
      <c r="AI339" s="87">
        <f>IF(AND(ISNUMBER($AG339),$AG339&gt;=1,$AG339&lt;=6,$M339&lt;&gt;"Rejected",$M339&lt;&gt;"Withdrawn"),(10-$AG339)*100000+IF(ISNUMBER($C339),$C339,0)+ROW()/10000,"")</f>
        <v/>
      </c>
    </row>
    <row r="340">
      <c r="A340" s="80" t="n"/>
      <c r="B340" s="81" t="n"/>
      <c r="C340" s="81" t="n"/>
      <c r="D340" s="82" t="n"/>
      <c r="E340" s="82" t="n"/>
      <c r="F340" s="82" t="n"/>
      <c r="G340" s="82" t="n"/>
      <c r="H340" s="82" t="n"/>
      <c r="I340" s="83" t="n"/>
      <c r="J340" s="82" t="n"/>
      <c r="K340" s="84" t="n"/>
      <c r="L340" s="85" t="n"/>
      <c r="M340" s="82" t="n"/>
      <c r="N340" s="86" t="n"/>
      <c r="O340" s="81" t="n"/>
      <c r="P340" s="82" t="n"/>
      <c r="Q340" s="83" t="n"/>
      <c r="R340" s="82" t="n"/>
      <c r="S340" s="84" t="n"/>
      <c r="T340" s="84" t="n"/>
      <c r="U340" s="82" t="n"/>
      <c r="V340" s="86" t="n"/>
      <c r="W340" s="86" t="n"/>
      <c r="X340" s="86" t="n"/>
      <c r="Y340" s="81" t="n"/>
      <c r="Z340" s="82" t="n"/>
      <c r="AA340" s="81" t="n"/>
      <c r="AB340" s="82" t="n"/>
      <c r="AC340" s="87">
        <f>IF(OR($D340="",$M340="Rejected",$M340="Withdrawn",$M340="Accepted"),"",IF(ISNUMBER($O340),IF(INT($O340)&lt;TODAY(),"FOLLOW UP REQUIRED",IF(INT($O340)=TODAY(),"ACTION DUE TODAY",IF(INT($O340)-TODAY()&lt;=Set_DueSoonDays,"DUE SOON",""))),IF(AND($M340="Applied",$AA340=""),IF(ISNUMBER($C340),IF(TODAY()-$C340&gt;=Set_FollowUpDays,"NO RESPONSE",""),""),"")))</f>
        <v/>
      </c>
      <c r="AD340" s="87">
        <f>IF(ISNUMBER($L340),IF($L340&gt;=90,"Excellent Match",IF($L340&gt;=75,"Strong Match",IF($L340&gt;=60,"Moderate Match","Low Match"))),"")</f>
        <v/>
      </c>
      <c r="AE340" s="87">
        <f>IF($D340="","",IF(OR($M340="Rejected",$M340="Withdrawn"),IF($AB340&lt;&gt;"",$AB340,IF(OR($M340="Rejected",ISNUMBER($C340)),"Applied","Wishlist")),IF($M340="",IF(ISNUMBER($C340),"Applied","Wishlist"),$M340)))</f>
        <v/>
      </c>
      <c r="AF340" s="88">
        <f>IF(AND(ISNUMBER($C340),ISNUMBER($AA340)),$AA340-$C340,"")</f>
        <v/>
      </c>
      <c r="AG340" s="87">
        <f>IF($AE340="","",IFERROR(MATCH($AE340,{"Wishlist","Applied","Screening","Interview 1","Interview 2","Final","Offer","Accepted"},0)-1,""))</f>
        <v/>
      </c>
      <c r="AH340" s="87">
        <f>IF($AC340="","",MATCH($AC340,{"FOLLOW UP REQUIRED","ACTION DUE TODAY","NO RESPONSE","DUE SOON"},0)*100000+IF(ISNUMBER($O340),$O340,IF(ISNUMBER($C340),$C340,0))+ROW()/10000)</f>
        <v/>
      </c>
      <c r="AI340" s="87">
        <f>IF(AND(ISNUMBER($AG340),$AG340&gt;=1,$AG340&lt;=6,$M340&lt;&gt;"Rejected",$M340&lt;&gt;"Withdrawn"),(10-$AG340)*100000+IF(ISNUMBER($C340),$C340,0)+ROW()/10000,"")</f>
        <v/>
      </c>
    </row>
    <row r="341">
      <c r="A341" s="80" t="n"/>
      <c r="B341" s="81" t="n"/>
      <c r="C341" s="81" t="n"/>
      <c r="D341" s="82" t="n"/>
      <c r="E341" s="82" t="n"/>
      <c r="F341" s="82" t="n"/>
      <c r="G341" s="82" t="n"/>
      <c r="H341" s="82" t="n"/>
      <c r="I341" s="83" t="n"/>
      <c r="J341" s="82" t="n"/>
      <c r="K341" s="84" t="n"/>
      <c r="L341" s="85" t="n"/>
      <c r="M341" s="82" t="n"/>
      <c r="N341" s="86" t="n"/>
      <c r="O341" s="81" t="n"/>
      <c r="P341" s="82" t="n"/>
      <c r="Q341" s="83" t="n"/>
      <c r="R341" s="82" t="n"/>
      <c r="S341" s="84" t="n"/>
      <c r="T341" s="84" t="n"/>
      <c r="U341" s="82" t="n"/>
      <c r="V341" s="86" t="n"/>
      <c r="W341" s="86" t="n"/>
      <c r="X341" s="86" t="n"/>
      <c r="Y341" s="81" t="n"/>
      <c r="Z341" s="82" t="n"/>
      <c r="AA341" s="81" t="n"/>
      <c r="AB341" s="82" t="n"/>
      <c r="AC341" s="87">
        <f>IF(OR($D341="",$M341="Rejected",$M341="Withdrawn",$M341="Accepted"),"",IF(ISNUMBER($O341),IF(INT($O341)&lt;TODAY(),"FOLLOW UP REQUIRED",IF(INT($O341)=TODAY(),"ACTION DUE TODAY",IF(INT($O341)-TODAY()&lt;=Set_DueSoonDays,"DUE SOON",""))),IF(AND($M341="Applied",$AA341=""),IF(ISNUMBER($C341),IF(TODAY()-$C341&gt;=Set_FollowUpDays,"NO RESPONSE",""),""),"")))</f>
        <v/>
      </c>
      <c r="AD341" s="87">
        <f>IF(ISNUMBER($L341),IF($L341&gt;=90,"Excellent Match",IF($L341&gt;=75,"Strong Match",IF($L341&gt;=60,"Moderate Match","Low Match"))),"")</f>
        <v/>
      </c>
      <c r="AE341" s="87">
        <f>IF($D341="","",IF(OR($M341="Rejected",$M341="Withdrawn"),IF($AB341&lt;&gt;"",$AB341,IF(OR($M341="Rejected",ISNUMBER($C341)),"Applied","Wishlist")),IF($M341="",IF(ISNUMBER($C341),"Applied","Wishlist"),$M341)))</f>
        <v/>
      </c>
      <c r="AF341" s="88">
        <f>IF(AND(ISNUMBER($C341),ISNUMBER($AA341)),$AA341-$C341,"")</f>
        <v/>
      </c>
      <c r="AG341" s="87">
        <f>IF($AE341="","",IFERROR(MATCH($AE341,{"Wishlist","Applied","Screening","Interview 1","Interview 2","Final","Offer","Accepted"},0)-1,""))</f>
        <v/>
      </c>
      <c r="AH341" s="87">
        <f>IF($AC341="","",MATCH($AC341,{"FOLLOW UP REQUIRED","ACTION DUE TODAY","NO RESPONSE","DUE SOON"},0)*100000+IF(ISNUMBER($O341),$O341,IF(ISNUMBER($C341),$C341,0))+ROW()/10000)</f>
        <v/>
      </c>
      <c r="AI341" s="87">
        <f>IF(AND(ISNUMBER($AG341),$AG341&gt;=1,$AG341&lt;=6,$M341&lt;&gt;"Rejected",$M341&lt;&gt;"Withdrawn"),(10-$AG341)*100000+IF(ISNUMBER($C341),$C341,0)+ROW()/10000,"")</f>
        <v/>
      </c>
    </row>
    <row r="342">
      <c r="A342" s="80" t="n"/>
      <c r="B342" s="81" t="n"/>
      <c r="C342" s="81" t="n"/>
      <c r="D342" s="82" t="n"/>
      <c r="E342" s="82" t="n"/>
      <c r="F342" s="82" t="n"/>
      <c r="G342" s="82" t="n"/>
      <c r="H342" s="82" t="n"/>
      <c r="I342" s="83" t="n"/>
      <c r="J342" s="82" t="n"/>
      <c r="K342" s="84" t="n"/>
      <c r="L342" s="85" t="n"/>
      <c r="M342" s="82" t="n"/>
      <c r="N342" s="86" t="n"/>
      <c r="O342" s="81" t="n"/>
      <c r="P342" s="82" t="n"/>
      <c r="Q342" s="83" t="n"/>
      <c r="R342" s="82" t="n"/>
      <c r="S342" s="84" t="n"/>
      <c r="T342" s="84" t="n"/>
      <c r="U342" s="82" t="n"/>
      <c r="V342" s="86" t="n"/>
      <c r="W342" s="86" t="n"/>
      <c r="X342" s="86" t="n"/>
      <c r="Y342" s="81" t="n"/>
      <c r="Z342" s="82" t="n"/>
      <c r="AA342" s="81" t="n"/>
      <c r="AB342" s="82" t="n"/>
      <c r="AC342" s="87">
        <f>IF(OR($D342="",$M342="Rejected",$M342="Withdrawn",$M342="Accepted"),"",IF(ISNUMBER($O342),IF(INT($O342)&lt;TODAY(),"FOLLOW UP REQUIRED",IF(INT($O342)=TODAY(),"ACTION DUE TODAY",IF(INT($O342)-TODAY()&lt;=Set_DueSoonDays,"DUE SOON",""))),IF(AND($M342="Applied",$AA342=""),IF(ISNUMBER($C342),IF(TODAY()-$C342&gt;=Set_FollowUpDays,"NO RESPONSE",""),""),"")))</f>
        <v/>
      </c>
      <c r="AD342" s="87">
        <f>IF(ISNUMBER($L342),IF($L342&gt;=90,"Excellent Match",IF($L342&gt;=75,"Strong Match",IF($L342&gt;=60,"Moderate Match","Low Match"))),"")</f>
        <v/>
      </c>
      <c r="AE342" s="87">
        <f>IF($D342="","",IF(OR($M342="Rejected",$M342="Withdrawn"),IF($AB342&lt;&gt;"",$AB342,IF(OR($M342="Rejected",ISNUMBER($C342)),"Applied","Wishlist")),IF($M342="",IF(ISNUMBER($C342),"Applied","Wishlist"),$M342)))</f>
        <v/>
      </c>
      <c r="AF342" s="88">
        <f>IF(AND(ISNUMBER($C342),ISNUMBER($AA342)),$AA342-$C342,"")</f>
        <v/>
      </c>
      <c r="AG342" s="87">
        <f>IF($AE342="","",IFERROR(MATCH($AE342,{"Wishlist","Applied","Screening","Interview 1","Interview 2","Final","Offer","Accepted"},0)-1,""))</f>
        <v/>
      </c>
      <c r="AH342" s="87">
        <f>IF($AC342="","",MATCH($AC342,{"FOLLOW UP REQUIRED","ACTION DUE TODAY","NO RESPONSE","DUE SOON"},0)*100000+IF(ISNUMBER($O342),$O342,IF(ISNUMBER($C342),$C342,0))+ROW()/10000)</f>
        <v/>
      </c>
      <c r="AI342" s="87">
        <f>IF(AND(ISNUMBER($AG342),$AG342&gt;=1,$AG342&lt;=6,$M342&lt;&gt;"Rejected",$M342&lt;&gt;"Withdrawn"),(10-$AG342)*100000+IF(ISNUMBER($C342),$C342,0)+ROW()/10000,"")</f>
        <v/>
      </c>
    </row>
    <row r="343">
      <c r="A343" s="80" t="n"/>
      <c r="B343" s="81" t="n"/>
      <c r="C343" s="81" t="n"/>
      <c r="D343" s="82" t="n"/>
      <c r="E343" s="82" t="n"/>
      <c r="F343" s="82" t="n"/>
      <c r="G343" s="82" t="n"/>
      <c r="H343" s="82" t="n"/>
      <c r="I343" s="83" t="n"/>
      <c r="J343" s="82" t="n"/>
      <c r="K343" s="84" t="n"/>
      <c r="L343" s="85" t="n"/>
      <c r="M343" s="82" t="n"/>
      <c r="N343" s="86" t="n"/>
      <c r="O343" s="81" t="n"/>
      <c r="P343" s="82" t="n"/>
      <c r="Q343" s="83" t="n"/>
      <c r="R343" s="82" t="n"/>
      <c r="S343" s="84" t="n"/>
      <c r="T343" s="84" t="n"/>
      <c r="U343" s="82" t="n"/>
      <c r="V343" s="86" t="n"/>
      <c r="W343" s="86" t="n"/>
      <c r="X343" s="86" t="n"/>
      <c r="Y343" s="81" t="n"/>
      <c r="Z343" s="82" t="n"/>
      <c r="AA343" s="81" t="n"/>
      <c r="AB343" s="82" t="n"/>
      <c r="AC343" s="87">
        <f>IF(OR($D343="",$M343="Rejected",$M343="Withdrawn",$M343="Accepted"),"",IF(ISNUMBER($O343),IF(INT($O343)&lt;TODAY(),"FOLLOW UP REQUIRED",IF(INT($O343)=TODAY(),"ACTION DUE TODAY",IF(INT($O343)-TODAY()&lt;=Set_DueSoonDays,"DUE SOON",""))),IF(AND($M343="Applied",$AA343=""),IF(ISNUMBER($C343),IF(TODAY()-$C343&gt;=Set_FollowUpDays,"NO RESPONSE",""),""),"")))</f>
        <v/>
      </c>
      <c r="AD343" s="87">
        <f>IF(ISNUMBER($L343),IF($L343&gt;=90,"Excellent Match",IF($L343&gt;=75,"Strong Match",IF($L343&gt;=60,"Moderate Match","Low Match"))),"")</f>
        <v/>
      </c>
      <c r="AE343" s="87">
        <f>IF($D343="","",IF(OR($M343="Rejected",$M343="Withdrawn"),IF($AB343&lt;&gt;"",$AB343,IF(OR($M343="Rejected",ISNUMBER($C343)),"Applied","Wishlist")),IF($M343="",IF(ISNUMBER($C343),"Applied","Wishlist"),$M343)))</f>
        <v/>
      </c>
      <c r="AF343" s="88">
        <f>IF(AND(ISNUMBER($C343),ISNUMBER($AA343)),$AA343-$C343,"")</f>
        <v/>
      </c>
      <c r="AG343" s="87">
        <f>IF($AE343="","",IFERROR(MATCH($AE343,{"Wishlist","Applied","Screening","Interview 1","Interview 2","Final","Offer","Accepted"},0)-1,""))</f>
        <v/>
      </c>
      <c r="AH343" s="87">
        <f>IF($AC343="","",MATCH($AC343,{"FOLLOW UP REQUIRED","ACTION DUE TODAY","NO RESPONSE","DUE SOON"},0)*100000+IF(ISNUMBER($O343),$O343,IF(ISNUMBER($C343),$C343,0))+ROW()/10000)</f>
        <v/>
      </c>
      <c r="AI343" s="87">
        <f>IF(AND(ISNUMBER($AG343),$AG343&gt;=1,$AG343&lt;=6,$M343&lt;&gt;"Rejected",$M343&lt;&gt;"Withdrawn"),(10-$AG343)*100000+IF(ISNUMBER($C343),$C343,0)+ROW()/10000,"")</f>
        <v/>
      </c>
    </row>
    <row r="344">
      <c r="A344" s="80" t="n"/>
      <c r="B344" s="81" t="n"/>
      <c r="C344" s="81" t="n"/>
      <c r="D344" s="82" t="n"/>
      <c r="E344" s="82" t="n"/>
      <c r="F344" s="82" t="n"/>
      <c r="G344" s="82" t="n"/>
      <c r="H344" s="82" t="n"/>
      <c r="I344" s="83" t="n"/>
      <c r="J344" s="82" t="n"/>
      <c r="K344" s="84" t="n"/>
      <c r="L344" s="85" t="n"/>
      <c r="M344" s="82" t="n"/>
      <c r="N344" s="86" t="n"/>
      <c r="O344" s="81" t="n"/>
      <c r="P344" s="82" t="n"/>
      <c r="Q344" s="83" t="n"/>
      <c r="R344" s="82" t="n"/>
      <c r="S344" s="84" t="n"/>
      <c r="T344" s="84" t="n"/>
      <c r="U344" s="82" t="n"/>
      <c r="V344" s="86" t="n"/>
      <c r="W344" s="86" t="n"/>
      <c r="X344" s="86" t="n"/>
      <c r="Y344" s="81" t="n"/>
      <c r="Z344" s="82" t="n"/>
      <c r="AA344" s="81" t="n"/>
      <c r="AB344" s="82" t="n"/>
      <c r="AC344" s="87">
        <f>IF(OR($D344="",$M344="Rejected",$M344="Withdrawn",$M344="Accepted"),"",IF(ISNUMBER($O344),IF(INT($O344)&lt;TODAY(),"FOLLOW UP REQUIRED",IF(INT($O344)=TODAY(),"ACTION DUE TODAY",IF(INT($O344)-TODAY()&lt;=Set_DueSoonDays,"DUE SOON",""))),IF(AND($M344="Applied",$AA344=""),IF(ISNUMBER($C344),IF(TODAY()-$C344&gt;=Set_FollowUpDays,"NO RESPONSE",""),""),"")))</f>
        <v/>
      </c>
      <c r="AD344" s="87">
        <f>IF(ISNUMBER($L344),IF($L344&gt;=90,"Excellent Match",IF($L344&gt;=75,"Strong Match",IF($L344&gt;=60,"Moderate Match","Low Match"))),"")</f>
        <v/>
      </c>
      <c r="AE344" s="87">
        <f>IF($D344="","",IF(OR($M344="Rejected",$M344="Withdrawn"),IF($AB344&lt;&gt;"",$AB344,IF(OR($M344="Rejected",ISNUMBER($C344)),"Applied","Wishlist")),IF($M344="",IF(ISNUMBER($C344),"Applied","Wishlist"),$M344)))</f>
        <v/>
      </c>
      <c r="AF344" s="88">
        <f>IF(AND(ISNUMBER($C344),ISNUMBER($AA344)),$AA344-$C344,"")</f>
        <v/>
      </c>
      <c r="AG344" s="87">
        <f>IF($AE344="","",IFERROR(MATCH($AE344,{"Wishlist","Applied","Screening","Interview 1","Interview 2","Final","Offer","Accepted"},0)-1,""))</f>
        <v/>
      </c>
      <c r="AH344" s="87">
        <f>IF($AC344="","",MATCH($AC344,{"FOLLOW UP REQUIRED","ACTION DUE TODAY","NO RESPONSE","DUE SOON"},0)*100000+IF(ISNUMBER($O344),$O344,IF(ISNUMBER($C344),$C344,0))+ROW()/10000)</f>
        <v/>
      </c>
      <c r="AI344" s="87">
        <f>IF(AND(ISNUMBER($AG344),$AG344&gt;=1,$AG344&lt;=6,$M344&lt;&gt;"Rejected",$M344&lt;&gt;"Withdrawn"),(10-$AG344)*100000+IF(ISNUMBER($C344),$C344,0)+ROW()/10000,"")</f>
        <v/>
      </c>
    </row>
    <row r="345">
      <c r="A345" s="80" t="n"/>
      <c r="B345" s="81" t="n"/>
      <c r="C345" s="81" t="n"/>
      <c r="D345" s="82" t="n"/>
      <c r="E345" s="82" t="n"/>
      <c r="F345" s="82" t="n"/>
      <c r="G345" s="82" t="n"/>
      <c r="H345" s="82" t="n"/>
      <c r="I345" s="83" t="n"/>
      <c r="J345" s="82" t="n"/>
      <c r="K345" s="84" t="n"/>
      <c r="L345" s="85" t="n"/>
      <c r="M345" s="82" t="n"/>
      <c r="N345" s="86" t="n"/>
      <c r="O345" s="81" t="n"/>
      <c r="P345" s="82" t="n"/>
      <c r="Q345" s="83" t="n"/>
      <c r="R345" s="82" t="n"/>
      <c r="S345" s="84" t="n"/>
      <c r="T345" s="84" t="n"/>
      <c r="U345" s="82" t="n"/>
      <c r="V345" s="86" t="n"/>
      <c r="W345" s="86" t="n"/>
      <c r="X345" s="86" t="n"/>
      <c r="Y345" s="81" t="n"/>
      <c r="Z345" s="82" t="n"/>
      <c r="AA345" s="81" t="n"/>
      <c r="AB345" s="82" t="n"/>
      <c r="AC345" s="87">
        <f>IF(OR($D345="",$M345="Rejected",$M345="Withdrawn",$M345="Accepted"),"",IF(ISNUMBER($O345),IF(INT($O345)&lt;TODAY(),"FOLLOW UP REQUIRED",IF(INT($O345)=TODAY(),"ACTION DUE TODAY",IF(INT($O345)-TODAY()&lt;=Set_DueSoonDays,"DUE SOON",""))),IF(AND($M345="Applied",$AA345=""),IF(ISNUMBER($C345),IF(TODAY()-$C345&gt;=Set_FollowUpDays,"NO RESPONSE",""),""),"")))</f>
        <v/>
      </c>
      <c r="AD345" s="87">
        <f>IF(ISNUMBER($L345),IF($L345&gt;=90,"Excellent Match",IF($L345&gt;=75,"Strong Match",IF($L345&gt;=60,"Moderate Match","Low Match"))),"")</f>
        <v/>
      </c>
      <c r="AE345" s="87">
        <f>IF($D345="","",IF(OR($M345="Rejected",$M345="Withdrawn"),IF($AB345&lt;&gt;"",$AB345,IF(OR($M345="Rejected",ISNUMBER($C345)),"Applied","Wishlist")),IF($M345="",IF(ISNUMBER($C345),"Applied","Wishlist"),$M345)))</f>
        <v/>
      </c>
      <c r="AF345" s="88">
        <f>IF(AND(ISNUMBER($C345),ISNUMBER($AA345)),$AA345-$C345,"")</f>
        <v/>
      </c>
      <c r="AG345" s="87">
        <f>IF($AE345="","",IFERROR(MATCH($AE345,{"Wishlist","Applied","Screening","Interview 1","Interview 2","Final","Offer","Accepted"},0)-1,""))</f>
        <v/>
      </c>
      <c r="AH345" s="87">
        <f>IF($AC345="","",MATCH($AC345,{"FOLLOW UP REQUIRED","ACTION DUE TODAY","NO RESPONSE","DUE SOON"},0)*100000+IF(ISNUMBER($O345),$O345,IF(ISNUMBER($C345),$C345,0))+ROW()/10000)</f>
        <v/>
      </c>
      <c r="AI345" s="87">
        <f>IF(AND(ISNUMBER($AG345),$AG345&gt;=1,$AG345&lt;=6,$M345&lt;&gt;"Rejected",$M345&lt;&gt;"Withdrawn"),(10-$AG345)*100000+IF(ISNUMBER($C345),$C345,0)+ROW()/10000,"")</f>
        <v/>
      </c>
    </row>
    <row r="346">
      <c r="A346" s="80" t="n"/>
      <c r="B346" s="81" t="n"/>
      <c r="C346" s="81" t="n"/>
      <c r="D346" s="82" t="n"/>
      <c r="E346" s="82" t="n"/>
      <c r="F346" s="82" t="n"/>
      <c r="G346" s="82" t="n"/>
      <c r="H346" s="82" t="n"/>
      <c r="I346" s="83" t="n"/>
      <c r="J346" s="82" t="n"/>
      <c r="K346" s="84" t="n"/>
      <c r="L346" s="85" t="n"/>
      <c r="M346" s="82" t="n"/>
      <c r="N346" s="86" t="n"/>
      <c r="O346" s="81" t="n"/>
      <c r="P346" s="82" t="n"/>
      <c r="Q346" s="83" t="n"/>
      <c r="R346" s="82" t="n"/>
      <c r="S346" s="84" t="n"/>
      <c r="T346" s="84" t="n"/>
      <c r="U346" s="82" t="n"/>
      <c r="V346" s="86" t="n"/>
      <c r="W346" s="86" t="n"/>
      <c r="X346" s="86" t="n"/>
      <c r="Y346" s="81" t="n"/>
      <c r="Z346" s="82" t="n"/>
      <c r="AA346" s="81" t="n"/>
      <c r="AB346" s="82" t="n"/>
      <c r="AC346" s="87">
        <f>IF(OR($D346="",$M346="Rejected",$M346="Withdrawn",$M346="Accepted"),"",IF(ISNUMBER($O346),IF(INT($O346)&lt;TODAY(),"FOLLOW UP REQUIRED",IF(INT($O346)=TODAY(),"ACTION DUE TODAY",IF(INT($O346)-TODAY()&lt;=Set_DueSoonDays,"DUE SOON",""))),IF(AND($M346="Applied",$AA346=""),IF(ISNUMBER($C346),IF(TODAY()-$C346&gt;=Set_FollowUpDays,"NO RESPONSE",""),""),"")))</f>
        <v/>
      </c>
      <c r="AD346" s="87">
        <f>IF(ISNUMBER($L346),IF($L346&gt;=90,"Excellent Match",IF($L346&gt;=75,"Strong Match",IF($L346&gt;=60,"Moderate Match","Low Match"))),"")</f>
        <v/>
      </c>
      <c r="AE346" s="87">
        <f>IF($D346="","",IF(OR($M346="Rejected",$M346="Withdrawn"),IF($AB346&lt;&gt;"",$AB346,IF(OR($M346="Rejected",ISNUMBER($C346)),"Applied","Wishlist")),IF($M346="",IF(ISNUMBER($C346),"Applied","Wishlist"),$M346)))</f>
        <v/>
      </c>
      <c r="AF346" s="88">
        <f>IF(AND(ISNUMBER($C346),ISNUMBER($AA346)),$AA346-$C346,"")</f>
        <v/>
      </c>
      <c r="AG346" s="87">
        <f>IF($AE346="","",IFERROR(MATCH($AE346,{"Wishlist","Applied","Screening","Interview 1","Interview 2","Final","Offer","Accepted"},0)-1,""))</f>
        <v/>
      </c>
      <c r="AH346" s="87">
        <f>IF($AC346="","",MATCH($AC346,{"FOLLOW UP REQUIRED","ACTION DUE TODAY","NO RESPONSE","DUE SOON"},0)*100000+IF(ISNUMBER($O346),$O346,IF(ISNUMBER($C346),$C346,0))+ROW()/10000)</f>
        <v/>
      </c>
      <c r="AI346" s="87">
        <f>IF(AND(ISNUMBER($AG346),$AG346&gt;=1,$AG346&lt;=6,$M346&lt;&gt;"Rejected",$M346&lt;&gt;"Withdrawn"),(10-$AG346)*100000+IF(ISNUMBER($C346),$C346,0)+ROW()/10000,"")</f>
        <v/>
      </c>
    </row>
    <row r="347">
      <c r="A347" s="80" t="n"/>
      <c r="B347" s="81" t="n"/>
      <c r="C347" s="81" t="n"/>
      <c r="D347" s="82" t="n"/>
      <c r="E347" s="82" t="n"/>
      <c r="F347" s="82" t="n"/>
      <c r="G347" s="82" t="n"/>
      <c r="H347" s="82" t="n"/>
      <c r="I347" s="83" t="n"/>
      <c r="J347" s="82" t="n"/>
      <c r="K347" s="84" t="n"/>
      <c r="L347" s="85" t="n"/>
      <c r="M347" s="82" t="n"/>
      <c r="N347" s="86" t="n"/>
      <c r="O347" s="81" t="n"/>
      <c r="P347" s="82" t="n"/>
      <c r="Q347" s="83" t="n"/>
      <c r="R347" s="82" t="n"/>
      <c r="S347" s="84" t="n"/>
      <c r="T347" s="84" t="n"/>
      <c r="U347" s="82" t="n"/>
      <c r="V347" s="86" t="n"/>
      <c r="W347" s="86" t="n"/>
      <c r="X347" s="86" t="n"/>
      <c r="Y347" s="81" t="n"/>
      <c r="Z347" s="82" t="n"/>
      <c r="AA347" s="81" t="n"/>
      <c r="AB347" s="82" t="n"/>
      <c r="AC347" s="87">
        <f>IF(OR($D347="",$M347="Rejected",$M347="Withdrawn",$M347="Accepted"),"",IF(ISNUMBER($O347),IF(INT($O347)&lt;TODAY(),"FOLLOW UP REQUIRED",IF(INT($O347)=TODAY(),"ACTION DUE TODAY",IF(INT($O347)-TODAY()&lt;=Set_DueSoonDays,"DUE SOON",""))),IF(AND($M347="Applied",$AA347=""),IF(ISNUMBER($C347),IF(TODAY()-$C347&gt;=Set_FollowUpDays,"NO RESPONSE",""),""),"")))</f>
        <v/>
      </c>
      <c r="AD347" s="87">
        <f>IF(ISNUMBER($L347),IF($L347&gt;=90,"Excellent Match",IF($L347&gt;=75,"Strong Match",IF($L347&gt;=60,"Moderate Match","Low Match"))),"")</f>
        <v/>
      </c>
      <c r="AE347" s="87">
        <f>IF($D347="","",IF(OR($M347="Rejected",$M347="Withdrawn"),IF($AB347&lt;&gt;"",$AB347,IF(OR($M347="Rejected",ISNUMBER($C347)),"Applied","Wishlist")),IF($M347="",IF(ISNUMBER($C347),"Applied","Wishlist"),$M347)))</f>
        <v/>
      </c>
      <c r="AF347" s="88">
        <f>IF(AND(ISNUMBER($C347),ISNUMBER($AA347)),$AA347-$C347,"")</f>
        <v/>
      </c>
      <c r="AG347" s="87">
        <f>IF($AE347="","",IFERROR(MATCH($AE347,{"Wishlist","Applied","Screening","Interview 1","Interview 2","Final","Offer","Accepted"},0)-1,""))</f>
        <v/>
      </c>
      <c r="AH347" s="87">
        <f>IF($AC347="","",MATCH($AC347,{"FOLLOW UP REQUIRED","ACTION DUE TODAY","NO RESPONSE","DUE SOON"},0)*100000+IF(ISNUMBER($O347),$O347,IF(ISNUMBER($C347),$C347,0))+ROW()/10000)</f>
        <v/>
      </c>
      <c r="AI347" s="87">
        <f>IF(AND(ISNUMBER($AG347),$AG347&gt;=1,$AG347&lt;=6,$M347&lt;&gt;"Rejected",$M347&lt;&gt;"Withdrawn"),(10-$AG347)*100000+IF(ISNUMBER($C347),$C347,0)+ROW()/10000,"")</f>
        <v/>
      </c>
    </row>
    <row r="348">
      <c r="A348" s="80" t="n"/>
      <c r="B348" s="81" t="n"/>
      <c r="C348" s="81" t="n"/>
      <c r="D348" s="82" t="n"/>
      <c r="E348" s="82" t="n"/>
      <c r="F348" s="82" t="n"/>
      <c r="G348" s="82" t="n"/>
      <c r="H348" s="82" t="n"/>
      <c r="I348" s="83" t="n"/>
      <c r="J348" s="82" t="n"/>
      <c r="K348" s="84" t="n"/>
      <c r="L348" s="85" t="n"/>
      <c r="M348" s="82" t="n"/>
      <c r="N348" s="86" t="n"/>
      <c r="O348" s="81" t="n"/>
      <c r="P348" s="82" t="n"/>
      <c r="Q348" s="83" t="n"/>
      <c r="R348" s="82" t="n"/>
      <c r="S348" s="84" t="n"/>
      <c r="T348" s="84" t="n"/>
      <c r="U348" s="82" t="n"/>
      <c r="V348" s="86" t="n"/>
      <c r="W348" s="86" t="n"/>
      <c r="X348" s="86" t="n"/>
      <c r="Y348" s="81" t="n"/>
      <c r="Z348" s="82" t="n"/>
      <c r="AA348" s="81" t="n"/>
      <c r="AB348" s="82" t="n"/>
      <c r="AC348" s="87">
        <f>IF(OR($D348="",$M348="Rejected",$M348="Withdrawn",$M348="Accepted"),"",IF(ISNUMBER($O348),IF(INT($O348)&lt;TODAY(),"FOLLOW UP REQUIRED",IF(INT($O348)=TODAY(),"ACTION DUE TODAY",IF(INT($O348)-TODAY()&lt;=Set_DueSoonDays,"DUE SOON",""))),IF(AND($M348="Applied",$AA348=""),IF(ISNUMBER($C348),IF(TODAY()-$C348&gt;=Set_FollowUpDays,"NO RESPONSE",""),""),"")))</f>
        <v/>
      </c>
      <c r="AD348" s="87">
        <f>IF(ISNUMBER($L348),IF($L348&gt;=90,"Excellent Match",IF($L348&gt;=75,"Strong Match",IF($L348&gt;=60,"Moderate Match","Low Match"))),"")</f>
        <v/>
      </c>
      <c r="AE348" s="87">
        <f>IF($D348="","",IF(OR($M348="Rejected",$M348="Withdrawn"),IF($AB348&lt;&gt;"",$AB348,IF(OR($M348="Rejected",ISNUMBER($C348)),"Applied","Wishlist")),IF($M348="",IF(ISNUMBER($C348),"Applied","Wishlist"),$M348)))</f>
        <v/>
      </c>
      <c r="AF348" s="88">
        <f>IF(AND(ISNUMBER($C348),ISNUMBER($AA348)),$AA348-$C348,"")</f>
        <v/>
      </c>
      <c r="AG348" s="87">
        <f>IF($AE348="","",IFERROR(MATCH($AE348,{"Wishlist","Applied","Screening","Interview 1","Interview 2","Final","Offer","Accepted"},0)-1,""))</f>
        <v/>
      </c>
      <c r="AH348" s="87">
        <f>IF($AC348="","",MATCH($AC348,{"FOLLOW UP REQUIRED","ACTION DUE TODAY","NO RESPONSE","DUE SOON"},0)*100000+IF(ISNUMBER($O348),$O348,IF(ISNUMBER($C348),$C348,0))+ROW()/10000)</f>
        <v/>
      </c>
      <c r="AI348" s="87">
        <f>IF(AND(ISNUMBER($AG348),$AG348&gt;=1,$AG348&lt;=6,$M348&lt;&gt;"Rejected",$M348&lt;&gt;"Withdrawn"),(10-$AG348)*100000+IF(ISNUMBER($C348),$C348,0)+ROW()/10000,"")</f>
        <v/>
      </c>
    </row>
    <row r="349">
      <c r="A349" s="80" t="n"/>
      <c r="B349" s="81" t="n"/>
      <c r="C349" s="81" t="n"/>
      <c r="D349" s="82" t="n"/>
      <c r="E349" s="82" t="n"/>
      <c r="F349" s="82" t="n"/>
      <c r="G349" s="82" t="n"/>
      <c r="H349" s="82" t="n"/>
      <c r="I349" s="83" t="n"/>
      <c r="J349" s="82" t="n"/>
      <c r="K349" s="84" t="n"/>
      <c r="L349" s="85" t="n"/>
      <c r="M349" s="82" t="n"/>
      <c r="N349" s="86" t="n"/>
      <c r="O349" s="81" t="n"/>
      <c r="P349" s="82" t="n"/>
      <c r="Q349" s="83" t="n"/>
      <c r="R349" s="82" t="n"/>
      <c r="S349" s="84" t="n"/>
      <c r="T349" s="84" t="n"/>
      <c r="U349" s="82" t="n"/>
      <c r="V349" s="86" t="n"/>
      <c r="W349" s="86" t="n"/>
      <c r="X349" s="86" t="n"/>
      <c r="Y349" s="81" t="n"/>
      <c r="Z349" s="82" t="n"/>
      <c r="AA349" s="81" t="n"/>
      <c r="AB349" s="82" t="n"/>
      <c r="AC349" s="87">
        <f>IF(OR($D349="",$M349="Rejected",$M349="Withdrawn",$M349="Accepted"),"",IF(ISNUMBER($O349),IF(INT($O349)&lt;TODAY(),"FOLLOW UP REQUIRED",IF(INT($O349)=TODAY(),"ACTION DUE TODAY",IF(INT($O349)-TODAY()&lt;=Set_DueSoonDays,"DUE SOON",""))),IF(AND($M349="Applied",$AA349=""),IF(ISNUMBER($C349),IF(TODAY()-$C349&gt;=Set_FollowUpDays,"NO RESPONSE",""),""),"")))</f>
        <v/>
      </c>
      <c r="AD349" s="87">
        <f>IF(ISNUMBER($L349),IF($L349&gt;=90,"Excellent Match",IF($L349&gt;=75,"Strong Match",IF($L349&gt;=60,"Moderate Match","Low Match"))),"")</f>
        <v/>
      </c>
      <c r="AE349" s="87">
        <f>IF($D349="","",IF(OR($M349="Rejected",$M349="Withdrawn"),IF($AB349&lt;&gt;"",$AB349,IF(OR($M349="Rejected",ISNUMBER($C349)),"Applied","Wishlist")),IF($M349="",IF(ISNUMBER($C349),"Applied","Wishlist"),$M349)))</f>
        <v/>
      </c>
      <c r="AF349" s="88">
        <f>IF(AND(ISNUMBER($C349),ISNUMBER($AA349)),$AA349-$C349,"")</f>
        <v/>
      </c>
      <c r="AG349" s="87">
        <f>IF($AE349="","",IFERROR(MATCH($AE349,{"Wishlist","Applied","Screening","Interview 1","Interview 2","Final","Offer","Accepted"},0)-1,""))</f>
        <v/>
      </c>
      <c r="AH349" s="87">
        <f>IF($AC349="","",MATCH($AC349,{"FOLLOW UP REQUIRED","ACTION DUE TODAY","NO RESPONSE","DUE SOON"},0)*100000+IF(ISNUMBER($O349),$O349,IF(ISNUMBER($C349),$C349,0))+ROW()/10000)</f>
        <v/>
      </c>
      <c r="AI349" s="87">
        <f>IF(AND(ISNUMBER($AG349),$AG349&gt;=1,$AG349&lt;=6,$M349&lt;&gt;"Rejected",$M349&lt;&gt;"Withdrawn"),(10-$AG349)*100000+IF(ISNUMBER($C349),$C349,0)+ROW()/10000,"")</f>
        <v/>
      </c>
    </row>
    <row r="350">
      <c r="A350" s="80" t="n"/>
      <c r="B350" s="81" t="n"/>
      <c r="C350" s="81" t="n"/>
      <c r="D350" s="82" t="n"/>
      <c r="E350" s="82" t="n"/>
      <c r="F350" s="82" t="n"/>
      <c r="G350" s="82" t="n"/>
      <c r="H350" s="82" t="n"/>
      <c r="I350" s="83" t="n"/>
      <c r="J350" s="82" t="n"/>
      <c r="K350" s="84" t="n"/>
      <c r="L350" s="85" t="n"/>
      <c r="M350" s="82" t="n"/>
      <c r="N350" s="86" t="n"/>
      <c r="O350" s="81" t="n"/>
      <c r="P350" s="82" t="n"/>
      <c r="Q350" s="83" t="n"/>
      <c r="R350" s="82" t="n"/>
      <c r="S350" s="84" t="n"/>
      <c r="T350" s="84" t="n"/>
      <c r="U350" s="82" t="n"/>
      <c r="V350" s="86" t="n"/>
      <c r="W350" s="86" t="n"/>
      <c r="X350" s="86" t="n"/>
      <c r="Y350" s="81" t="n"/>
      <c r="Z350" s="82" t="n"/>
      <c r="AA350" s="81" t="n"/>
      <c r="AB350" s="82" t="n"/>
      <c r="AC350" s="87">
        <f>IF(OR($D350="",$M350="Rejected",$M350="Withdrawn",$M350="Accepted"),"",IF(ISNUMBER($O350),IF(INT($O350)&lt;TODAY(),"FOLLOW UP REQUIRED",IF(INT($O350)=TODAY(),"ACTION DUE TODAY",IF(INT($O350)-TODAY()&lt;=Set_DueSoonDays,"DUE SOON",""))),IF(AND($M350="Applied",$AA350=""),IF(ISNUMBER($C350),IF(TODAY()-$C350&gt;=Set_FollowUpDays,"NO RESPONSE",""),""),"")))</f>
        <v/>
      </c>
      <c r="AD350" s="87">
        <f>IF(ISNUMBER($L350),IF($L350&gt;=90,"Excellent Match",IF($L350&gt;=75,"Strong Match",IF($L350&gt;=60,"Moderate Match","Low Match"))),"")</f>
        <v/>
      </c>
      <c r="AE350" s="87">
        <f>IF($D350="","",IF(OR($M350="Rejected",$M350="Withdrawn"),IF($AB350&lt;&gt;"",$AB350,IF(OR($M350="Rejected",ISNUMBER($C350)),"Applied","Wishlist")),IF($M350="",IF(ISNUMBER($C350),"Applied","Wishlist"),$M350)))</f>
        <v/>
      </c>
      <c r="AF350" s="88">
        <f>IF(AND(ISNUMBER($C350),ISNUMBER($AA350)),$AA350-$C350,"")</f>
        <v/>
      </c>
      <c r="AG350" s="87">
        <f>IF($AE350="","",IFERROR(MATCH($AE350,{"Wishlist","Applied","Screening","Interview 1","Interview 2","Final","Offer","Accepted"},0)-1,""))</f>
        <v/>
      </c>
      <c r="AH350" s="87">
        <f>IF($AC350="","",MATCH($AC350,{"FOLLOW UP REQUIRED","ACTION DUE TODAY","NO RESPONSE","DUE SOON"},0)*100000+IF(ISNUMBER($O350),$O350,IF(ISNUMBER($C350),$C350,0))+ROW()/10000)</f>
        <v/>
      </c>
      <c r="AI350" s="87">
        <f>IF(AND(ISNUMBER($AG350),$AG350&gt;=1,$AG350&lt;=6,$M350&lt;&gt;"Rejected",$M350&lt;&gt;"Withdrawn"),(10-$AG350)*100000+IF(ISNUMBER($C350),$C350,0)+ROW()/10000,"")</f>
        <v/>
      </c>
    </row>
    <row r="351">
      <c r="A351" s="80" t="n"/>
      <c r="B351" s="81" t="n"/>
      <c r="C351" s="81" t="n"/>
      <c r="D351" s="82" t="n"/>
      <c r="E351" s="82" t="n"/>
      <c r="F351" s="82" t="n"/>
      <c r="G351" s="82" t="n"/>
      <c r="H351" s="82" t="n"/>
      <c r="I351" s="83" t="n"/>
      <c r="J351" s="82" t="n"/>
      <c r="K351" s="84" t="n"/>
      <c r="L351" s="85" t="n"/>
      <c r="M351" s="82" t="n"/>
      <c r="N351" s="86" t="n"/>
      <c r="O351" s="81" t="n"/>
      <c r="P351" s="82" t="n"/>
      <c r="Q351" s="83" t="n"/>
      <c r="R351" s="82" t="n"/>
      <c r="S351" s="84" t="n"/>
      <c r="T351" s="84" t="n"/>
      <c r="U351" s="82" t="n"/>
      <c r="V351" s="86" t="n"/>
      <c r="W351" s="86" t="n"/>
      <c r="X351" s="86" t="n"/>
      <c r="Y351" s="81" t="n"/>
      <c r="Z351" s="82" t="n"/>
      <c r="AA351" s="81" t="n"/>
      <c r="AB351" s="82" t="n"/>
      <c r="AC351" s="87">
        <f>IF(OR($D351="",$M351="Rejected",$M351="Withdrawn",$M351="Accepted"),"",IF(ISNUMBER($O351),IF(INT($O351)&lt;TODAY(),"FOLLOW UP REQUIRED",IF(INT($O351)=TODAY(),"ACTION DUE TODAY",IF(INT($O351)-TODAY()&lt;=Set_DueSoonDays,"DUE SOON",""))),IF(AND($M351="Applied",$AA351=""),IF(ISNUMBER($C351),IF(TODAY()-$C351&gt;=Set_FollowUpDays,"NO RESPONSE",""),""),"")))</f>
        <v/>
      </c>
      <c r="AD351" s="87">
        <f>IF(ISNUMBER($L351),IF($L351&gt;=90,"Excellent Match",IF($L351&gt;=75,"Strong Match",IF($L351&gt;=60,"Moderate Match","Low Match"))),"")</f>
        <v/>
      </c>
      <c r="AE351" s="87">
        <f>IF($D351="","",IF(OR($M351="Rejected",$M351="Withdrawn"),IF($AB351&lt;&gt;"",$AB351,IF(OR($M351="Rejected",ISNUMBER($C351)),"Applied","Wishlist")),IF($M351="",IF(ISNUMBER($C351),"Applied","Wishlist"),$M351)))</f>
        <v/>
      </c>
      <c r="AF351" s="88">
        <f>IF(AND(ISNUMBER($C351),ISNUMBER($AA351)),$AA351-$C351,"")</f>
        <v/>
      </c>
      <c r="AG351" s="87">
        <f>IF($AE351="","",IFERROR(MATCH($AE351,{"Wishlist","Applied","Screening","Interview 1","Interview 2","Final","Offer","Accepted"},0)-1,""))</f>
        <v/>
      </c>
      <c r="AH351" s="87">
        <f>IF($AC351="","",MATCH($AC351,{"FOLLOW UP REQUIRED","ACTION DUE TODAY","NO RESPONSE","DUE SOON"},0)*100000+IF(ISNUMBER($O351),$O351,IF(ISNUMBER($C351),$C351,0))+ROW()/10000)</f>
        <v/>
      </c>
      <c r="AI351" s="87">
        <f>IF(AND(ISNUMBER($AG351),$AG351&gt;=1,$AG351&lt;=6,$M351&lt;&gt;"Rejected",$M351&lt;&gt;"Withdrawn"),(10-$AG351)*100000+IF(ISNUMBER($C351),$C351,0)+ROW()/10000,"")</f>
        <v/>
      </c>
    </row>
    <row r="352">
      <c r="A352" s="80" t="n"/>
      <c r="B352" s="81" t="n"/>
      <c r="C352" s="81" t="n"/>
      <c r="D352" s="82" t="n"/>
      <c r="E352" s="82" t="n"/>
      <c r="F352" s="82" t="n"/>
      <c r="G352" s="82" t="n"/>
      <c r="H352" s="82" t="n"/>
      <c r="I352" s="83" t="n"/>
      <c r="J352" s="82" t="n"/>
      <c r="K352" s="84" t="n"/>
      <c r="L352" s="85" t="n"/>
      <c r="M352" s="82" t="n"/>
      <c r="N352" s="86" t="n"/>
      <c r="O352" s="81" t="n"/>
      <c r="P352" s="82" t="n"/>
      <c r="Q352" s="83" t="n"/>
      <c r="R352" s="82" t="n"/>
      <c r="S352" s="84" t="n"/>
      <c r="T352" s="84" t="n"/>
      <c r="U352" s="82" t="n"/>
      <c r="V352" s="86" t="n"/>
      <c r="W352" s="86" t="n"/>
      <c r="X352" s="86" t="n"/>
      <c r="Y352" s="81" t="n"/>
      <c r="Z352" s="82" t="n"/>
      <c r="AA352" s="81" t="n"/>
      <c r="AB352" s="82" t="n"/>
      <c r="AC352" s="87">
        <f>IF(OR($D352="",$M352="Rejected",$M352="Withdrawn",$M352="Accepted"),"",IF(ISNUMBER($O352),IF(INT($O352)&lt;TODAY(),"FOLLOW UP REQUIRED",IF(INT($O352)=TODAY(),"ACTION DUE TODAY",IF(INT($O352)-TODAY()&lt;=Set_DueSoonDays,"DUE SOON",""))),IF(AND($M352="Applied",$AA352=""),IF(ISNUMBER($C352),IF(TODAY()-$C352&gt;=Set_FollowUpDays,"NO RESPONSE",""),""),"")))</f>
        <v/>
      </c>
      <c r="AD352" s="87">
        <f>IF(ISNUMBER($L352),IF($L352&gt;=90,"Excellent Match",IF($L352&gt;=75,"Strong Match",IF($L352&gt;=60,"Moderate Match","Low Match"))),"")</f>
        <v/>
      </c>
      <c r="AE352" s="87">
        <f>IF($D352="","",IF(OR($M352="Rejected",$M352="Withdrawn"),IF($AB352&lt;&gt;"",$AB352,IF(OR($M352="Rejected",ISNUMBER($C352)),"Applied","Wishlist")),IF($M352="",IF(ISNUMBER($C352),"Applied","Wishlist"),$M352)))</f>
        <v/>
      </c>
      <c r="AF352" s="88">
        <f>IF(AND(ISNUMBER($C352),ISNUMBER($AA352)),$AA352-$C352,"")</f>
        <v/>
      </c>
      <c r="AG352" s="87">
        <f>IF($AE352="","",IFERROR(MATCH($AE352,{"Wishlist","Applied","Screening","Interview 1","Interview 2","Final","Offer","Accepted"},0)-1,""))</f>
        <v/>
      </c>
      <c r="AH352" s="87">
        <f>IF($AC352="","",MATCH($AC352,{"FOLLOW UP REQUIRED","ACTION DUE TODAY","NO RESPONSE","DUE SOON"},0)*100000+IF(ISNUMBER($O352),$O352,IF(ISNUMBER($C352),$C352,0))+ROW()/10000)</f>
        <v/>
      </c>
      <c r="AI352" s="87">
        <f>IF(AND(ISNUMBER($AG352),$AG352&gt;=1,$AG352&lt;=6,$M352&lt;&gt;"Rejected",$M352&lt;&gt;"Withdrawn"),(10-$AG352)*100000+IF(ISNUMBER($C352),$C352,0)+ROW()/10000,"")</f>
        <v/>
      </c>
    </row>
    <row r="353">
      <c r="A353" s="80" t="n"/>
      <c r="B353" s="81" t="n"/>
      <c r="C353" s="81" t="n"/>
      <c r="D353" s="82" t="n"/>
      <c r="E353" s="82" t="n"/>
      <c r="F353" s="82" t="n"/>
      <c r="G353" s="82" t="n"/>
      <c r="H353" s="82" t="n"/>
      <c r="I353" s="83" t="n"/>
      <c r="J353" s="82" t="n"/>
      <c r="K353" s="84" t="n"/>
      <c r="L353" s="85" t="n"/>
      <c r="M353" s="82" t="n"/>
      <c r="N353" s="86" t="n"/>
      <c r="O353" s="81" t="n"/>
      <c r="P353" s="82" t="n"/>
      <c r="Q353" s="83" t="n"/>
      <c r="R353" s="82" t="n"/>
      <c r="S353" s="84" t="n"/>
      <c r="T353" s="84" t="n"/>
      <c r="U353" s="82" t="n"/>
      <c r="V353" s="86" t="n"/>
      <c r="W353" s="86" t="n"/>
      <c r="X353" s="86" t="n"/>
      <c r="Y353" s="81" t="n"/>
      <c r="Z353" s="82" t="n"/>
      <c r="AA353" s="81" t="n"/>
      <c r="AB353" s="82" t="n"/>
      <c r="AC353" s="87">
        <f>IF(OR($D353="",$M353="Rejected",$M353="Withdrawn",$M353="Accepted"),"",IF(ISNUMBER($O353),IF(INT($O353)&lt;TODAY(),"FOLLOW UP REQUIRED",IF(INT($O353)=TODAY(),"ACTION DUE TODAY",IF(INT($O353)-TODAY()&lt;=Set_DueSoonDays,"DUE SOON",""))),IF(AND($M353="Applied",$AA353=""),IF(ISNUMBER($C353),IF(TODAY()-$C353&gt;=Set_FollowUpDays,"NO RESPONSE",""),""),"")))</f>
        <v/>
      </c>
      <c r="AD353" s="87">
        <f>IF(ISNUMBER($L353),IF($L353&gt;=90,"Excellent Match",IF($L353&gt;=75,"Strong Match",IF($L353&gt;=60,"Moderate Match","Low Match"))),"")</f>
        <v/>
      </c>
      <c r="AE353" s="87">
        <f>IF($D353="","",IF(OR($M353="Rejected",$M353="Withdrawn"),IF($AB353&lt;&gt;"",$AB353,IF(OR($M353="Rejected",ISNUMBER($C353)),"Applied","Wishlist")),IF($M353="",IF(ISNUMBER($C353),"Applied","Wishlist"),$M353)))</f>
        <v/>
      </c>
      <c r="AF353" s="88">
        <f>IF(AND(ISNUMBER($C353),ISNUMBER($AA353)),$AA353-$C353,"")</f>
        <v/>
      </c>
      <c r="AG353" s="87">
        <f>IF($AE353="","",IFERROR(MATCH($AE353,{"Wishlist","Applied","Screening","Interview 1","Interview 2","Final","Offer","Accepted"},0)-1,""))</f>
        <v/>
      </c>
      <c r="AH353" s="87">
        <f>IF($AC353="","",MATCH($AC353,{"FOLLOW UP REQUIRED","ACTION DUE TODAY","NO RESPONSE","DUE SOON"},0)*100000+IF(ISNUMBER($O353),$O353,IF(ISNUMBER($C353),$C353,0))+ROW()/10000)</f>
        <v/>
      </c>
      <c r="AI353" s="87">
        <f>IF(AND(ISNUMBER($AG353),$AG353&gt;=1,$AG353&lt;=6,$M353&lt;&gt;"Rejected",$M353&lt;&gt;"Withdrawn"),(10-$AG353)*100000+IF(ISNUMBER($C353),$C353,0)+ROW()/10000,"")</f>
        <v/>
      </c>
    </row>
    <row r="354">
      <c r="A354" s="80" t="n"/>
      <c r="B354" s="81" t="n"/>
      <c r="C354" s="81" t="n"/>
      <c r="D354" s="82" t="n"/>
      <c r="E354" s="82" t="n"/>
      <c r="F354" s="82" t="n"/>
      <c r="G354" s="82" t="n"/>
      <c r="H354" s="82" t="n"/>
      <c r="I354" s="83" t="n"/>
      <c r="J354" s="82" t="n"/>
      <c r="K354" s="84" t="n"/>
      <c r="L354" s="85" t="n"/>
      <c r="M354" s="82" t="n"/>
      <c r="N354" s="86" t="n"/>
      <c r="O354" s="81" t="n"/>
      <c r="P354" s="82" t="n"/>
      <c r="Q354" s="83" t="n"/>
      <c r="R354" s="82" t="n"/>
      <c r="S354" s="84" t="n"/>
      <c r="T354" s="84" t="n"/>
      <c r="U354" s="82" t="n"/>
      <c r="V354" s="86" t="n"/>
      <c r="W354" s="86" t="n"/>
      <c r="X354" s="86" t="n"/>
      <c r="Y354" s="81" t="n"/>
      <c r="Z354" s="82" t="n"/>
      <c r="AA354" s="81" t="n"/>
      <c r="AB354" s="82" t="n"/>
      <c r="AC354" s="87">
        <f>IF(OR($D354="",$M354="Rejected",$M354="Withdrawn",$M354="Accepted"),"",IF(ISNUMBER($O354),IF(INT($O354)&lt;TODAY(),"FOLLOW UP REQUIRED",IF(INT($O354)=TODAY(),"ACTION DUE TODAY",IF(INT($O354)-TODAY()&lt;=Set_DueSoonDays,"DUE SOON",""))),IF(AND($M354="Applied",$AA354=""),IF(ISNUMBER($C354),IF(TODAY()-$C354&gt;=Set_FollowUpDays,"NO RESPONSE",""),""),"")))</f>
        <v/>
      </c>
      <c r="AD354" s="87">
        <f>IF(ISNUMBER($L354),IF($L354&gt;=90,"Excellent Match",IF($L354&gt;=75,"Strong Match",IF($L354&gt;=60,"Moderate Match","Low Match"))),"")</f>
        <v/>
      </c>
      <c r="AE354" s="87">
        <f>IF($D354="","",IF(OR($M354="Rejected",$M354="Withdrawn"),IF($AB354&lt;&gt;"",$AB354,IF(OR($M354="Rejected",ISNUMBER($C354)),"Applied","Wishlist")),IF($M354="",IF(ISNUMBER($C354),"Applied","Wishlist"),$M354)))</f>
        <v/>
      </c>
      <c r="AF354" s="88">
        <f>IF(AND(ISNUMBER($C354),ISNUMBER($AA354)),$AA354-$C354,"")</f>
        <v/>
      </c>
      <c r="AG354" s="87">
        <f>IF($AE354="","",IFERROR(MATCH($AE354,{"Wishlist","Applied","Screening","Interview 1","Interview 2","Final","Offer","Accepted"},0)-1,""))</f>
        <v/>
      </c>
      <c r="AH354" s="87">
        <f>IF($AC354="","",MATCH($AC354,{"FOLLOW UP REQUIRED","ACTION DUE TODAY","NO RESPONSE","DUE SOON"},0)*100000+IF(ISNUMBER($O354),$O354,IF(ISNUMBER($C354),$C354,0))+ROW()/10000)</f>
        <v/>
      </c>
      <c r="AI354" s="87">
        <f>IF(AND(ISNUMBER($AG354),$AG354&gt;=1,$AG354&lt;=6,$M354&lt;&gt;"Rejected",$M354&lt;&gt;"Withdrawn"),(10-$AG354)*100000+IF(ISNUMBER($C354),$C354,0)+ROW()/10000,"")</f>
        <v/>
      </c>
    </row>
    <row r="355">
      <c r="A355" s="80" t="n"/>
      <c r="B355" s="81" t="n"/>
      <c r="C355" s="81" t="n"/>
      <c r="D355" s="82" t="n"/>
      <c r="E355" s="82" t="n"/>
      <c r="F355" s="82" t="n"/>
      <c r="G355" s="82" t="n"/>
      <c r="H355" s="82" t="n"/>
      <c r="I355" s="83" t="n"/>
      <c r="J355" s="82" t="n"/>
      <c r="K355" s="84" t="n"/>
      <c r="L355" s="85" t="n"/>
      <c r="M355" s="82" t="n"/>
      <c r="N355" s="86" t="n"/>
      <c r="O355" s="81" t="n"/>
      <c r="P355" s="82" t="n"/>
      <c r="Q355" s="83" t="n"/>
      <c r="R355" s="82" t="n"/>
      <c r="S355" s="84" t="n"/>
      <c r="T355" s="84" t="n"/>
      <c r="U355" s="82" t="n"/>
      <c r="V355" s="86" t="n"/>
      <c r="W355" s="86" t="n"/>
      <c r="X355" s="86" t="n"/>
      <c r="Y355" s="81" t="n"/>
      <c r="Z355" s="82" t="n"/>
      <c r="AA355" s="81" t="n"/>
      <c r="AB355" s="82" t="n"/>
      <c r="AC355" s="87">
        <f>IF(OR($D355="",$M355="Rejected",$M355="Withdrawn",$M355="Accepted"),"",IF(ISNUMBER($O355),IF(INT($O355)&lt;TODAY(),"FOLLOW UP REQUIRED",IF(INT($O355)=TODAY(),"ACTION DUE TODAY",IF(INT($O355)-TODAY()&lt;=Set_DueSoonDays,"DUE SOON",""))),IF(AND($M355="Applied",$AA355=""),IF(ISNUMBER($C355),IF(TODAY()-$C355&gt;=Set_FollowUpDays,"NO RESPONSE",""),""),"")))</f>
        <v/>
      </c>
      <c r="AD355" s="87">
        <f>IF(ISNUMBER($L355),IF($L355&gt;=90,"Excellent Match",IF($L355&gt;=75,"Strong Match",IF($L355&gt;=60,"Moderate Match","Low Match"))),"")</f>
        <v/>
      </c>
      <c r="AE355" s="87">
        <f>IF($D355="","",IF(OR($M355="Rejected",$M355="Withdrawn"),IF($AB355&lt;&gt;"",$AB355,IF(OR($M355="Rejected",ISNUMBER($C355)),"Applied","Wishlist")),IF($M355="",IF(ISNUMBER($C355),"Applied","Wishlist"),$M355)))</f>
        <v/>
      </c>
      <c r="AF355" s="88">
        <f>IF(AND(ISNUMBER($C355),ISNUMBER($AA355)),$AA355-$C355,"")</f>
        <v/>
      </c>
      <c r="AG355" s="87">
        <f>IF($AE355="","",IFERROR(MATCH($AE355,{"Wishlist","Applied","Screening","Interview 1","Interview 2","Final","Offer","Accepted"},0)-1,""))</f>
        <v/>
      </c>
      <c r="AH355" s="87">
        <f>IF($AC355="","",MATCH($AC355,{"FOLLOW UP REQUIRED","ACTION DUE TODAY","NO RESPONSE","DUE SOON"},0)*100000+IF(ISNUMBER($O355),$O355,IF(ISNUMBER($C355),$C355,0))+ROW()/10000)</f>
        <v/>
      </c>
      <c r="AI355" s="87">
        <f>IF(AND(ISNUMBER($AG355),$AG355&gt;=1,$AG355&lt;=6,$M355&lt;&gt;"Rejected",$M355&lt;&gt;"Withdrawn"),(10-$AG355)*100000+IF(ISNUMBER($C355),$C355,0)+ROW()/10000,"")</f>
        <v/>
      </c>
    </row>
    <row r="356">
      <c r="A356" s="80" t="n"/>
      <c r="B356" s="81" t="n"/>
      <c r="C356" s="81" t="n"/>
      <c r="D356" s="82" t="n"/>
      <c r="E356" s="82" t="n"/>
      <c r="F356" s="82" t="n"/>
      <c r="G356" s="82" t="n"/>
      <c r="H356" s="82" t="n"/>
      <c r="I356" s="83" t="n"/>
      <c r="J356" s="82" t="n"/>
      <c r="K356" s="84" t="n"/>
      <c r="L356" s="85" t="n"/>
      <c r="M356" s="82" t="n"/>
      <c r="N356" s="86" t="n"/>
      <c r="O356" s="81" t="n"/>
      <c r="P356" s="82" t="n"/>
      <c r="Q356" s="83" t="n"/>
      <c r="R356" s="82" t="n"/>
      <c r="S356" s="84" t="n"/>
      <c r="T356" s="84" t="n"/>
      <c r="U356" s="82" t="n"/>
      <c r="V356" s="86" t="n"/>
      <c r="W356" s="86" t="n"/>
      <c r="X356" s="86" t="n"/>
      <c r="Y356" s="81" t="n"/>
      <c r="Z356" s="82" t="n"/>
      <c r="AA356" s="81" t="n"/>
      <c r="AB356" s="82" t="n"/>
      <c r="AC356" s="87">
        <f>IF(OR($D356="",$M356="Rejected",$M356="Withdrawn",$M356="Accepted"),"",IF(ISNUMBER($O356),IF(INT($O356)&lt;TODAY(),"FOLLOW UP REQUIRED",IF(INT($O356)=TODAY(),"ACTION DUE TODAY",IF(INT($O356)-TODAY()&lt;=Set_DueSoonDays,"DUE SOON",""))),IF(AND($M356="Applied",$AA356=""),IF(ISNUMBER($C356),IF(TODAY()-$C356&gt;=Set_FollowUpDays,"NO RESPONSE",""),""),"")))</f>
        <v/>
      </c>
      <c r="AD356" s="87">
        <f>IF(ISNUMBER($L356),IF($L356&gt;=90,"Excellent Match",IF($L356&gt;=75,"Strong Match",IF($L356&gt;=60,"Moderate Match","Low Match"))),"")</f>
        <v/>
      </c>
      <c r="AE356" s="87">
        <f>IF($D356="","",IF(OR($M356="Rejected",$M356="Withdrawn"),IF($AB356&lt;&gt;"",$AB356,IF(OR($M356="Rejected",ISNUMBER($C356)),"Applied","Wishlist")),IF($M356="",IF(ISNUMBER($C356),"Applied","Wishlist"),$M356)))</f>
        <v/>
      </c>
      <c r="AF356" s="88">
        <f>IF(AND(ISNUMBER($C356),ISNUMBER($AA356)),$AA356-$C356,"")</f>
        <v/>
      </c>
      <c r="AG356" s="87">
        <f>IF($AE356="","",IFERROR(MATCH($AE356,{"Wishlist","Applied","Screening","Interview 1","Interview 2","Final","Offer","Accepted"},0)-1,""))</f>
        <v/>
      </c>
      <c r="AH356" s="87">
        <f>IF($AC356="","",MATCH($AC356,{"FOLLOW UP REQUIRED","ACTION DUE TODAY","NO RESPONSE","DUE SOON"},0)*100000+IF(ISNUMBER($O356),$O356,IF(ISNUMBER($C356),$C356,0))+ROW()/10000)</f>
        <v/>
      </c>
      <c r="AI356" s="87">
        <f>IF(AND(ISNUMBER($AG356),$AG356&gt;=1,$AG356&lt;=6,$M356&lt;&gt;"Rejected",$M356&lt;&gt;"Withdrawn"),(10-$AG356)*100000+IF(ISNUMBER($C356),$C356,0)+ROW()/10000,"")</f>
        <v/>
      </c>
    </row>
    <row r="357">
      <c r="A357" s="80" t="n"/>
      <c r="B357" s="81" t="n"/>
      <c r="C357" s="81" t="n"/>
      <c r="D357" s="82" t="n"/>
      <c r="E357" s="82" t="n"/>
      <c r="F357" s="82" t="n"/>
      <c r="G357" s="82" t="n"/>
      <c r="H357" s="82" t="n"/>
      <c r="I357" s="83" t="n"/>
      <c r="J357" s="82" t="n"/>
      <c r="K357" s="84" t="n"/>
      <c r="L357" s="85" t="n"/>
      <c r="M357" s="82" t="n"/>
      <c r="N357" s="86" t="n"/>
      <c r="O357" s="81" t="n"/>
      <c r="P357" s="82" t="n"/>
      <c r="Q357" s="83" t="n"/>
      <c r="R357" s="82" t="n"/>
      <c r="S357" s="84" t="n"/>
      <c r="T357" s="84" t="n"/>
      <c r="U357" s="82" t="n"/>
      <c r="V357" s="86" t="n"/>
      <c r="W357" s="86" t="n"/>
      <c r="X357" s="86" t="n"/>
      <c r="Y357" s="81" t="n"/>
      <c r="Z357" s="82" t="n"/>
      <c r="AA357" s="81" t="n"/>
      <c r="AB357" s="82" t="n"/>
      <c r="AC357" s="87">
        <f>IF(OR($D357="",$M357="Rejected",$M357="Withdrawn",$M357="Accepted"),"",IF(ISNUMBER($O357),IF(INT($O357)&lt;TODAY(),"FOLLOW UP REQUIRED",IF(INT($O357)=TODAY(),"ACTION DUE TODAY",IF(INT($O357)-TODAY()&lt;=Set_DueSoonDays,"DUE SOON",""))),IF(AND($M357="Applied",$AA357=""),IF(ISNUMBER($C357),IF(TODAY()-$C357&gt;=Set_FollowUpDays,"NO RESPONSE",""),""),"")))</f>
        <v/>
      </c>
      <c r="AD357" s="87">
        <f>IF(ISNUMBER($L357),IF($L357&gt;=90,"Excellent Match",IF($L357&gt;=75,"Strong Match",IF($L357&gt;=60,"Moderate Match","Low Match"))),"")</f>
        <v/>
      </c>
      <c r="AE357" s="87">
        <f>IF($D357="","",IF(OR($M357="Rejected",$M357="Withdrawn"),IF($AB357&lt;&gt;"",$AB357,IF(OR($M357="Rejected",ISNUMBER($C357)),"Applied","Wishlist")),IF($M357="",IF(ISNUMBER($C357),"Applied","Wishlist"),$M357)))</f>
        <v/>
      </c>
      <c r="AF357" s="88">
        <f>IF(AND(ISNUMBER($C357),ISNUMBER($AA357)),$AA357-$C357,"")</f>
        <v/>
      </c>
      <c r="AG357" s="87">
        <f>IF($AE357="","",IFERROR(MATCH($AE357,{"Wishlist","Applied","Screening","Interview 1","Interview 2","Final","Offer","Accepted"},0)-1,""))</f>
        <v/>
      </c>
      <c r="AH357" s="87">
        <f>IF($AC357="","",MATCH($AC357,{"FOLLOW UP REQUIRED","ACTION DUE TODAY","NO RESPONSE","DUE SOON"},0)*100000+IF(ISNUMBER($O357),$O357,IF(ISNUMBER($C357),$C357,0))+ROW()/10000)</f>
        <v/>
      </c>
      <c r="AI357" s="87">
        <f>IF(AND(ISNUMBER($AG357),$AG357&gt;=1,$AG357&lt;=6,$M357&lt;&gt;"Rejected",$M357&lt;&gt;"Withdrawn"),(10-$AG357)*100000+IF(ISNUMBER($C357),$C357,0)+ROW()/10000,"")</f>
        <v/>
      </c>
    </row>
    <row r="358">
      <c r="A358" s="80" t="n"/>
      <c r="B358" s="81" t="n"/>
      <c r="C358" s="81" t="n"/>
      <c r="D358" s="82" t="n"/>
      <c r="E358" s="82" t="n"/>
      <c r="F358" s="82" t="n"/>
      <c r="G358" s="82" t="n"/>
      <c r="H358" s="82" t="n"/>
      <c r="I358" s="83" t="n"/>
      <c r="J358" s="82" t="n"/>
      <c r="K358" s="84" t="n"/>
      <c r="L358" s="85" t="n"/>
      <c r="M358" s="82" t="n"/>
      <c r="N358" s="86" t="n"/>
      <c r="O358" s="81" t="n"/>
      <c r="P358" s="82" t="n"/>
      <c r="Q358" s="83" t="n"/>
      <c r="R358" s="82" t="n"/>
      <c r="S358" s="84" t="n"/>
      <c r="T358" s="84" t="n"/>
      <c r="U358" s="82" t="n"/>
      <c r="V358" s="86" t="n"/>
      <c r="W358" s="86" t="n"/>
      <c r="X358" s="86" t="n"/>
      <c r="Y358" s="81" t="n"/>
      <c r="Z358" s="82" t="n"/>
      <c r="AA358" s="81" t="n"/>
      <c r="AB358" s="82" t="n"/>
      <c r="AC358" s="87">
        <f>IF(OR($D358="",$M358="Rejected",$M358="Withdrawn",$M358="Accepted"),"",IF(ISNUMBER($O358),IF(INT($O358)&lt;TODAY(),"FOLLOW UP REQUIRED",IF(INT($O358)=TODAY(),"ACTION DUE TODAY",IF(INT($O358)-TODAY()&lt;=Set_DueSoonDays,"DUE SOON",""))),IF(AND($M358="Applied",$AA358=""),IF(ISNUMBER($C358),IF(TODAY()-$C358&gt;=Set_FollowUpDays,"NO RESPONSE",""),""),"")))</f>
        <v/>
      </c>
      <c r="AD358" s="87">
        <f>IF(ISNUMBER($L358),IF($L358&gt;=90,"Excellent Match",IF($L358&gt;=75,"Strong Match",IF($L358&gt;=60,"Moderate Match","Low Match"))),"")</f>
        <v/>
      </c>
      <c r="AE358" s="87">
        <f>IF($D358="","",IF(OR($M358="Rejected",$M358="Withdrawn"),IF($AB358&lt;&gt;"",$AB358,IF(OR($M358="Rejected",ISNUMBER($C358)),"Applied","Wishlist")),IF($M358="",IF(ISNUMBER($C358),"Applied","Wishlist"),$M358)))</f>
        <v/>
      </c>
      <c r="AF358" s="88">
        <f>IF(AND(ISNUMBER($C358),ISNUMBER($AA358)),$AA358-$C358,"")</f>
        <v/>
      </c>
      <c r="AG358" s="87">
        <f>IF($AE358="","",IFERROR(MATCH($AE358,{"Wishlist","Applied","Screening","Interview 1","Interview 2","Final","Offer","Accepted"},0)-1,""))</f>
        <v/>
      </c>
      <c r="AH358" s="87">
        <f>IF($AC358="","",MATCH($AC358,{"FOLLOW UP REQUIRED","ACTION DUE TODAY","NO RESPONSE","DUE SOON"},0)*100000+IF(ISNUMBER($O358),$O358,IF(ISNUMBER($C358),$C358,0))+ROW()/10000)</f>
        <v/>
      </c>
      <c r="AI358" s="87">
        <f>IF(AND(ISNUMBER($AG358),$AG358&gt;=1,$AG358&lt;=6,$M358&lt;&gt;"Rejected",$M358&lt;&gt;"Withdrawn"),(10-$AG358)*100000+IF(ISNUMBER($C358),$C358,0)+ROW()/10000,"")</f>
        <v/>
      </c>
    </row>
    <row r="359">
      <c r="A359" s="80" t="n"/>
      <c r="B359" s="81" t="n"/>
      <c r="C359" s="81" t="n"/>
      <c r="D359" s="82" t="n"/>
      <c r="E359" s="82" t="n"/>
      <c r="F359" s="82" t="n"/>
      <c r="G359" s="82" t="n"/>
      <c r="H359" s="82" t="n"/>
      <c r="I359" s="83" t="n"/>
      <c r="J359" s="82" t="n"/>
      <c r="K359" s="84" t="n"/>
      <c r="L359" s="85" t="n"/>
      <c r="M359" s="82" t="n"/>
      <c r="N359" s="86" t="n"/>
      <c r="O359" s="81" t="n"/>
      <c r="P359" s="82" t="n"/>
      <c r="Q359" s="83" t="n"/>
      <c r="R359" s="82" t="n"/>
      <c r="S359" s="84" t="n"/>
      <c r="T359" s="84" t="n"/>
      <c r="U359" s="82" t="n"/>
      <c r="V359" s="86" t="n"/>
      <c r="W359" s="86" t="n"/>
      <c r="X359" s="86" t="n"/>
      <c r="Y359" s="81" t="n"/>
      <c r="Z359" s="82" t="n"/>
      <c r="AA359" s="81" t="n"/>
      <c r="AB359" s="82" t="n"/>
      <c r="AC359" s="87">
        <f>IF(OR($D359="",$M359="Rejected",$M359="Withdrawn",$M359="Accepted"),"",IF(ISNUMBER($O359),IF(INT($O359)&lt;TODAY(),"FOLLOW UP REQUIRED",IF(INT($O359)=TODAY(),"ACTION DUE TODAY",IF(INT($O359)-TODAY()&lt;=Set_DueSoonDays,"DUE SOON",""))),IF(AND($M359="Applied",$AA359=""),IF(ISNUMBER($C359),IF(TODAY()-$C359&gt;=Set_FollowUpDays,"NO RESPONSE",""),""),"")))</f>
        <v/>
      </c>
      <c r="AD359" s="87">
        <f>IF(ISNUMBER($L359),IF($L359&gt;=90,"Excellent Match",IF($L359&gt;=75,"Strong Match",IF($L359&gt;=60,"Moderate Match","Low Match"))),"")</f>
        <v/>
      </c>
      <c r="AE359" s="87">
        <f>IF($D359="","",IF(OR($M359="Rejected",$M359="Withdrawn"),IF($AB359&lt;&gt;"",$AB359,IF(OR($M359="Rejected",ISNUMBER($C359)),"Applied","Wishlist")),IF($M359="",IF(ISNUMBER($C359),"Applied","Wishlist"),$M359)))</f>
        <v/>
      </c>
      <c r="AF359" s="88">
        <f>IF(AND(ISNUMBER($C359),ISNUMBER($AA359)),$AA359-$C359,"")</f>
        <v/>
      </c>
      <c r="AG359" s="87">
        <f>IF($AE359="","",IFERROR(MATCH($AE359,{"Wishlist","Applied","Screening","Interview 1","Interview 2","Final","Offer","Accepted"},0)-1,""))</f>
        <v/>
      </c>
      <c r="AH359" s="87">
        <f>IF($AC359="","",MATCH($AC359,{"FOLLOW UP REQUIRED","ACTION DUE TODAY","NO RESPONSE","DUE SOON"},0)*100000+IF(ISNUMBER($O359),$O359,IF(ISNUMBER($C359),$C359,0))+ROW()/10000)</f>
        <v/>
      </c>
      <c r="AI359" s="87">
        <f>IF(AND(ISNUMBER($AG359),$AG359&gt;=1,$AG359&lt;=6,$M359&lt;&gt;"Rejected",$M359&lt;&gt;"Withdrawn"),(10-$AG359)*100000+IF(ISNUMBER($C359),$C359,0)+ROW()/10000,"")</f>
        <v/>
      </c>
    </row>
    <row r="360">
      <c r="A360" s="80" t="n"/>
      <c r="B360" s="81" t="n"/>
      <c r="C360" s="81" t="n"/>
      <c r="D360" s="82" t="n"/>
      <c r="E360" s="82" t="n"/>
      <c r="F360" s="82" t="n"/>
      <c r="G360" s="82" t="n"/>
      <c r="H360" s="82" t="n"/>
      <c r="I360" s="83" t="n"/>
      <c r="J360" s="82" t="n"/>
      <c r="K360" s="84" t="n"/>
      <c r="L360" s="85" t="n"/>
      <c r="M360" s="82" t="n"/>
      <c r="N360" s="86" t="n"/>
      <c r="O360" s="81" t="n"/>
      <c r="P360" s="82" t="n"/>
      <c r="Q360" s="83" t="n"/>
      <c r="R360" s="82" t="n"/>
      <c r="S360" s="84" t="n"/>
      <c r="T360" s="84" t="n"/>
      <c r="U360" s="82" t="n"/>
      <c r="V360" s="86" t="n"/>
      <c r="W360" s="86" t="n"/>
      <c r="X360" s="86" t="n"/>
      <c r="Y360" s="81" t="n"/>
      <c r="Z360" s="82" t="n"/>
      <c r="AA360" s="81" t="n"/>
      <c r="AB360" s="82" t="n"/>
      <c r="AC360" s="87">
        <f>IF(OR($D360="",$M360="Rejected",$M360="Withdrawn",$M360="Accepted"),"",IF(ISNUMBER($O360),IF(INT($O360)&lt;TODAY(),"FOLLOW UP REQUIRED",IF(INT($O360)=TODAY(),"ACTION DUE TODAY",IF(INT($O360)-TODAY()&lt;=Set_DueSoonDays,"DUE SOON",""))),IF(AND($M360="Applied",$AA360=""),IF(ISNUMBER($C360),IF(TODAY()-$C360&gt;=Set_FollowUpDays,"NO RESPONSE",""),""),"")))</f>
        <v/>
      </c>
      <c r="AD360" s="87">
        <f>IF(ISNUMBER($L360),IF($L360&gt;=90,"Excellent Match",IF($L360&gt;=75,"Strong Match",IF($L360&gt;=60,"Moderate Match","Low Match"))),"")</f>
        <v/>
      </c>
      <c r="AE360" s="87">
        <f>IF($D360="","",IF(OR($M360="Rejected",$M360="Withdrawn"),IF($AB360&lt;&gt;"",$AB360,IF(OR($M360="Rejected",ISNUMBER($C360)),"Applied","Wishlist")),IF($M360="",IF(ISNUMBER($C360),"Applied","Wishlist"),$M360)))</f>
        <v/>
      </c>
      <c r="AF360" s="88">
        <f>IF(AND(ISNUMBER($C360),ISNUMBER($AA360)),$AA360-$C360,"")</f>
        <v/>
      </c>
      <c r="AG360" s="87">
        <f>IF($AE360="","",IFERROR(MATCH($AE360,{"Wishlist","Applied","Screening","Interview 1","Interview 2","Final","Offer","Accepted"},0)-1,""))</f>
        <v/>
      </c>
      <c r="AH360" s="87">
        <f>IF($AC360="","",MATCH($AC360,{"FOLLOW UP REQUIRED","ACTION DUE TODAY","NO RESPONSE","DUE SOON"},0)*100000+IF(ISNUMBER($O360),$O360,IF(ISNUMBER($C360),$C360,0))+ROW()/10000)</f>
        <v/>
      </c>
      <c r="AI360" s="87">
        <f>IF(AND(ISNUMBER($AG360),$AG360&gt;=1,$AG360&lt;=6,$M360&lt;&gt;"Rejected",$M360&lt;&gt;"Withdrawn"),(10-$AG360)*100000+IF(ISNUMBER($C360),$C360,0)+ROW()/10000,"")</f>
        <v/>
      </c>
    </row>
    <row r="361">
      <c r="A361" s="80" t="n"/>
      <c r="B361" s="81" t="n"/>
      <c r="C361" s="81" t="n"/>
      <c r="D361" s="82" t="n"/>
      <c r="E361" s="82" t="n"/>
      <c r="F361" s="82" t="n"/>
      <c r="G361" s="82" t="n"/>
      <c r="H361" s="82" t="n"/>
      <c r="I361" s="83" t="n"/>
      <c r="J361" s="82" t="n"/>
      <c r="K361" s="84" t="n"/>
      <c r="L361" s="85" t="n"/>
      <c r="M361" s="82" t="n"/>
      <c r="N361" s="86" t="n"/>
      <c r="O361" s="81" t="n"/>
      <c r="P361" s="82" t="n"/>
      <c r="Q361" s="83" t="n"/>
      <c r="R361" s="82" t="n"/>
      <c r="S361" s="84" t="n"/>
      <c r="T361" s="84" t="n"/>
      <c r="U361" s="82" t="n"/>
      <c r="V361" s="86" t="n"/>
      <c r="W361" s="86" t="n"/>
      <c r="X361" s="86" t="n"/>
      <c r="Y361" s="81" t="n"/>
      <c r="Z361" s="82" t="n"/>
      <c r="AA361" s="81" t="n"/>
      <c r="AB361" s="82" t="n"/>
      <c r="AC361" s="87">
        <f>IF(OR($D361="",$M361="Rejected",$M361="Withdrawn",$M361="Accepted"),"",IF(ISNUMBER($O361),IF(INT($O361)&lt;TODAY(),"FOLLOW UP REQUIRED",IF(INT($O361)=TODAY(),"ACTION DUE TODAY",IF(INT($O361)-TODAY()&lt;=Set_DueSoonDays,"DUE SOON",""))),IF(AND($M361="Applied",$AA361=""),IF(ISNUMBER($C361),IF(TODAY()-$C361&gt;=Set_FollowUpDays,"NO RESPONSE",""),""),"")))</f>
        <v/>
      </c>
      <c r="AD361" s="87">
        <f>IF(ISNUMBER($L361),IF($L361&gt;=90,"Excellent Match",IF($L361&gt;=75,"Strong Match",IF($L361&gt;=60,"Moderate Match","Low Match"))),"")</f>
        <v/>
      </c>
      <c r="AE361" s="87">
        <f>IF($D361="","",IF(OR($M361="Rejected",$M361="Withdrawn"),IF($AB361&lt;&gt;"",$AB361,IF(OR($M361="Rejected",ISNUMBER($C361)),"Applied","Wishlist")),IF($M361="",IF(ISNUMBER($C361),"Applied","Wishlist"),$M361)))</f>
        <v/>
      </c>
      <c r="AF361" s="88">
        <f>IF(AND(ISNUMBER($C361),ISNUMBER($AA361)),$AA361-$C361,"")</f>
        <v/>
      </c>
      <c r="AG361" s="87">
        <f>IF($AE361="","",IFERROR(MATCH($AE361,{"Wishlist","Applied","Screening","Interview 1","Interview 2","Final","Offer","Accepted"},0)-1,""))</f>
        <v/>
      </c>
      <c r="AH361" s="87">
        <f>IF($AC361="","",MATCH($AC361,{"FOLLOW UP REQUIRED","ACTION DUE TODAY","NO RESPONSE","DUE SOON"},0)*100000+IF(ISNUMBER($O361),$O361,IF(ISNUMBER($C361),$C361,0))+ROW()/10000)</f>
        <v/>
      </c>
      <c r="AI361" s="87">
        <f>IF(AND(ISNUMBER($AG361),$AG361&gt;=1,$AG361&lt;=6,$M361&lt;&gt;"Rejected",$M361&lt;&gt;"Withdrawn"),(10-$AG361)*100000+IF(ISNUMBER($C361),$C361,0)+ROW()/10000,"")</f>
        <v/>
      </c>
    </row>
    <row r="362">
      <c r="A362" s="80" t="n"/>
      <c r="B362" s="81" t="n"/>
      <c r="C362" s="81" t="n"/>
      <c r="D362" s="82" t="n"/>
      <c r="E362" s="82" t="n"/>
      <c r="F362" s="82" t="n"/>
      <c r="G362" s="82" t="n"/>
      <c r="H362" s="82" t="n"/>
      <c r="I362" s="83" t="n"/>
      <c r="J362" s="82" t="n"/>
      <c r="K362" s="84" t="n"/>
      <c r="L362" s="85" t="n"/>
      <c r="M362" s="82" t="n"/>
      <c r="N362" s="86" t="n"/>
      <c r="O362" s="81" t="n"/>
      <c r="P362" s="82" t="n"/>
      <c r="Q362" s="83" t="n"/>
      <c r="R362" s="82" t="n"/>
      <c r="S362" s="84" t="n"/>
      <c r="T362" s="84" t="n"/>
      <c r="U362" s="82" t="n"/>
      <c r="V362" s="86" t="n"/>
      <c r="W362" s="86" t="n"/>
      <c r="X362" s="86" t="n"/>
      <c r="Y362" s="81" t="n"/>
      <c r="Z362" s="82" t="n"/>
      <c r="AA362" s="81" t="n"/>
      <c r="AB362" s="82" t="n"/>
      <c r="AC362" s="87">
        <f>IF(OR($D362="",$M362="Rejected",$M362="Withdrawn",$M362="Accepted"),"",IF(ISNUMBER($O362),IF(INT($O362)&lt;TODAY(),"FOLLOW UP REQUIRED",IF(INT($O362)=TODAY(),"ACTION DUE TODAY",IF(INT($O362)-TODAY()&lt;=Set_DueSoonDays,"DUE SOON",""))),IF(AND($M362="Applied",$AA362=""),IF(ISNUMBER($C362),IF(TODAY()-$C362&gt;=Set_FollowUpDays,"NO RESPONSE",""),""),"")))</f>
        <v/>
      </c>
      <c r="AD362" s="87">
        <f>IF(ISNUMBER($L362),IF($L362&gt;=90,"Excellent Match",IF($L362&gt;=75,"Strong Match",IF($L362&gt;=60,"Moderate Match","Low Match"))),"")</f>
        <v/>
      </c>
      <c r="AE362" s="87">
        <f>IF($D362="","",IF(OR($M362="Rejected",$M362="Withdrawn"),IF($AB362&lt;&gt;"",$AB362,IF(OR($M362="Rejected",ISNUMBER($C362)),"Applied","Wishlist")),IF($M362="",IF(ISNUMBER($C362),"Applied","Wishlist"),$M362)))</f>
        <v/>
      </c>
      <c r="AF362" s="88">
        <f>IF(AND(ISNUMBER($C362),ISNUMBER($AA362)),$AA362-$C362,"")</f>
        <v/>
      </c>
      <c r="AG362" s="87">
        <f>IF($AE362="","",IFERROR(MATCH($AE362,{"Wishlist","Applied","Screening","Interview 1","Interview 2","Final","Offer","Accepted"},0)-1,""))</f>
        <v/>
      </c>
      <c r="AH362" s="87">
        <f>IF($AC362="","",MATCH($AC362,{"FOLLOW UP REQUIRED","ACTION DUE TODAY","NO RESPONSE","DUE SOON"},0)*100000+IF(ISNUMBER($O362),$O362,IF(ISNUMBER($C362),$C362,0))+ROW()/10000)</f>
        <v/>
      </c>
      <c r="AI362" s="87">
        <f>IF(AND(ISNUMBER($AG362),$AG362&gt;=1,$AG362&lt;=6,$M362&lt;&gt;"Rejected",$M362&lt;&gt;"Withdrawn"),(10-$AG362)*100000+IF(ISNUMBER($C362),$C362,0)+ROW()/10000,"")</f>
        <v/>
      </c>
    </row>
    <row r="363">
      <c r="A363" s="80" t="n"/>
      <c r="B363" s="81" t="n"/>
      <c r="C363" s="81" t="n"/>
      <c r="D363" s="82" t="n"/>
      <c r="E363" s="82" t="n"/>
      <c r="F363" s="82" t="n"/>
      <c r="G363" s="82" t="n"/>
      <c r="H363" s="82" t="n"/>
      <c r="I363" s="83" t="n"/>
      <c r="J363" s="82" t="n"/>
      <c r="K363" s="84" t="n"/>
      <c r="L363" s="85" t="n"/>
      <c r="M363" s="82" t="n"/>
      <c r="N363" s="86" t="n"/>
      <c r="O363" s="81" t="n"/>
      <c r="P363" s="82" t="n"/>
      <c r="Q363" s="83" t="n"/>
      <c r="R363" s="82" t="n"/>
      <c r="S363" s="84" t="n"/>
      <c r="T363" s="84" t="n"/>
      <c r="U363" s="82" t="n"/>
      <c r="V363" s="86" t="n"/>
      <c r="W363" s="86" t="n"/>
      <c r="X363" s="86" t="n"/>
      <c r="Y363" s="81" t="n"/>
      <c r="Z363" s="82" t="n"/>
      <c r="AA363" s="81" t="n"/>
      <c r="AB363" s="82" t="n"/>
      <c r="AC363" s="87">
        <f>IF(OR($D363="",$M363="Rejected",$M363="Withdrawn",$M363="Accepted"),"",IF(ISNUMBER($O363),IF(INT($O363)&lt;TODAY(),"FOLLOW UP REQUIRED",IF(INT($O363)=TODAY(),"ACTION DUE TODAY",IF(INT($O363)-TODAY()&lt;=Set_DueSoonDays,"DUE SOON",""))),IF(AND($M363="Applied",$AA363=""),IF(ISNUMBER($C363),IF(TODAY()-$C363&gt;=Set_FollowUpDays,"NO RESPONSE",""),""),"")))</f>
        <v/>
      </c>
      <c r="AD363" s="87">
        <f>IF(ISNUMBER($L363),IF($L363&gt;=90,"Excellent Match",IF($L363&gt;=75,"Strong Match",IF($L363&gt;=60,"Moderate Match","Low Match"))),"")</f>
        <v/>
      </c>
      <c r="AE363" s="87">
        <f>IF($D363="","",IF(OR($M363="Rejected",$M363="Withdrawn"),IF($AB363&lt;&gt;"",$AB363,IF(OR($M363="Rejected",ISNUMBER($C363)),"Applied","Wishlist")),IF($M363="",IF(ISNUMBER($C363),"Applied","Wishlist"),$M363)))</f>
        <v/>
      </c>
      <c r="AF363" s="88">
        <f>IF(AND(ISNUMBER($C363),ISNUMBER($AA363)),$AA363-$C363,"")</f>
        <v/>
      </c>
      <c r="AG363" s="87">
        <f>IF($AE363="","",IFERROR(MATCH($AE363,{"Wishlist","Applied","Screening","Interview 1","Interview 2","Final","Offer","Accepted"},0)-1,""))</f>
        <v/>
      </c>
      <c r="AH363" s="87">
        <f>IF($AC363="","",MATCH($AC363,{"FOLLOW UP REQUIRED","ACTION DUE TODAY","NO RESPONSE","DUE SOON"},0)*100000+IF(ISNUMBER($O363),$O363,IF(ISNUMBER($C363),$C363,0))+ROW()/10000)</f>
        <v/>
      </c>
      <c r="AI363" s="87">
        <f>IF(AND(ISNUMBER($AG363),$AG363&gt;=1,$AG363&lt;=6,$M363&lt;&gt;"Rejected",$M363&lt;&gt;"Withdrawn"),(10-$AG363)*100000+IF(ISNUMBER($C363),$C363,0)+ROW()/10000,"")</f>
        <v/>
      </c>
    </row>
    <row r="364">
      <c r="A364" s="80" t="n"/>
      <c r="B364" s="81" t="n"/>
      <c r="C364" s="81" t="n"/>
      <c r="D364" s="82" t="n"/>
      <c r="E364" s="82" t="n"/>
      <c r="F364" s="82" t="n"/>
      <c r="G364" s="82" t="n"/>
      <c r="H364" s="82" t="n"/>
      <c r="I364" s="83" t="n"/>
      <c r="J364" s="82" t="n"/>
      <c r="K364" s="84" t="n"/>
      <c r="L364" s="85" t="n"/>
      <c r="M364" s="82" t="n"/>
      <c r="N364" s="86" t="n"/>
      <c r="O364" s="81" t="n"/>
      <c r="P364" s="82" t="n"/>
      <c r="Q364" s="83" t="n"/>
      <c r="R364" s="82" t="n"/>
      <c r="S364" s="84" t="n"/>
      <c r="T364" s="84" t="n"/>
      <c r="U364" s="82" t="n"/>
      <c r="V364" s="86" t="n"/>
      <c r="W364" s="86" t="n"/>
      <c r="X364" s="86" t="n"/>
      <c r="Y364" s="81" t="n"/>
      <c r="Z364" s="82" t="n"/>
      <c r="AA364" s="81" t="n"/>
      <c r="AB364" s="82" t="n"/>
      <c r="AC364" s="87">
        <f>IF(OR($D364="",$M364="Rejected",$M364="Withdrawn",$M364="Accepted"),"",IF(ISNUMBER($O364),IF(INT($O364)&lt;TODAY(),"FOLLOW UP REQUIRED",IF(INT($O364)=TODAY(),"ACTION DUE TODAY",IF(INT($O364)-TODAY()&lt;=Set_DueSoonDays,"DUE SOON",""))),IF(AND($M364="Applied",$AA364=""),IF(ISNUMBER($C364),IF(TODAY()-$C364&gt;=Set_FollowUpDays,"NO RESPONSE",""),""),"")))</f>
        <v/>
      </c>
      <c r="AD364" s="87">
        <f>IF(ISNUMBER($L364),IF($L364&gt;=90,"Excellent Match",IF($L364&gt;=75,"Strong Match",IF($L364&gt;=60,"Moderate Match","Low Match"))),"")</f>
        <v/>
      </c>
      <c r="AE364" s="87">
        <f>IF($D364="","",IF(OR($M364="Rejected",$M364="Withdrawn"),IF($AB364&lt;&gt;"",$AB364,IF(OR($M364="Rejected",ISNUMBER($C364)),"Applied","Wishlist")),IF($M364="",IF(ISNUMBER($C364),"Applied","Wishlist"),$M364)))</f>
        <v/>
      </c>
      <c r="AF364" s="88">
        <f>IF(AND(ISNUMBER($C364),ISNUMBER($AA364)),$AA364-$C364,"")</f>
        <v/>
      </c>
      <c r="AG364" s="87">
        <f>IF($AE364="","",IFERROR(MATCH($AE364,{"Wishlist","Applied","Screening","Interview 1","Interview 2","Final","Offer","Accepted"},0)-1,""))</f>
        <v/>
      </c>
      <c r="AH364" s="87">
        <f>IF($AC364="","",MATCH($AC364,{"FOLLOW UP REQUIRED","ACTION DUE TODAY","NO RESPONSE","DUE SOON"},0)*100000+IF(ISNUMBER($O364),$O364,IF(ISNUMBER($C364),$C364,0))+ROW()/10000)</f>
        <v/>
      </c>
      <c r="AI364" s="87">
        <f>IF(AND(ISNUMBER($AG364),$AG364&gt;=1,$AG364&lt;=6,$M364&lt;&gt;"Rejected",$M364&lt;&gt;"Withdrawn"),(10-$AG364)*100000+IF(ISNUMBER($C364),$C364,0)+ROW()/10000,"")</f>
        <v/>
      </c>
    </row>
    <row r="365">
      <c r="A365" s="80" t="n"/>
      <c r="B365" s="81" t="n"/>
      <c r="C365" s="81" t="n"/>
      <c r="D365" s="82" t="n"/>
      <c r="E365" s="82" t="n"/>
      <c r="F365" s="82" t="n"/>
      <c r="G365" s="82" t="n"/>
      <c r="H365" s="82" t="n"/>
      <c r="I365" s="83" t="n"/>
      <c r="J365" s="82" t="n"/>
      <c r="K365" s="84" t="n"/>
      <c r="L365" s="85" t="n"/>
      <c r="M365" s="82" t="n"/>
      <c r="N365" s="86" t="n"/>
      <c r="O365" s="81" t="n"/>
      <c r="P365" s="82" t="n"/>
      <c r="Q365" s="83" t="n"/>
      <c r="R365" s="82" t="n"/>
      <c r="S365" s="84" t="n"/>
      <c r="T365" s="84" t="n"/>
      <c r="U365" s="82" t="n"/>
      <c r="V365" s="86" t="n"/>
      <c r="W365" s="86" t="n"/>
      <c r="X365" s="86" t="n"/>
      <c r="Y365" s="81" t="n"/>
      <c r="Z365" s="82" t="n"/>
      <c r="AA365" s="81" t="n"/>
      <c r="AB365" s="82" t="n"/>
      <c r="AC365" s="87">
        <f>IF(OR($D365="",$M365="Rejected",$M365="Withdrawn",$M365="Accepted"),"",IF(ISNUMBER($O365),IF(INT($O365)&lt;TODAY(),"FOLLOW UP REQUIRED",IF(INT($O365)=TODAY(),"ACTION DUE TODAY",IF(INT($O365)-TODAY()&lt;=Set_DueSoonDays,"DUE SOON",""))),IF(AND($M365="Applied",$AA365=""),IF(ISNUMBER($C365),IF(TODAY()-$C365&gt;=Set_FollowUpDays,"NO RESPONSE",""),""),"")))</f>
        <v/>
      </c>
      <c r="AD365" s="87">
        <f>IF(ISNUMBER($L365),IF($L365&gt;=90,"Excellent Match",IF($L365&gt;=75,"Strong Match",IF($L365&gt;=60,"Moderate Match","Low Match"))),"")</f>
        <v/>
      </c>
      <c r="AE365" s="87">
        <f>IF($D365="","",IF(OR($M365="Rejected",$M365="Withdrawn"),IF($AB365&lt;&gt;"",$AB365,IF(OR($M365="Rejected",ISNUMBER($C365)),"Applied","Wishlist")),IF($M365="",IF(ISNUMBER($C365),"Applied","Wishlist"),$M365)))</f>
        <v/>
      </c>
      <c r="AF365" s="88">
        <f>IF(AND(ISNUMBER($C365),ISNUMBER($AA365)),$AA365-$C365,"")</f>
        <v/>
      </c>
      <c r="AG365" s="87">
        <f>IF($AE365="","",IFERROR(MATCH($AE365,{"Wishlist","Applied","Screening","Interview 1","Interview 2","Final","Offer","Accepted"},0)-1,""))</f>
        <v/>
      </c>
      <c r="AH365" s="87">
        <f>IF($AC365="","",MATCH($AC365,{"FOLLOW UP REQUIRED","ACTION DUE TODAY","NO RESPONSE","DUE SOON"},0)*100000+IF(ISNUMBER($O365),$O365,IF(ISNUMBER($C365),$C365,0))+ROW()/10000)</f>
        <v/>
      </c>
      <c r="AI365" s="87">
        <f>IF(AND(ISNUMBER($AG365),$AG365&gt;=1,$AG365&lt;=6,$M365&lt;&gt;"Rejected",$M365&lt;&gt;"Withdrawn"),(10-$AG365)*100000+IF(ISNUMBER($C365),$C365,0)+ROW()/10000,"")</f>
        <v/>
      </c>
    </row>
    <row r="366">
      <c r="A366" s="80" t="n"/>
      <c r="B366" s="81" t="n"/>
      <c r="C366" s="81" t="n"/>
      <c r="D366" s="82" t="n"/>
      <c r="E366" s="82" t="n"/>
      <c r="F366" s="82" t="n"/>
      <c r="G366" s="82" t="n"/>
      <c r="H366" s="82" t="n"/>
      <c r="I366" s="83" t="n"/>
      <c r="J366" s="82" t="n"/>
      <c r="K366" s="84" t="n"/>
      <c r="L366" s="85" t="n"/>
      <c r="M366" s="82" t="n"/>
      <c r="N366" s="86" t="n"/>
      <c r="O366" s="81" t="n"/>
      <c r="P366" s="82" t="n"/>
      <c r="Q366" s="83" t="n"/>
      <c r="R366" s="82" t="n"/>
      <c r="S366" s="84" t="n"/>
      <c r="T366" s="84" t="n"/>
      <c r="U366" s="82" t="n"/>
      <c r="V366" s="86" t="n"/>
      <c r="W366" s="86" t="n"/>
      <c r="X366" s="86" t="n"/>
      <c r="Y366" s="81" t="n"/>
      <c r="Z366" s="82" t="n"/>
      <c r="AA366" s="81" t="n"/>
      <c r="AB366" s="82" t="n"/>
      <c r="AC366" s="87">
        <f>IF(OR($D366="",$M366="Rejected",$M366="Withdrawn",$M366="Accepted"),"",IF(ISNUMBER($O366),IF(INT($O366)&lt;TODAY(),"FOLLOW UP REQUIRED",IF(INT($O366)=TODAY(),"ACTION DUE TODAY",IF(INT($O366)-TODAY()&lt;=Set_DueSoonDays,"DUE SOON",""))),IF(AND($M366="Applied",$AA366=""),IF(ISNUMBER($C366),IF(TODAY()-$C366&gt;=Set_FollowUpDays,"NO RESPONSE",""),""),"")))</f>
        <v/>
      </c>
      <c r="AD366" s="87">
        <f>IF(ISNUMBER($L366),IF($L366&gt;=90,"Excellent Match",IF($L366&gt;=75,"Strong Match",IF($L366&gt;=60,"Moderate Match","Low Match"))),"")</f>
        <v/>
      </c>
      <c r="AE366" s="87">
        <f>IF($D366="","",IF(OR($M366="Rejected",$M366="Withdrawn"),IF($AB366&lt;&gt;"",$AB366,IF(OR($M366="Rejected",ISNUMBER($C366)),"Applied","Wishlist")),IF($M366="",IF(ISNUMBER($C366),"Applied","Wishlist"),$M366)))</f>
        <v/>
      </c>
      <c r="AF366" s="88">
        <f>IF(AND(ISNUMBER($C366),ISNUMBER($AA366)),$AA366-$C366,"")</f>
        <v/>
      </c>
      <c r="AG366" s="87">
        <f>IF($AE366="","",IFERROR(MATCH($AE366,{"Wishlist","Applied","Screening","Interview 1","Interview 2","Final","Offer","Accepted"},0)-1,""))</f>
        <v/>
      </c>
      <c r="AH366" s="87">
        <f>IF($AC366="","",MATCH($AC366,{"FOLLOW UP REQUIRED","ACTION DUE TODAY","NO RESPONSE","DUE SOON"},0)*100000+IF(ISNUMBER($O366),$O366,IF(ISNUMBER($C366),$C366,0))+ROW()/10000)</f>
        <v/>
      </c>
      <c r="AI366" s="87">
        <f>IF(AND(ISNUMBER($AG366),$AG366&gt;=1,$AG366&lt;=6,$M366&lt;&gt;"Rejected",$M366&lt;&gt;"Withdrawn"),(10-$AG366)*100000+IF(ISNUMBER($C366),$C366,0)+ROW()/10000,"")</f>
        <v/>
      </c>
    </row>
    <row r="367">
      <c r="A367" s="80" t="n"/>
      <c r="B367" s="81" t="n"/>
      <c r="C367" s="81" t="n"/>
      <c r="D367" s="82" t="n"/>
      <c r="E367" s="82" t="n"/>
      <c r="F367" s="82" t="n"/>
      <c r="G367" s="82" t="n"/>
      <c r="H367" s="82" t="n"/>
      <c r="I367" s="83" t="n"/>
      <c r="J367" s="82" t="n"/>
      <c r="K367" s="84" t="n"/>
      <c r="L367" s="85" t="n"/>
      <c r="M367" s="82" t="n"/>
      <c r="N367" s="86" t="n"/>
      <c r="O367" s="81" t="n"/>
      <c r="P367" s="82" t="n"/>
      <c r="Q367" s="83" t="n"/>
      <c r="R367" s="82" t="n"/>
      <c r="S367" s="84" t="n"/>
      <c r="T367" s="84" t="n"/>
      <c r="U367" s="82" t="n"/>
      <c r="V367" s="86" t="n"/>
      <c r="W367" s="86" t="n"/>
      <c r="X367" s="86" t="n"/>
      <c r="Y367" s="81" t="n"/>
      <c r="Z367" s="82" t="n"/>
      <c r="AA367" s="81" t="n"/>
      <c r="AB367" s="82" t="n"/>
      <c r="AC367" s="87">
        <f>IF(OR($D367="",$M367="Rejected",$M367="Withdrawn",$M367="Accepted"),"",IF(ISNUMBER($O367),IF(INT($O367)&lt;TODAY(),"FOLLOW UP REQUIRED",IF(INT($O367)=TODAY(),"ACTION DUE TODAY",IF(INT($O367)-TODAY()&lt;=Set_DueSoonDays,"DUE SOON",""))),IF(AND($M367="Applied",$AA367=""),IF(ISNUMBER($C367),IF(TODAY()-$C367&gt;=Set_FollowUpDays,"NO RESPONSE",""),""),"")))</f>
        <v/>
      </c>
      <c r="AD367" s="87">
        <f>IF(ISNUMBER($L367),IF($L367&gt;=90,"Excellent Match",IF($L367&gt;=75,"Strong Match",IF($L367&gt;=60,"Moderate Match","Low Match"))),"")</f>
        <v/>
      </c>
      <c r="AE367" s="87">
        <f>IF($D367="","",IF(OR($M367="Rejected",$M367="Withdrawn"),IF($AB367&lt;&gt;"",$AB367,IF(OR($M367="Rejected",ISNUMBER($C367)),"Applied","Wishlist")),IF($M367="",IF(ISNUMBER($C367),"Applied","Wishlist"),$M367)))</f>
        <v/>
      </c>
      <c r="AF367" s="88">
        <f>IF(AND(ISNUMBER($C367),ISNUMBER($AA367)),$AA367-$C367,"")</f>
        <v/>
      </c>
      <c r="AG367" s="87">
        <f>IF($AE367="","",IFERROR(MATCH($AE367,{"Wishlist","Applied","Screening","Interview 1","Interview 2","Final","Offer","Accepted"},0)-1,""))</f>
        <v/>
      </c>
      <c r="AH367" s="87">
        <f>IF($AC367="","",MATCH($AC367,{"FOLLOW UP REQUIRED","ACTION DUE TODAY","NO RESPONSE","DUE SOON"},0)*100000+IF(ISNUMBER($O367),$O367,IF(ISNUMBER($C367),$C367,0))+ROW()/10000)</f>
        <v/>
      </c>
      <c r="AI367" s="87">
        <f>IF(AND(ISNUMBER($AG367),$AG367&gt;=1,$AG367&lt;=6,$M367&lt;&gt;"Rejected",$M367&lt;&gt;"Withdrawn"),(10-$AG367)*100000+IF(ISNUMBER($C367),$C367,0)+ROW()/10000,"")</f>
        <v/>
      </c>
    </row>
    <row r="368">
      <c r="A368" s="80" t="n"/>
      <c r="B368" s="81" t="n"/>
      <c r="C368" s="81" t="n"/>
      <c r="D368" s="82" t="n"/>
      <c r="E368" s="82" t="n"/>
      <c r="F368" s="82" t="n"/>
      <c r="G368" s="82" t="n"/>
      <c r="H368" s="82" t="n"/>
      <c r="I368" s="83" t="n"/>
      <c r="J368" s="82" t="n"/>
      <c r="K368" s="84" t="n"/>
      <c r="L368" s="85" t="n"/>
      <c r="M368" s="82" t="n"/>
      <c r="N368" s="86" t="n"/>
      <c r="O368" s="81" t="n"/>
      <c r="P368" s="82" t="n"/>
      <c r="Q368" s="83" t="n"/>
      <c r="R368" s="82" t="n"/>
      <c r="S368" s="84" t="n"/>
      <c r="T368" s="84" t="n"/>
      <c r="U368" s="82" t="n"/>
      <c r="V368" s="86" t="n"/>
      <c r="W368" s="86" t="n"/>
      <c r="X368" s="86" t="n"/>
      <c r="Y368" s="81" t="n"/>
      <c r="Z368" s="82" t="n"/>
      <c r="AA368" s="81" t="n"/>
      <c r="AB368" s="82" t="n"/>
      <c r="AC368" s="87">
        <f>IF(OR($D368="",$M368="Rejected",$M368="Withdrawn",$M368="Accepted"),"",IF(ISNUMBER($O368),IF(INT($O368)&lt;TODAY(),"FOLLOW UP REQUIRED",IF(INT($O368)=TODAY(),"ACTION DUE TODAY",IF(INT($O368)-TODAY()&lt;=Set_DueSoonDays,"DUE SOON",""))),IF(AND($M368="Applied",$AA368=""),IF(ISNUMBER($C368),IF(TODAY()-$C368&gt;=Set_FollowUpDays,"NO RESPONSE",""),""),"")))</f>
        <v/>
      </c>
      <c r="AD368" s="87">
        <f>IF(ISNUMBER($L368),IF($L368&gt;=90,"Excellent Match",IF($L368&gt;=75,"Strong Match",IF($L368&gt;=60,"Moderate Match","Low Match"))),"")</f>
        <v/>
      </c>
      <c r="AE368" s="87">
        <f>IF($D368="","",IF(OR($M368="Rejected",$M368="Withdrawn"),IF($AB368&lt;&gt;"",$AB368,IF(OR($M368="Rejected",ISNUMBER($C368)),"Applied","Wishlist")),IF($M368="",IF(ISNUMBER($C368),"Applied","Wishlist"),$M368)))</f>
        <v/>
      </c>
      <c r="AF368" s="88">
        <f>IF(AND(ISNUMBER($C368),ISNUMBER($AA368)),$AA368-$C368,"")</f>
        <v/>
      </c>
      <c r="AG368" s="87">
        <f>IF($AE368="","",IFERROR(MATCH($AE368,{"Wishlist","Applied","Screening","Interview 1","Interview 2","Final","Offer","Accepted"},0)-1,""))</f>
        <v/>
      </c>
      <c r="AH368" s="87">
        <f>IF($AC368="","",MATCH($AC368,{"FOLLOW UP REQUIRED","ACTION DUE TODAY","NO RESPONSE","DUE SOON"},0)*100000+IF(ISNUMBER($O368),$O368,IF(ISNUMBER($C368),$C368,0))+ROW()/10000)</f>
        <v/>
      </c>
      <c r="AI368" s="87">
        <f>IF(AND(ISNUMBER($AG368),$AG368&gt;=1,$AG368&lt;=6,$M368&lt;&gt;"Rejected",$M368&lt;&gt;"Withdrawn"),(10-$AG368)*100000+IF(ISNUMBER($C368),$C368,0)+ROW()/10000,"")</f>
        <v/>
      </c>
    </row>
    <row r="369">
      <c r="A369" s="80" t="n"/>
      <c r="B369" s="81" t="n"/>
      <c r="C369" s="81" t="n"/>
      <c r="D369" s="82" t="n"/>
      <c r="E369" s="82" t="n"/>
      <c r="F369" s="82" t="n"/>
      <c r="G369" s="82" t="n"/>
      <c r="H369" s="82" t="n"/>
      <c r="I369" s="83" t="n"/>
      <c r="J369" s="82" t="n"/>
      <c r="K369" s="84" t="n"/>
      <c r="L369" s="85" t="n"/>
      <c r="M369" s="82" t="n"/>
      <c r="N369" s="86" t="n"/>
      <c r="O369" s="81" t="n"/>
      <c r="P369" s="82" t="n"/>
      <c r="Q369" s="83" t="n"/>
      <c r="R369" s="82" t="n"/>
      <c r="S369" s="84" t="n"/>
      <c r="T369" s="84" t="n"/>
      <c r="U369" s="82" t="n"/>
      <c r="V369" s="86" t="n"/>
      <c r="W369" s="86" t="n"/>
      <c r="X369" s="86" t="n"/>
      <c r="Y369" s="81" t="n"/>
      <c r="Z369" s="82" t="n"/>
      <c r="AA369" s="81" t="n"/>
      <c r="AB369" s="82" t="n"/>
      <c r="AC369" s="87">
        <f>IF(OR($D369="",$M369="Rejected",$M369="Withdrawn",$M369="Accepted"),"",IF(ISNUMBER($O369),IF(INT($O369)&lt;TODAY(),"FOLLOW UP REQUIRED",IF(INT($O369)=TODAY(),"ACTION DUE TODAY",IF(INT($O369)-TODAY()&lt;=Set_DueSoonDays,"DUE SOON",""))),IF(AND($M369="Applied",$AA369=""),IF(ISNUMBER($C369),IF(TODAY()-$C369&gt;=Set_FollowUpDays,"NO RESPONSE",""),""),"")))</f>
        <v/>
      </c>
      <c r="AD369" s="87">
        <f>IF(ISNUMBER($L369),IF($L369&gt;=90,"Excellent Match",IF($L369&gt;=75,"Strong Match",IF($L369&gt;=60,"Moderate Match","Low Match"))),"")</f>
        <v/>
      </c>
      <c r="AE369" s="87">
        <f>IF($D369="","",IF(OR($M369="Rejected",$M369="Withdrawn"),IF($AB369&lt;&gt;"",$AB369,IF(OR($M369="Rejected",ISNUMBER($C369)),"Applied","Wishlist")),IF($M369="",IF(ISNUMBER($C369),"Applied","Wishlist"),$M369)))</f>
        <v/>
      </c>
      <c r="AF369" s="88">
        <f>IF(AND(ISNUMBER($C369),ISNUMBER($AA369)),$AA369-$C369,"")</f>
        <v/>
      </c>
      <c r="AG369" s="87">
        <f>IF($AE369="","",IFERROR(MATCH($AE369,{"Wishlist","Applied","Screening","Interview 1","Interview 2","Final","Offer","Accepted"},0)-1,""))</f>
        <v/>
      </c>
      <c r="AH369" s="87">
        <f>IF($AC369="","",MATCH($AC369,{"FOLLOW UP REQUIRED","ACTION DUE TODAY","NO RESPONSE","DUE SOON"},0)*100000+IF(ISNUMBER($O369),$O369,IF(ISNUMBER($C369),$C369,0))+ROW()/10000)</f>
        <v/>
      </c>
      <c r="AI369" s="87">
        <f>IF(AND(ISNUMBER($AG369),$AG369&gt;=1,$AG369&lt;=6,$M369&lt;&gt;"Rejected",$M369&lt;&gt;"Withdrawn"),(10-$AG369)*100000+IF(ISNUMBER($C369),$C369,0)+ROW()/10000,"")</f>
        <v/>
      </c>
    </row>
    <row r="370">
      <c r="A370" s="80" t="n"/>
      <c r="B370" s="81" t="n"/>
      <c r="C370" s="81" t="n"/>
      <c r="D370" s="82" t="n"/>
      <c r="E370" s="82" t="n"/>
      <c r="F370" s="82" t="n"/>
      <c r="G370" s="82" t="n"/>
      <c r="H370" s="82" t="n"/>
      <c r="I370" s="83" t="n"/>
      <c r="J370" s="82" t="n"/>
      <c r="K370" s="84" t="n"/>
      <c r="L370" s="85" t="n"/>
      <c r="M370" s="82" t="n"/>
      <c r="N370" s="86" t="n"/>
      <c r="O370" s="81" t="n"/>
      <c r="P370" s="82" t="n"/>
      <c r="Q370" s="83" t="n"/>
      <c r="R370" s="82" t="n"/>
      <c r="S370" s="84" t="n"/>
      <c r="T370" s="84" t="n"/>
      <c r="U370" s="82" t="n"/>
      <c r="V370" s="86" t="n"/>
      <c r="W370" s="86" t="n"/>
      <c r="X370" s="86" t="n"/>
      <c r="Y370" s="81" t="n"/>
      <c r="Z370" s="82" t="n"/>
      <c r="AA370" s="81" t="n"/>
      <c r="AB370" s="82" t="n"/>
      <c r="AC370" s="87">
        <f>IF(OR($D370="",$M370="Rejected",$M370="Withdrawn",$M370="Accepted"),"",IF(ISNUMBER($O370),IF(INT($O370)&lt;TODAY(),"FOLLOW UP REQUIRED",IF(INT($O370)=TODAY(),"ACTION DUE TODAY",IF(INT($O370)-TODAY()&lt;=Set_DueSoonDays,"DUE SOON",""))),IF(AND($M370="Applied",$AA370=""),IF(ISNUMBER($C370),IF(TODAY()-$C370&gt;=Set_FollowUpDays,"NO RESPONSE",""),""),"")))</f>
        <v/>
      </c>
      <c r="AD370" s="87">
        <f>IF(ISNUMBER($L370),IF($L370&gt;=90,"Excellent Match",IF($L370&gt;=75,"Strong Match",IF($L370&gt;=60,"Moderate Match","Low Match"))),"")</f>
        <v/>
      </c>
      <c r="AE370" s="87">
        <f>IF($D370="","",IF(OR($M370="Rejected",$M370="Withdrawn"),IF($AB370&lt;&gt;"",$AB370,IF(OR($M370="Rejected",ISNUMBER($C370)),"Applied","Wishlist")),IF($M370="",IF(ISNUMBER($C370),"Applied","Wishlist"),$M370)))</f>
        <v/>
      </c>
      <c r="AF370" s="88">
        <f>IF(AND(ISNUMBER($C370),ISNUMBER($AA370)),$AA370-$C370,"")</f>
        <v/>
      </c>
      <c r="AG370" s="87">
        <f>IF($AE370="","",IFERROR(MATCH($AE370,{"Wishlist","Applied","Screening","Interview 1","Interview 2","Final","Offer","Accepted"},0)-1,""))</f>
        <v/>
      </c>
      <c r="AH370" s="87">
        <f>IF($AC370="","",MATCH($AC370,{"FOLLOW UP REQUIRED","ACTION DUE TODAY","NO RESPONSE","DUE SOON"},0)*100000+IF(ISNUMBER($O370),$O370,IF(ISNUMBER($C370),$C370,0))+ROW()/10000)</f>
        <v/>
      </c>
      <c r="AI370" s="87">
        <f>IF(AND(ISNUMBER($AG370),$AG370&gt;=1,$AG370&lt;=6,$M370&lt;&gt;"Rejected",$M370&lt;&gt;"Withdrawn"),(10-$AG370)*100000+IF(ISNUMBER($C370),$C370,0)+ROW()/10000,"")</f>
        <v/>
      </c>
    </row>
    <row r="371">
      <c r="A371" s="80" t="n"/>
      <c r="B371" s="81" t="n"/>
      <c r="C371" s="81" t="n"/>
      <c r="D371" s="82" t="n"/>
      <c r="E371" s="82" t="n"/>
      <c r="F371" s="82" t="n"/>
      <c r="G371" s="82" t="n"/>
      <c r="H371" s="82" t="n"/>
      <c r="I371" s="83" t="n"/>
      <c r="J371" s="82" t="n"/>
      <c r="K371" s="84" t="n"/>
      <c r="L371" s="85" t="n"/>
      <c r="M371" s="82" t="n"/>
      <c r="N371" s="86" t="n"/>
      <c r="O371" s="81" t="n"/>
      <c r="P371" s="82" t="n"/>
      <c r="Q371" s="83" t="n"/>
      <c r="R371" s="82" t="n"/>
      <c r="S371" s="84" t="n"/>
      <c r="T371" s="84" t="n"/>
      <c r="U371" s="82" t="n"/>
      <c r="V371" s="86" t="n"/>
      <c r="W371" s="86" t="n"/>
      <c r="X371" s="86" t="n"/>
      <c r="Y371" s="81" t="n"/>
      <c r="Z371" s="82" t="n"/>
      <c r="AA371" s="81" t="n"/>
      <c r="AB371" s="82" t="n"/>
      <c r="AC371" s="87">
        <f>IF(OR($D371="",$M371="Rejected",$M371="Withdrawn",$M371="Accepted"),"",IF(ISNUMBER($O371),IF(INT($O371)&lt;TODAY(),"FOLLOW UP REQUIRED",IF(INT($O371)=TODAY(),"ACTION DUE TODAY",IF(INT($O371)-TODAY()&lt;=Set_DueSoonDays,"DUE SOON",""))),IF(AND($M371="Applied",$AA371=""),IF(ISNUMBER($C371),IF(TODAY()-$C371&gt;=Set_FollowUpDays,"NO RESPONSE",""),""),"")))</f>
        <v/>
      </c>
      <c r="AD371" s="87">
        <f>IF(ISNUMBER($L371),IF($L371&gt;=90,"Excellent Match",IF($L371&gt;=75,"Strong Match",IF($L371&gt;=60,"Moderate Match","Low Match"))),"")</f>
        <v/>
      </c>
      <c r="AE371" s="87">
        <f>IF($D371="","",IF(OR($M371="Rejected",$M371="Withdrawn"),IF($AB371&lt;&gt;"",$AB371,IF(OR($M371="Rejected",ISNUMBER($C371)),"Applied","Wishlist")),IF($M371="",IF(ISNUMBER($C371),"Applied","Wishlist"),$M371)))</f>
        <v/>
      </c>
      <c r="AF371" s="88">
        <f>IF(AND(ISNUMBER($C371),ISNUMBER($AA371)),$AA371-$C371,"")</f>
        <v/>
      </c>
      <c r="AG371" s="87">
        <f>IF($AE371="","",IFERROR(MATCH($AE371,{"Wishlist","Applied","Screening","Interview 1","Interview 2","Final","Offer","Accepted"},0)-1,""))</f>
        <v/>
      </c>
      <c r="AH371" s="87">
        <f>IF($AC371="","",MATCH($AC371,{"FOLLOW UP REQUIRED","ACTION DUE TODAY","NO RESPONSE","DUE SOON"},0)*100000+IF(ISNUMBER($O371),$O371,IF(ISNUMBER($C371),$C371,0))+ROW()/10000)</f>
        <v/>
      </c>
      <c r="AI371" s="87">
        <f>IF(AND(ISNUMBER($AG371),$AG371&gt;=1,$AG371&lt;=6,$M371&lt;&gt;"Rejected",$M371&lt;&gt;"Withdrawn"),(10-$AG371)*100000+IF(ISNUMBER($C371),$C371,0)+ROW()/10000,"")</f>
        <v/>
      </c>
    </row>
    <row r="372">
      <c r="A372" s="80" t="n"/>
      <c r="B372" s="81" t="n"/>
      <c r="C372" s="81" t="n"/>
      <c r="D372" s="82" t="n"/>
      <c r="E372" s="82" t="n"/>
      <c r="F372" s="82" t="n"/>
      <c r="G372" s="82" t="n"/>
      <c r="H372" s="82" t="n"/>
      <c r="I372" s="83" t="n"/>
      <c r="J372" s="82" t="n"/>
      <c r="K372" s="84" t="n"/>
      <c r="L372" s="85" t="n"/>
      <c r="M372" s="82" t="n"/>
      <c r="N372" s="86" t="n"/>
      <c r="O372" s="81" t="n"/>
      <c r="P372" s="82" t="n"/>
      <c r="Q372" s="83" t="n"/>
      <c r="R372" s="82" t="n"/>
      <c r="S372" s="84" t="n"/>
      <c r="T372" s="84" t="n"/>
      <c r="U372" s="82" t="n"/>
      <c r="V372" s="86" t="n"/>
      <c r="W372" s="86" t="n"/>
      <c r="X372" s="86" t="n"/>
      <c r="Y372" s="81" t="n"/>
      <c r="Z372" s="82" t="n"/>
      <c r="AA372" s="81" t="n"/>
      <c r="AB372" s="82" t="n"/>
      <c r="AC372" s="87">
        <f>IF(OR($D372="",$M372="Rejected",$M372="Withdrawn",$M372="Accepted"),"",IF(ISNUMBER($O372),IF(INT($O372)&lt;TODAY(),"FOLLOW UP REQUIRED",IF(INT($O372)=TODAY(),"ACTION DUE TODAY",IF(INT($O372)-TODAY()&lt;=Set_DueSoonDays,"DUE SOON",""))),IF(AND($M372="Applied",$AA372=""),IF(ISNUMBER($C372),IF(TODAY()-$C372&gt;=Set_FollowUpDays,"NO RESPONSE",""),""),"")))</f>
        <v/>
      </c>
      <c r="AD372" s="87">
        <f>IF(ISNUMBER($L372),IF($L372&gt;=90,"Excellent Match",IF($L372&gt;=75,"Strong Match",IF($L372&gt;=60,"Moderate Match","Low Match"))),"")</f>
        <v/>
      </c>
      <c r="AE372" s="87">
        <f>IF($D372="","",IF(OR($M372="Rejected",$M372="Withdrawn"),IF($AB372&lt;&gt;"",$AB372,IF(OR($M372="Rejected",ISNUMBER($C372)),"Applied","Wishlist")),IF($M372="",IF(ISNUMBER($C372),"Applied","Wishlist"),$M372)))</f>
        <v/>
      </c>
      <c r="AF372" s="88">
        <f>IF(AND(ISNUMBER($C372),ISNUMBER($AA372)),$AA372-$C372,"")</f>
        <v/>
      </c>
      <c r="AG372" s="87">
        <f>IF($AE372="","",IFERROR(MATCH($AE372,{"Wishlist","Applied","Screening","Interview 1","Interview 2","Final","Offer","Accepted"},0)-1,""))</f>
        <v/>
      </c>
      <c r="AH372" s="87">
        <f>IF($AC372="","",MATCH($AC372,{"FOLLOW UP REQUIRED","ACTION DUE TODAY","NO RESPONSE","DUE SOON"},0)*100000+IF(ISNUMBER($O372),$O372,IF(ISNUMBER($C372),$C372,0))+ROW()/10000)</f>
        <v/>
      </c>
      <c r="AI372" s="87">
        <f>IF(AND(ISNUMBER($AG372),$AG372&gt;=1,$AG372&lt;=6,$M372&lt;&gt;"Rejected",$M372&lt;&gt;"Withdrawn"),(10-$AG372)*100000+IF(ISNUMBER($C372),$C372,0)+ROW()/10000,"")</f>
        <v/>
      </c>
    </row>
    <row r="373">
      <c r="A373" s="80" t="n"/>
      <c r="B373" s="81" t="n"/>
      <c r="C373" s="81" t="n"/>
      <c r="D373" s="82" t="n"/>
      <c r="E373" s="82" t="n"/>
      <c r="F373" s="82" t="n"/>
      <c r="G373" s="82" t="n"/>
      <c r="H373" s="82" t="n"/>
      <c r="I373" s="83" t="n"/>
      <c r="J373" s="82" t="n"/>
      <c r="K373" s="84" t="n"/>
      <c r="L373" s="85" t="n"/>
      <c r="M373" s="82" t="n"/>
      <c r="N373" s="86" t="n"/>
      <c r="O373" s="81" t="n"/>
      <c r="P373" s="82" t="n"/>
      <c r="Q373" s="83" t="n"/>
      <c r="R373" s="82" t="n"/>
      <c r="S373" s="84" t="n"/>
      <c r="T373" s="84" t="n"/>
      <c r="U373" s="82" t="n"/>
      <c r="V373" s="86" t="n"/>
      <c r="W373" s="86" t="n"/>
      <c r="X373" s="86" t="n"/>
      <c r="Y373" s="81" t="n"/>
      <c r="Z373" s="82" t="n"/>
      <c r="AA373" s="81" t="n"/>
      <c r="AB373" s="82" t="n"/>
      <c r="AC373" s="87">
        <f>IF(OR($D373="",$M373="Rejected",$M373="Withdrawn",$M373="Accepted"),"",IF(ISNUMBER($O373),IF(INT($O373)&lt;TODAY(),"FOLLOW UP REQUIRED",IF(INT($O373)=TODAY(),"ACTION DUE TODAY",IF(INT($O373)-TODAY()&lt;=Set_DueSoonDays,"DUE SOON",""))),IF(AND($M373="Applied",$AA373=""),IF(ISNUMBER($C373),IF(TODAY()-$C373&gt;=Set_FollowUpDays,"NO RESPONSE",""),""),"")))</f>
        <v/>
      </c>
      <c r="AD373" s="87">
        <f>IF(ISNUMBER($L373),IF($L373&gt;=90,"Excellent Match",IF($L373&gt;=75,"Strong Match",IF($L373&gt;=60,"Moderate Match","Low Match"))),"")</f>
        <v/>
      </c>
      <c r="AE373" s="87">
        <f>IF($D373="","",IF(OR($M373="Rejected",$M373="Withdrawn"),IF($AB373&lt;&gt;"",$AB373,IF(OR($M373="Rejected",ISNUMBER($C373)),"Applied","Wishlist")),IF($M373="",IF(ISNUMBER($C373),"Applied","Wishlist"),$M373)))</f>
        <v/>
      </c>
      <c r="AF373" s="88">
        <f>IF(AND(ISNUMBER($C373),ISNUMBER($AA373)),$AA373-$C373,"")</f>
        <v/>
      </c>
      <c r="AG373" s="87">
        <f>IF($AE373="","",IFERROR(MATCH($AE373,{"Wishlist","Applied","Screening","Interview 1","Interview 2","Final","Offer","Accepted"},0)-1,""))</f>
        <v/>
      </c>
      <c r="AH373" s="87">
        <f>IF($AC373="","",MATCH($AC373,{"FOLLOW UP REQUIRED","ACTION DUE TODAY","NO RESPONSE","DUE SOON"},0)*100000+IF(ISNUMBER($O373),$O373,IF(ISNUMBER($C373),$C373,0))+ROW()/10000)</f>
        <v/>
      </c>
      <c r="AI373" s="87">
        <f>IF(AND(ISNUMBER($AG373),$AG373&gt;=1,$AG373&lt;=6,$M373&lt;&gt;"Rejected",$M373&lt;&gt;"Withdrawn"),(10-$AG373)*100000+IF(ISNUMBER($C373),$C373,0)+ROW()/10000,"")</f>
        <v/>
      </c>
    </row>
    <row r="374">
      <c r="A374" s="80" t="n"/>
      <c r="B374" s="81" t="n"/>
      <c r="C374" s="81" t="n"/>
      <c r="D374" s="82" t="n"/>
      <c r="E374" s="82" t="n"/>
      <c r="F374" s="82" t="n"/>
      <c r="G374" s="82" t="n"/>
      <c r="H374" s="82" t="n"/>
      <c r="I374" s="83" t="n"/>
      <c r="J374" s="82" t="n"/>
      <c r="K374" s="84" t="n"/>
      <c r="L374" s="85" t="n"/>
      <c r="M374" s="82" t="n"/>
      <c r="N374" s="86" t="n"/>
      <c r="O374" s="81" t="n"/>
      <c r="P374" s="82" t="n"/>
      <c r="Q374" s="83" t="n"/>
      <c r="R374" s="82" t="n"/>
      <c r="S374" s="84" t="n"/>
      <c r="T374" s="84" t="n"/>
      <c r="U374" s="82" t="n"/>
      <c r="V374" s="86" t="n"/>
      <c r="W374" s="86" t="n"/>
      <c r="X374" s="86" t="n"/>
      <c r="Y374" s="81" t="n"/>
      <c r="Z374" s="82" t="n"/>
      <c r="AA374" s="81" t="n"/>
      <c r="AB374" s="82" t="n"/>
      <c r="AC374" s="87">
        <f>IF(OR($D374="",$M374="Rejected",$M374="Withdrawn",$M374="Accepted"),"",IF(ISNUMBER($O374),IF(INT($O374)&lt;TODAY(),"FOLLOW UP REQUIRED",IF(INT($O374)=TODAY(),"ACTION DUE TODAY",IF(INT($O374)-TODAY()&lt;=Set_DueSoonDays,"DUE SOON",""))),IF(AND($M374="Applied",$AA374=""),IF(ISNUMBER($C374),IF(TODAY()-$C374&gt;=Set_FollowUpDays,"NO RESPONSE",""),""),"")))</f>
        <v/>
      </c>
      <c r="AD374" s="87">
        <f>IF(ISNUMBER($L374),IF($L374&gt;=90,"Excellent Match",IF($L374&gt;=75,"Strong Match",IF($L374&gt;=60,"Moderate Match","Low Match"))),"")</f>
        <v/>
      </c>
      <c r="AE374" s="87">
        <f>IF($D374="","",IF(OR($M374="Rejected",$M374="Withdrawn"),IF($AB374&lt;&gt;"",$AB374,IF(OR($M374="Rejected",ISNUMBER($C374)),"Applied","Wishlist")),IF($M374="",IF(ISNUMBER($C374),"Applied","Wishlist"),$M374)))</f>
        <v/>
      </c>
      <c r="AF374" s="88">
        <f>IF(AND(ISNUMBER($C374),ISNUMBER($AA374)),$AA374-$C374,"")</f>
        <v/>
      </c>
      <c r="AG374" s="87">
        <f>IF($AE374="","",IFERROR(MATCH($AE374,{"Wishlist","Applied","Screening","Interview 1","Interview 2","Final","Offer","Accepted"},0)-1,""))</f>
        <v/>
      </c>
      <c r="AH374" s="87">
        <f>IF($AC374="","",MATCH($AC374,{"FOLLOW UP REQUIRED","ACTION DUE TODAY","NO RESPONSE","DUE SOON"},0)*100000+IF(ISNUMBER($O374),$O374,IF(ISNUMBER($C374),$C374,0))+ROW()/10000)</f>
        <v/>
      </c>
      <c r="AI374" s="87">
        <f>IF(AND(ISNUMBER($AG374),$AG374&gt;=1,$AG374&lt;=6,$M374&lt;&gt;"Rejected",$M374&lt;&gt;"Withdrawn"),(10-$AG374)*100000+IF(ISNUMBER($C374),$C374,0)+ROW()/10000,"")</f>
        <v/>
      </c>
    </row>
    <row r="375">
      <c r="A375" s="80" t="n"/>
      <c r="B375" s="81" t="n"/>
      <c r="C375" s="81" t="n"/>
      <c r="D375" s="82" t="n"/>
      <c r="E375" s="82" t="n"/>
      <c r="F375" s="82" t="n"/>
      <c r="G375" s="82" t="n"/>
      <c r="H375" s="82" t="n"/>
      <c r="I375" s="83" t="n"/>
      <c r="J375" s="82" t="n"/>
      <c r="K375" s="84" t="n"/>
      <c r="L375" s="85" t="n"/>
      <c r="M375" s="82" t="n"/>
      <c r="N375" s="86" t="n"/>
      <c r="O375" s="81" t="n"/>
      <c r="P375" s="82" t="n"/>
      <c r="Q375" s="83" t="n"/>
      <c r="R375" s="82" t="n"/>
      <c r="S375" s="84" t="n"/>
      <c r="T375" s="84" t="n"/>
      <c r="U375" s="82" t="n"/>
      <c r="V375" s="86" t="n"/>
      <c r="W375" s="86" t="n"/>
      <c r="X375" s="86" t="n"/>
      <c r="Y375" s="81" t="n"/>
      <c r="Z375" s="82" t="n"/>
      <c r="AA375" s="81" t="n"/>
      <c r="AB375" s="82" t="n"/>
      <c r="AC375" s="87">
        <f>IF(OR($D375="",$M375="Rejected",$M375="Withdrawn",$M375="Accepted"),"",IF(ISNUMBER($O375),IF(INT($O375)&lt;TODAY(),"FOLLOW UP REQUIRED",IF(INT($O375)=TODAY(),"ACTION DUE TODAY",IF(INT($O375)-TODAY()&lt;=Set_DueSoonDays,"DUE SOON",""))),IF(AND($M375="Applied",$AA375=""),IF(ISNUMBER($C375),IF(TODAY()-$C375&gt;=Set_FollowUpDays,"NO RESPONSE",""),""),"")))</f>
        <v/>
      </c>
      <c r="AD375" s="87">
        <f>IF(ISNUMBER($L375),IF($L375&gt;=90,"Excellent Match",IF($L375&gt;=75,"Strong Match",IF($L375&gt;=60,"Moderate Match","Low Match"))),"")</f>
        <v/>
      </c>
      <c r="AE375" s="87">
        <f>IF($D375="","",IF(OR($M375="Rejected",$M375="Withdrawn"),IF($AB375&lt;&gt;"",$AB375,IF(OR($M375="Rejected",ISNUMBER($C375)),"Applied","Wishlist")),IF($M375="",IF(ISNUMBER($C375),"Applied","Wishlist"),$M375)))</f>
        <v/>
      </c>
      <c r="AF375" s="88">
        <f>IF(AND(ISNUMBER($C375),ISNUMBER($AA375)),$AA375-$C375,"")</f>
        <v/>
      </c>
      <c r="AG375" s="87">
        <f>IF($AE375="","",IFERROR(MATCH($AE375,{"Wishlist","Applied","Screening","Interview 1","Interview 2","Final","Offer","Accepted"},0)-1,""))</f>
        <v/>
      </c>
      <c r="AH375" s="87">
        <f>IF($AC375="","",MATCH($AC375,{"FOLLOW UP REQUIRED","ACTION DUE TODAY","NO RESPONSE","DUE SOON"},0)*100000+IF(ISNUMBER($O375),$O375,IF(ISNUMBER($C375),$C375,0))+ROW()/10000)</f>
        <v/>
      </c>
      <c r="AI375" s="87">
        <f>IF(AND(ISNUMBER($AG375),$AG375&gt;=1,$AG375&lt;=6,$M375&lt;&gt;"Rejected",$M375&lt;&gt;"Withdrawn"),(10-$AG375)*100000+IF(ISNUMBER($C375),$C375,0)+ROW()/10000,"")</f>
        <v/>
      </c>
    </row>
    <row r="376">
      <c r="A376" s="80" t="n"/>
      <c r="B376" s="81" t="n"/>
      <c r="C376" s="81" t="n"/>
      <c r="D376" s="82" t="n"/>
      <c r="E376" s="82" t="n"/>
      <c r="F376" s="82" t="n"/>
      <c r="G376" s="82" t="n"/>
      <c r="H376" s="82" t="n"/>
      <c r="I376" s="83" t="n"/>
      <c r="J376" s="82" t="n"/>
      <c r="K376" s="84" t="n"/>
      <c r="L376" s="85" t="n"/>
      <c r="M376" s="82" t="n"/>
      <c r="N376" s="86" t="n"/>
      <c r="O376" s="81" t="n"/>
      <c r="P376" s="82" t="n"/>
      <c r="Q376" s="83" t="n"/>
      <c r="R376" s="82" t="n"/>
      <c r="S376" s="84" t="n"/>
      <c r="T376" s="84" t="n"/>
      <c r="U376" s="82" t="n"/>
      <c r="V376" s="86" t="n"/>
      <c r="W376" s="86" t="n"/>
      <c r="X376" s="86" t="n"/>
      <c r="Y376" s="81" t="n"/>
      <c r="Z376" s="82" t="n"/>
      <c r="AA376" s="81" t="n"/>
      <c r="AB376" s="82" t="n"/>
      <c r="AC376" s="87">
        <f>IF(OR($D376="",$M376="Rejected",$M376="Withdrawn",$M376="Accepted"),"",IF(ISNUMBER($O376),IF(INT($O376)&lt;TODAY(),"FOLLOW UP REQUIRED",IF(INT($O376)=TODAY(),"ACTION DUE TODAY",IF(INT($O376)-TODAY()&lt;=Set_DueSoonDays,"DUE SOON",""))),IF(AND($M376="Applied",$AA376=""),IF(ISNUMBER($C376),IF(TODAY()-$C376&gt;=Set_FollowUpDays,"NO RESPONSE",""),""),"")))</f>
        <v/>
      </c>
      <c r="AD376" s="87">
        <f>IF(ISNUMBER($L376),IF($L376&gt;=90,"Excellent Match",IF($L376&gt;=75,"Strong Match",IF($L376&gt;=60,"Moderate Match","Low Match"))),"")</f>
        <v/>
      </c>
      <c r="AE376" s="87">
        <f>IF($D376="","",IF(OR($M376="Rejected",$M376="Withdrawn"),IF($AB376&lt;&gt;"",$AB376,IF(OR($M376="Rejected",ISNUMBER($C376)),"Applied","Wishlist")),IF($M376="",IF(ISNUMBER($C376),"Applied","Wishlist"),$M376)))</f>
        <v/>
      </c>
      <c r="AF376" s="88">
        <f>IF(AND(ISNUMBER($C376),ISNUMBER($AA376)),$AA376-$C376,"")</f>
        <v/>
      </c>
      <c r="AG376" s="87">
        <f>IF($AE376="","",IFERROR(MATCH($AE376,{"Wishlist","Applied","Screening","Interview 1","Interview 2","Final","Offer","Accepted"},0)-1,""))</f>
        <v/>
      </c>
      <c r="AH376" s="87">
        <f>IF($AC376="","",MATCH($AC376,{"FOLLOW UP REQUIRED","ACTION DUE TODAY","NO RESPONSE","DUE SOON"},0)*100000+IF(ISNUMBER($O376),$O376,IF(ISNUMBER($C376),$C376,0))+ROW()/10000)</f>
        <v/>
      </c>
      <c r="AI376" s="87">
        <f>IF(AND(ISNUMBER($AG376),$AG376&gt;=1,$AG376&lt;=6,$M376&lt;&gt;"Rejected",$M376&lt;&gt;"Withdrawn"),(10-$AG376)*100000+IF(ISNUMBER($C376),$C376,0)+ROW()/10000,"")</f>
        <v/>
      </c>
    </row>
    <row r="377">
      <c r="A377" s="80" t="n"/>
      <c r="B377" s="81" t="n"/>
      <c r="C377" s="81" t="n"/>
      <c r="D377" s="82" t="n"/>
      <c r="E377" s="82" t="n"/>
      <c r="F377" s="82" t="n"/>
      <c r="G377" s="82" t="n"/>
      <c r="H377" s="82" t="n"/>
      <c r="I377" s="83" t="n"/>
      <c r="J377" s="82" t="n"/>
      <c r="K377" s="84" t="n"/>
      <c r="L377" s="85" t="n"/>
      <c r="M377" s="82" t="n"/>
      <c r="N377" s="86" t="n"/>
      <c r="O377" s="81" t="n"/>
      <c r="P377" s="82" t="n"/>
      <c r="Q377" s="83" t="n"/>
      <c r="R377" s="82" t="n"/>
      <c r="S377" s="84" t="n"/>
      <c r="T377" s="84" t="n"/>
      <c r="U377" s="82" t="n"/>
      <c r="V377" s="86" t="n"/>
      <c r="W377" s="86" t="n"/>
      <c r="X377" s="86" t="n"/>
      <c r="Y377" s="81" t="n"/>
      <c r="Z377" s="82" t="n"/>
      <c r="AA377" s="81" t="n"/>
      <c r="AB377" s="82" t="n"/>
      <c r="AC377" s="87">
        <f>IF(OR($D377="",$M377="Rejected",$M377="Withdrawn",$M377="Accepted"),"",IF(ISNUMBER($O377),IF(INT($O377)&lt;TODAY(),"FOLLOW UP REQUIRED",IF(INT($O377)=TODAY(),"ACTION DUE TODAY",IF(INT($O377)-TODAY()&lt;=Set_DueSoonDays,"DUE SOON",""))),IF(AND($M377="Applied",$AA377=""),IF(ISNUMBER($C377),IF(TODAY()-$C377&gt;=Set_FollowUpDays,"NO RESPONSE",""),""),"")))</f>
        <v/>
      </c>
      <c r="AD377" s="87">
        <f>IF(ISNUMBER($L377),IF($L377&gt;=90,"Excellent Match",IF($L377&gt;=75,"Strong Match",IF($L377&gt;=60,"Moderate Match","Low Match"))),"")</f>
        <v/>
      </c>
      <c r="AE377" s="87">
        <f>IF($D377="","",IF(OR($M377="Rejected",$M377="Withdrawn"),IF($AB377&lt;&gt;"",$AB377,IF(OR($M377="Rejected",ISNUMBER($C377)),"Applied","Wishlist")),IF($M377="",IF(ISNUMBER($C377),"Applied","Wishlist"),$M377)))</f>
        <v/>
      </c>
      <c r="AF377" s="88">
        <f>IF(AND(ISNUMBER($C377),ISNUMBER($AA377)),$AA377-$C377,"")</f>
        <v/>
      </c>
      <c r="AG377" s="87">
        <f>IF($AE377="","",IFERROR(MATCH($AE377,{"Wishlist","Applied","Screening","Interview 1","Interview 2","Final","Offer","Accepted"},0)-1,""))</f>
        <v/>
      </c>
      <c r="AH377" s="87">
        <f>IF($AC377="","",MATCH($AC377,{"FOLLOW UP REQUIRED","ACTION DUE TODAY","NO RESPONSE","DUE SOON"},0)*100000+IF(ISNUMBER($O377),$O377,IF(ISNUMBER($C377),$C377,0))+ROW()/10000)</f>
        <v/>
      </c>
      <c r="AI377" s="87">
        <f>IF(AND(ISNUMBER($AG377),$AG377&gt;=1,$AG377&lt;=6,$M377&lt;&gt;"Rejected",$M377&lt;&gt;"Withdrawn"),(10-$AG377)*100000+IF(ISNUMBER($C377),$C377,0)+ROW()/10000,"")</f>
        <v/>
      </c>
    </row>
    <row r="378">
      <c r="A378" s="80" t="n"/>
      <c r="B378" s="81" t="n"/>
      <c r="C378" s="81" t="n"/>
      <c r="D378" s="82" t="n"/>
      <c r="E378" s="82" t="n"/>
      <c r="F378" s="82" t="n"/>
      <c r="G378" s="82" t="n"/>
      <c r="H378" s="82" t="n"/>
      <c r="I378" s="83" t="n"/>
      <c r="J378" s="82" t="n"/>
      <c r="K378" s="84" t="n"/>
      <c r="L378" s="85" t="n"/>
      <c r="M378" s="82" t="n"/>
      <c r="N378" s="86" t="n"/>
      <c r="O378" s="81" t="n"/>
      <c r="P378" s="82" t="n"/>
      <c r="Q378" s="83" t="n"/>
      <c r="R378" s="82" t="n"/>
      <c r="S378" s="84" t="n"/>
      <c r="T378" s="84" t="n"/>
      <c r="U378" s="82" t="n"/>
      <c r="V378" s="86" t="n"/>
      <c r="W378" s="86" t="n"/>
      <c r="X378" s="86" t="n"/>
      <c r="Y378" s="81" t="n"/>
      <c r="Z378" s="82" t="n"/>
      <c r="AA378" s="81" t="n"/>
      <c r="AB378" s="82" t="n"/>
      <c r="AC378" s="87">
        <f>IF(OR($D378="",$M378="Rejected",$M378="Withdrawn",$M378="Accepted"),"",IF(ISNUMBER($O378),IF(INT($O378)&lt;TODAY(),"FOLLOW UP REQUIRED",IF(INT($O378)=TODAY(),"ACTION DUE TODAY",IF(INT($O378)-TODAY()&lt;=Set_DueSoonDays,"DUE SOON",""))),IF(AND($M378="Applied",$AA378=""),IF(ISNUMBER($C378),IF(TODAY()-$C378&gt;=Set_FollowUpDays,"NO RESPONSE",""),""),"")))</f>
        <v/>
      </c>
      <c r="AD378" s="87">
        <f>IF(ISNUMBER($L378),IF($L378&gt;=90,"Excellent Match",IF($L378&gt;=75,"Strong Match",IF($L378&gt;=60,"Moderate Match","Low Match"))),"")</f>
        <v/>
      </c>
      <c r="AE378" s="87">
        <f>IF($D378="","",IF(OR($M378="Rejected",$M378="Withdrawn"),IF($AB378&lt;&gt;"",$AB378,IF(OR($M378="Rejected",ISNUMBER($C378)),"Applied","Wishlist")),IF($M378="",IF(ISNUMBER($C378),"Applied","Wishlist"),$M378)))</f>
        <v/>
      </c>
      <c r="AF378" s="88">
        <f>IF(AND(ISNUMBER($C378),ISNUMBER($AA378)),$AA378-$C378,"")</f>
        <v/>
      </c>
      <c r="AG378" s="87">
        <f>IF($AE378="","",IFERROR(MATCH($AE378,{"Wishlist","Applied","Screening","Interview 1","Interview 2","Final","Offer","Accepted"},0)-1,""))</f>
        <v/>
      </c>
      <c r="AH378" s="87">
        <f>IF($AC378="","",MATCH($AC378,{"FOLLOW UP REQUIRED","ACTION DUE TODAY","NO RESPONSE","DUE SOON"},0)*100000+IF(ISNUMBER($O378),$O378,IF(ISNUMBER($C378),$C378,0))+ROW()/10000)</f>
        <v/>
      </c>
      <c r="AI378" s="87">
        <f>IF(AND(ISNUMBER($AG378),$AG378&gt;=1,$AG378&lt;=6,$M378&lt;&gt;"Rejected",$M378&lt;&gt;"Withdrawn"),(10-$AG378)*100000+IF(ISNUMBER($C378),$C378,0)+ROW()/10000,"")</f>
        <v/>
      </c>
    </row>
    <row r="379">
      <c r="A379" s="80" t="n"/>
      <c r="B379" s="81" t="n"/>
      <c r="C379" s="81" t="n"/>
      <c r="D379" s="82" t="n"/>
      <c r="E379" s="82" t="n"/>
      <c r="F379" s="82" t="n"/>
      <c r="G379" s="82" t="n"/>
      <c r="H379" s="82" t="n"/>
      <c r="I379" s="83" t="n"/>
      <c r="J379" s="82" t="n"/>
      <c r="K379" s="84" t="n"/>
      <c r="L379" s="85" t="n"/>
      <c r="M379" s="82" t="n"/>
      <c r="N379" s="86" t="n"/>
      <c r="O379" s="81" t="n"/>
      <c r="P379" s="82" t="n"/>
      <c r="Q379" s="83" t="n"/>
      <c r="R379" s="82" t="n"/>
      <c r="S379" s="84" t="n"/>
      <c r="T379" s="84" t="n"/>
      <c r="U379" s="82" t="n"/>
      <c r="V379" s="86" t="n"/>
      <c r="W379" s="86" t="n"/>
      <c r="X379" s="86" t="n"/>
      <c r="Y379" s="81" t="n"/>
      <c r="Z379" s="82" t="n"/>
      <c r="AA379" s="81" t="n"/>
      <c r="AB379" s="82" t="n"/>
      <c r="AC379" s="87">
        <f>IF(OR($D379="",$M379="Rejected",$M379="Withdrawn",$M379="Accepted"),"",IF(ISNUMBER($O379),IF(INT($O379)&lt;TODAY(),"FOLLOW UP REQUIRED",IF(INT($O379)=TODAY(),"ACTION DUE TODAY",IF(INT($O379)-TODAY()&lt;=Set_DueSoonDays,"DUE SOON",""))),IF(AND($M379="Applied",$AA379=""),IF(ISNUMBER($C379),IF(TODAY()-$C379&gt;=Set_FollowUpDays,"NO RESPONSE",""),""),"")))</f>
        <v/>
      </c>
      <c r="AD379" s="87">
        <f>IF(ISNUMBER($L379),IF($L379&gt;=90,"Excellent Match",IF($L379&gt;=75,"Strong Match",IF($L379&gt;=60,"Moderate Match","Low Match"))),"")</f>
        <v/>
      </c>
      <c r="AE379" s="87">
        <f>IF($D379="","",IF(OR($M379="Rejected",$M379="Withdrawn"),IF($AB379&lt;&gt;"",$AB379,IF(OR($M379="Rejected",ISNUMBER($C379)),"Applied","Wishlist")),IF($M379="",IF(ISNUMBER($C379),"Applied","Wishlist"),$M379)))</f>
        <v/>
      </c>
      <c r="AF379" s="88">
        <f>IF(AND(ISNUMBER($C379),ISNUMBER($AA379)),$AA379-$C379,"")</f>
        <v/>
      </c>
      <c r="AG379" s="87">
        <f>IF($AE379="","",IFERROR(MATCH($AE379,{"Wishlist","Applied","Screening","Interview 1","Interview 2","Final","Offer","Accepted"},0)-1,""))</f>
        <v/>
      </c>
      <c r="AH379" s="87">
        <f>IF($AC379="","",MATCH($AC379,{"FOLLOW UP REQUIRED","ACTION DUE TODAY","NO RESPONSE","DUE SOON"},0)*100000+IF(ISNUMBER($O379),$O379,IF(ISNUMBER($C379),$C379,0))+ROW()/10000)</f>
        <v/>
      </c>
      <c r="AI379" s="87">
        <f>IF(AND(ISNUMBER($AG379),$AG379&gt;=1,$AG379&lt;=6,$M379&lt;&gt;"Rejected",$M379&lt;&gt;"Withdrawn"),(10-$AG379)*100000+IF(ISNUMBER($C379),$C379,0)+ROW()/10000,"")</f>
        <v/>
      </c>
    </row>
    <row r="380">
      <c r="A380" s="80" t="n"/>
      <c r="B380" s="81" t="n"/>
      <c r="C380" s="81" t="n"/>
      <c r="D380" s="82" t="n"/>
      <c r="E380" s="82" t="n"/>
      <c r="F380" s="82" t="n"/>
      <c r="G380" s="82" t="n"/>
      <c r="H380" s="82" t="n"/>
      <c r="I380" s="83" t="n"/>
      <c r="J380" s="82" t="n"/>
      <c r="K380" s="84" t="n"/>
      <c r="L380" s="85" t="n"/>
      <c r="M380" s="82" t="n"/>
      <c r="N380" s="86" t="n"/>
      <c r="O380" s="81" t="n"/>
      <c r="P380" s="82" t="n"/>
      <c r="Q380" s="83" t="n"/>
      <c r="R380" s="82" t="n"/>
      <c r="S380" s="84" t="n"/>
      <c r="T380" s="84" t="n"/>
      <c r="U380" s="82" t="n"/>
      <c r="V380" s="86" t="n"/>
      <c r="W380" s="86" t="n"/>
      <c r="X380" s="86" t="n"/>
      <c r="Y380" s="81" t="n"/>
      <c r="Z380" s="82" t="n"/>
      <c r="AA380" s="81" t="n"/>
      <c r="AB380" s="82" t="n"/>
      <c r="AC380" s="87">
        <f>IF(OR($D380="",$M380="Rejected",$M380="Withdrawn",$M380="Accepted"),"",IF(ISNUMBER($O380),IF(INT($O380)&lt;TODAY(),"FOLLOW UP REQUIRED",IF(INT($O380)=TODAY(),"ACTION DUE TODAY",IF(INT($O380)-TODAY()&lt;=Set_DueSoonDays,"DUE SOON",""))),IF(AND($M380="Applied",$AA380=""),IF(ISNUMBER($C380),IF(TODAY()-$C380&gt;=Set_FollowUpDays,"NO RESPONSE",""),""),"")))</f>
        <v/>
      </c>
      <c r="AD380" s="87">
        <f>IF(ISNUMBER($L380),IF($L380&gt;=90,"Excellent Match",IF($L380&gt;=75,"Strong Match",IF($L380&gt;=60,"Moderate Match","Low Match"))),"")</f>
        <v/>
      </c>
      <c r="AE380" s="87">
        <f>IF($D380="","",IF(OR($M380="Rejected",$M380="Withdrawn"),IF($AB380&lt;&gt;"",$AB380,IF(OR($M380="Rejected",ISNUMBER($C380)),"Applied","Wishlist")),IF($M380="",IF(ISNUMBER($C380),"Applied","Wishlist"),$M380)))</f>
        <v/>
      </c>
      <c r="AF380" s="88">
        <f>IF(AND(ISNUMBER($C380),ISNUMBER($AA380)),$AA380-$C380,"")</f>
        <v/>
      </c>
      <c r="AG380" s="87">
        <f>IF($AE380="","",IFERROR(MATCH($AE380,{"Wishlist","Applied","Screening","Interview 1","Interview 2","Final","Offer","Accepted"},0)-1,""))</f>
        <v/>
      </c>
      <c r="AH380" s="87">
        <f>IF($AC380="","",MATCH($AC380,{"FOLLOW UP REQUIRED","ACTION DUE TODAY","NO RESPONSE","DUE SOON"},0)*100000+IF(ISNUMBER($O380),$O380,IF(ISNUMBER($C380),$C380,0))+ROW()/10000)</f>
        <v/>
      </c>
      <c r="AI380" s="87">
        <f>IF(AND(ISNUMBER($AG380),$AG380&gt;=1,$AG380&lt;=6,$M380&lt;&gt;"Rejected",$M380&lt;&gt;"Withdrawn"),(10-$AG380)*100000+IF(ISNUMBER($C380),$C380,0)+ROW()/10000,"")</f>
        <v/>
      </c>
    </row>
    <row r="381">
      <c r="A381" s="80" t="n"/>
      <c r="B381" s="81" t="n"/>
      <c r="C381" s="81" t="n"/>
      <c r="D381" s="82" t="n"/>
      <c r="E381" s="82" t="n"/>
      <c r="F381" s="82" t="n"/>
      <c r="G381" s="82" t="n"/>
      <c r="H381" s="82" t="n"/>
      <c r="I381" s="83" t="n"/>
      <c r="J381" s="82" t="n"/>
      <c r="K381" s="84" t="n"/>
      <c r="L381" s="85" t="n"/>
      <c r="M381" s="82" t="n"/>
      <c r="N381" s="86" t="n"/>
      <c r="O381" s="81" t="n"/>
      <c r="P381" s="82" t="n"/>
      <c r="Q381" s="83" t="n"/>
      <c r="R381" s="82" t="n"/>
      <c r="S381" s="84" t="n"/>
      <c r="T381" s="84" t="n"/>
      <c r="U381" s="82" t="n"/>
      <c r="V381" s="86" t="n"/>
      <c r="W381" s="86" t="n"/>
      <c r="X381" s="86" t="n"/>
      <c r="Y381" s="81" t="n"/>
      <c r="Z381" s="82" t="n"/>
      <c r="AA381" s="81" t="n"/>
      <c r="AB381" s="82" t="n"/>
      <c r="AC381" s="87">
        <f>IF(OR($D381="",$M381="Rejected",$M381="Withdrawn",$M381="Accepted"),"",IF(ISNUMBER($O381),IF(INT($O381)&lt;TODAY(),"FOLLOW UP REQUIRED",IF(INT($O381)=TODAY(),"ACTION DUE TODAY",IF(INT($O381)-TODAY()&lt;=Set_DueSoonDays,"DUE SOON",""))),IF(AND($M381="Applied",$AA381=""),IF(ISNUMBER($C381),IF(TODAY()-$C381&gt;=Set_FollowUpDays,"NO RESPONSE",""),""),"")))</f>
        <v/>
      </c>
      <c r="AD381" s="87">
        <f>IF(ISNUMBER($L381),IF($L381&gt;=90,"Excellent Match",IF($L381&gt;=75,"Strong Match",IF($L381&gt;=60,"Moderate Match","Low Match"))),"")</f>
        <v/>
      </c>
      <c r="AE381" s="87">
        <f>IF($D381="","",IF(OR($M381="Rejected",$M381="Withdrawn"),IF($AB381&lt;&gt;"",$AB381,IF(OR($M381="Rejected",ISNUMBER($C381)),"Applied","Wishlist")),IF($M381="",IF(ISNUMBER($C381),"Applied","Wishlist"),$M381)))</f>
        <v/>
      </c>
      <c r="AF381" s="88">
        <f>IF(AND(ISNUMBER($C381),ISNUMBER($AA381)),$AA381-$C381,"")</f>
        <v/>
      </c>
      <c r="AG381" s="87">
        <f>IF($AE381="","",IFERROR(MATCH($AE381,{"Wishlist","Applied","Screening","Interview 1","Interview 2","Final","Offer","Accepted"},0)-1,""))</f>
        <v/>
      </c>
      <c r="AH381" s="87">
        <f>IF($AC381="","",MATCH($AC381,{"FOLLOW UP REQUIRED","ACTION DUE TODAY","NO RESPONSE","DUE SOON"},0)*100000+IF(ISNUMBER($O381),$O381,IF(ISNUMBER($C381),$C381,0))+ROW()/10000)</f>
        <v/>
      </c>
      <c r="AI381" s="87">
        <f>IF(AND(ISNUMBER($AG381),$AG381&gt;=1,$AG381&lt;=6,$M381&lt;&gt;"Rejected",$M381&lt;&gt;"Withdrawn"),(10-$AG381)*100000+IF(ISNUMBER($C381),$C381,0)+ROW()/10000,"")</f>
        <v/>
      </c>
    </row>
    <row r="382">
      <c r="A382" s="80" t="n"/>
      <c r="B382" s="81" t="n"/>
      <c r="C382" s="81" t="n"/>
      <c r="D382" s="82" t="n"/>
      <c r="E382" s="82" t="n"/>
      <c r="F382" s="82" t="n"/>
      <c r="G382" s="82" t="n"/>
      <c r="H382" s="82" t="n"/>
      <c r="I382" s="83" t="n"/>
      <c r="J382" s="82" t="n"/>
      <c r="K382" s="84" t="n"/>
      <c r="L382" s="85" t="n"/>
      <c r="M382" s="82" t="n"/>
      <c r="N382" s="86" t="n"/>
      <c r="O382" s="81" t="n"/>
      <c r="P382" s="82" t="n"/>
      <c r="Q382" s="83" t="n"/>
      <c r="R382" s="82" t="n"/>
      <c r="S382" s="84" t="n"/>
      <c r="T382" s="84" t="n"/>
      <c r="U382" s="82" t="n"/>
      <c r="V382" s="86" t="n"/>
      <c r="W382" s="86" t="n"/>
      <c r="X382" s="86" t="n"/>
      <c r="Y382" s="81" t="n"/>
      <c r="Z382" s="82" t="n"/>
      <c r="AA382" s="81" t="n"/>
      <c r="AB382" s="82" t="n"/>
      <c r="AC382" s="87">
        <f>IF(OR($D382="",$M382="Rejected",$M382="Withdrawn",$M382="Accepted"),"",IF(ISNUMBER($O382),IF(INT($O382)&lt;TODAY(),"FOLLOW UP REQUIRED",IF(INT($O382)=TODAY(),"ACTION DUE TODAY",IF(INT($O382)-TODAY()&lt;=Set_DueSoonDays,"DUE SOON",""))),IF(AND($M382="Applied",$AA382=""),IF(ISNUMBER($C382),IF(TODAY()-$C382&gt;=Set_FollowUpDays,"NO RESPONSE",""),""),"")))</f>
        <v/>
      </c>
      <c r="AD382" s="87">
        <f>IF(ISNUMBER($L382),IF($L382&gt;=90,"Excellent Match",IF($L382&gt;=75,"Strong Match",IF($L382&gt;=60,"Moderate Match","Low Match"))),"")</f>
        <v/>
      </c>
      <c r="AE382" s="87">
        <f>IF($D382="","",IF(OR($M382="Rejected",$M382="Withdrawn"),IF($AB382&lt;&gt;"",$AB382,IF(OR($M382="Rejected",ISNUMBER($C382)),"Applied","Wishlist")),IF($M382="",IF(ISNUMBER($C382),"Applied","Wishlist"),$M382)))</f>
        <v/>
      </c>
      <c r="AF382" s="88">
        <f>IF(AND(ISNUMBER($C382),ISNUMBER($AA382)),$AA382-$C382,"")</f>
        <v/>
      </c>
      <c r="AG382" s="87">
        <f>IF($AE382="","",IFERROR(MATCH($AE382,{"Wishlist","Applied","Screening","Interview 1","Interview 2","Final","Offer","Accepted"},0)-1,""))</f>
        <v/>
      </c>
      <c r="AH382" s="87">
        <f>IF($AC382="","",MATCH($AC382,{"FOLLOW UP REQUIRED","ACTION DUE TODAY","NO RESPONSE","DUE SOON"},0)*100000+IF(ISNUMBER($O382),$O382,IF(ISNUMBER($C382),$C382,0))+ROW()/10000)</f>
        <v/>
      </c>
      <c r="AI382" s="87">
        <f>IF(AND(ISNUMBER($AG382),$AG382&gt;=1,$AG382&lt;=6,$M382&lt;&gt;"Rejected",$M382&lt;&gt;"Withdrawn"),(10-$AG382)*100000+IF(ISNUMBER($C382),$C382,0)+ROW()/10000,"")</f>
        <v/>
      </c>
    </row>
    <row r="383">
      <c r="A383" s="80" t="n"/>
      <c r="B383" s="81" t="n"/>
      <c r="C383" s="81" t="n"/>
      <c r="D383" s="82" t="n"/>
      <c r="E383" s="82" t="n"/>
      <c r="F383" s="82" t="n"/>
      <c r="G383" s="82" t="n"/>
      <c r="H383" s="82" t="n"/>
      <c r="I383" s="83" t="n"/>
      <c r="J383" s="82" t="n"/>
      <c r="K383" s="84" t="n"/>
      <c r="L383" s="85" t="n"/>
      <c r="M383" s="82" t="n"/>
      <c r="N383" s="86" t="n"/>
      <c r="O383" s="81" t="n"/>
      <c r="P383" s="82" t="n"/>
      <c r="Q383" s="83" t="n"/>
      <c r="R383" s="82" t="n"/>
      <c r="S383" s="84" t="n"/>
      <c r="T383" s="84" t="n"/>
      <c r="U383" s="82" t="n"/>
      <c r="V383" s="86" t="n"/>
      <c r="W383" s="86" t="n"/>
      <c r="X383" s="86" t="n"/>
      <c r="Y383" s="81" t="n"/>
      <c r="Z383" s="82" t="n"/>
      <c r="AA383" s="81" t="n"/>
      <c r="AB383" s="82" t="n"/>
      <c r="AC383" s="87">
        <f>IF(OR($D383="",$M383="Rejected",$M383="Withdrawn",$M383="Accepted"),"",IF(ISNUMBER($O383),IF(INT($O383)&lt;TODAY(),"FOLLOW UP REQUIRED",IF(INT($O383)=TODAY(),"ACTION DUE TODAY",IF(INT($O383)-TODAY()&lt;=Set_DueSoonDays,"DUE SOON",""))),IF(AND($M383="Applied",$AA383=""),IF(ISNUMBER($C383),IF(TODAY()-$C383&gt;=Set_FollowUpDays,"NO RESPONSE",""),""),"")))</f>
        <v/>
      </c>
      <c r="AD383" s="87">
        <f>IF(ISNUMBER($L383),IF($L383&gt;=90,"Excellent Match",IF($L383&gt;=75,"Strong Match",IF($L383&gt;=60,"Moderate Match","Low Match"))),"")</f>
        <v/>
      </c>
      <c r="AE383" s="87">
        <f>IF($D383="","",IF(OR($M383="Rejected",$M383="Withdrawn"),IF($AB383&lt;&gt;"",$AB383,IF(OR($M383="Rejected",ISNUMBER($C383)),"Applied","Wishlist")),IF($M383="",IF(ISNUMBER($C383),"Applied","Wishlist"),$M383)))</f>
        <v/>
      </c>
      <c r="AF383" s="88">
        <f>IF(AND(ISNUMBER($C383),ISNUMBER($AA383)),$AA383-$C383,"")</f>
        <v/>
      </c>
      <c r="AG383" s="87">
        <f>IF($AE383="","",IFERROR(MATCH($AE383,{"Wishlist","Applied","Screening","Interview 1","Interview 2","Final","Offer","Accepted"},0)-1,""))</f>
        <v/>
      </c>
      <c r="AH383" s="87">
        <f>IF($AC383="","",MATCH($AC383,{"FOLLOW UP REQUIRED","ACTION DUE TODAY","NO RESPONSE","DUE SOON"},0)*100000+IF(ISNUMBER($O383),$O383,IF(ISNUMBER($C383),$C383,0))+ROW()/10000)</f>
        <v/>
      </c>
      <c r="AI383" s="87">
        <f>IF(AND(ISNUMBER($AG383),$AG383&gt;=1,$AG383&lt;=6,$M383&lt;&gt;"Rejected",$M383&lt;&gt;"Withdrawn"),(10-$AG383)*100000+IF(ISNUMBER($C383),$C383,0)+ROW()/10000,"")</f>
        <v/>
      </c>
    </row>
    <row r="384">
      <c r="A384" s="80" t="n"/>
      <c r="B384" s="81" t="n"/>
      <c r="C384" s="81" t="n"/>
      <c r="D384" s="82" t="n"/>
      <c r="E384" s="82" t="n"/>
      <c r="F384" s="82" t="n"/>
      <c r="G384" s="82" t="n"/>
      <c r="H384" s="82" t="n"/>
      <c r="I384" s="83" t="n"/>
      <c r="J384" s="82" t="n"/>
      <c r="K384" s="84" t="n"/>
      <c r="L384" s="85" t="n"/>
      <c r="M384" s="82" t="n"/>
      <c r="N384" s="86" t="n"/>
      <c r="O384" s="81" t="n"/>
      <c r="P384" s="82" t="n"/>
      <c r="Q384" s="83" t="n"/>
      <c r="R384" s="82" t="n"/>
      <c r="S384" s="84" t="n"/>
      <c r="T384" s="84" t="n"/>
      <c r="U384" s="82" t="n"/>
      <c r="V384" s="86" t="n"/>
      <c r="W384" s="86" t="n"/>
      <c r="X384" s="86" t="n"/>
      <c r="Y384" s="81" t="n"/>
      <c r="Z384" s="82" t="n"/>
      <c r="AA384" s="81" t="n"/>
      <c r="AB384" s="82" t="n"/>
      <c r="AC384" s="87">
        <f>IF(OR($D384="",$M384="Rejected",$M384="Withdrawn",$M384="Accepted"),"",IF(ISNUMBER($O384),IF(INT($O384)&lt;TODAY(),"FOLLOW UP REQUIRED",IF(INT($O384)=TODAY(),"ACTION DUE TODAY",IF(INT($O384)-TODAY()&lt;=Set_DueSoonDays,"DUE SOON",""))),IF(AND($M384="Applied",$AA384=""),IF(ISNUMBER($C384),IF(TODAY()-$C384&gt;=Set_FollowUpDays,"NO RESPONSE",""),""),"")))</f>
        <v/>
      </c>
      <c r="AD384" s="87">
        <f>IF(ISNUMBER($L384),IF($L384&gt;=90,"Excellent Match",IF($L384&gt;=75,"Strong Match",IF($L384&gt;=60,"Moderate Match","Low Match"))),"")</f>
        <v/>
      </c>
      <c r="AE384" s="87">
        <f>IF($D384="","",IF(OR($M384="Rejected",$M384="Withdrawn"),IF($AB384&lt;&gt;"",$AB384,IF(OR($M384="Rejected",ISNUMBER($C384)),"Applied","Wishlist")),IF($M384="",IF(ISNUMBER($C384),"Applied","Wishlist"),$M384)))</f>
        <v/>
      </c>
      <c r="AF384" s="88">
        <f>IF(AND(ISNUMBER($C384),ISNUMBER($AA384)),$AA384-$C384,"")</f>
        <v/>
      </c>
      <c r="AG384" s="87">
        <f>IF($AE384="","",IFERROR(MATCH($AE384,{"Wishlist","Applied","Screening","Interview 1","Interview 2","Final","Offer","Accepted"},0)-1,""))</f>
        <v/>
      </c>
      <c r="AH384" s="87">
        <f>IF($AC384="","",MATCH($AC384,{"FOLLOW UP REQUIRED","ACTION DUE TODAY","NO RESPONSE","DUE SOON"},0)*100000+IF(ISNUMBER($O384),$O384,IF(ISNUMBER($C384),$C384,0))+ROW()/10000)</f>
        <v/>
      </c>
      <c r="AI384" s="87">
        <f>IF(AND(ISNUMBER($AG384),$AG384&gt;=1,$AG384&lt;=6,$M384&lt;&gt;"Rejected",$M384&lt;&gt;"Withdrawn"),(10-$AG384)*100000+IF(ISNUMBER($C384),$C384,0)+ROW()/10000,"")</f>
        <v/>
      </c>
    </row>
    <row r="385">
      <c r="A385" s="80" t="n"/>
      <c r="B385" s="81" t="n"/>
      <c r="C385" s="81" t="n"/>
      <c r="D385" s="82" t="n"/>
      <c r="E385" s="82" t="n"/>
      <c r="F385" s="82" t="n"/>
      <c r="G385" s="82" t="n"/>
      <c r="H385" s="82" t="n"/>
      <c r="I385" s="83" t="n"/>
      <c r="J385" s="82" t="n"/>
      <c r="K385" s="84" t="n"/>
      <c r="L385" s="85" t="n"/>
      <c r="M385" s="82" t="n"/>
      <c r="N385" s="86" t="n"/>
      <c r="O385" s="81" t="n"/>
      <c r="P385" s="82" t="n"/>
      <c r="Q385" s="83" t="n"/>
      <c r="R385" s="82" t="n"/>
      <c r="S385" s="84" t="n"/>
      <c r="T385" s="84" t="n"/>
      <c r="U385" s="82" t="n"/>
      <c r="V385" s="86" t="n"/>
      <c r="W385" s="86" t="n"/>
      <c r="X385" s="86" t="n"/>
      <c r="Y385" s="81" t="n"/>
      <c r="Z385" s="82" t="n"/>
      <c r="AA385" s="81" t="n"/>
      <c r="AB385" s="82" t="n"/>
      <c r="AC385" s="87">
        <f>IF(OR($D385="",$M385="Rejected",$M385="Withdrawn",$M385="Accepted"),"",IF(ISNUMBER($O385),IF(INT($O385)&lt;TODAY(),"FOLLOW UP REQUIRED",IF(INT($O385)=TODAY(),"ACTION DUE TODAY",IF(INT($O385)-TODAY()&lt;=Set_DueSoonDays,"DUE SOON",""))),IF(AND($M385="Applied",$AA385=""),IF(ISNUMBER($C385),IF(TODAY()-$C385&gt;=Set_FollowUpDays,"NO RESPONSE",""),""),"")))</f>
        <v/>
      </c>
      <c r="AD385" s="87">
        <f>IF(ISNUMBER($L385),IF($L385&gt;=90,"Excellent Match",IF($L385&gt;=75,"Strong Match",IF($L385&gt;=60,"Moderate Match","Low Match"))),"")</f>
        <v/>
      </c>
      <c r="AE385" s="87">
        <f>IF($D385="","",IF(OR($M385="Rejected",$M385="Withdrawn"),IF($AB385&lt;&gt;"",$AB385,IF(OR($M385="Rejected",ISNUMBER($C385)),"Applied","Wishlist")),IF($M385="",IF(ISNUMBER($C385),"Applied","Wishlist"),$M385)))</f>
        <v/>
      </c>
      <c r="AF385" s="88">
        <f>IF(AND(ISNUMBER($C385),ISNUMBER($AA385)),$AA385-$C385,"")</f>
        <v/>
      </c>
      <c r="AG385" s="87">
        <f>IF($AE385="","",IFERROR(MATCH($AE385,{"Wishlist","Applied","Screening","Interview 1","Interview 2","Final","Offer","Accepted"},0)-1,""))</f>
        <v/>
      </c>
      <c r="AH385" s="87">
        <f>IF($AC385="","",MATCH($AC385,{"FOLLOW UP REQUIRED","ACTION DUE TODAY","NO RESPONSE","DUE SOON"},0)*100000+IF(ISNUMBER($O385),$O385,IF(ISNUMBER($C385),$C385,0))+ROW()/10000)</f>
        <v/>
      </c>
      <c r="AI385" s="87">
        <f>IF(AND(ISNUMBER($AG385),$AG385&gt;=1,$AG385&lt;=6,$M385&lt;&gt;"Rejected",$M385&lt;&gt;"Withdrawn"),(10-$AG385)*100000+IF(ISNUMBER($C385),$C385,0)+ROW()/10000,"")</f>
        <v/>
      </c>
    </row>
    <row r="386">
      <c r="A386" s="80" t="n"/>
      <c r="B386" s="81" t="n"/>
      <c r="C386" s="81" t="n"/>
      <c r="D386" s="82" t="n"/>
      <c r="E386" s="82" t="n"/>
      <c r="F386" s="82" t="n"/>
      <c r="G386" s="82" t="n"/>
      <c r="H386" s="82" t="n"/>
      <c r="I386" s="83" t="n"/>
      <c r="J386" s="82" t="n"/>
      <c r="K386" s="84" t="n"/>
      <c r="L386" s="85" t="n"/>
      <c r="M386" s="82" t="n"/>
      <c r="N386" s="86" t="n"/>
      <c r="O386" s="81" t="n"/>
      <c r="P386" s="82" t="n"/>
      <c r="Q386" s="83" t="n"/>
      <c r="R386" s="82" t="n"/>
      <c r="S386" s="84" t="n"/>
      <c r="T386" s="84" t="n"/>
      <c r="U386" s="82" t="n"/>
      <c r="V386" s="86" t="n"/>
      <c r="W386" s="86" t="n"/>
      <c r="X386" s="86" t="n"/>
      <c r="Y386" s="81" t="n"/>
      <c r="Z386" s="82" t="n"/>
      <c r="AA386" s="81" t="n"/>
      <c r="AB386" s="82" t="n"/>
      <c r="AC386" s="87">
        <f>IF(OR($D386="",$M386="Rejected",$M386="Withdrawn",$M386="Accepted"),"",IF(ISNUMBER($O386),IF(INT($O386)&lt;TODAY(),"FOLLOW UP REQUIRED",IF(INT($O386)=TODAY(),"ACTION DUE TODAY",IF(INT($O386)-TODAY()&lt;=Set_DueSoonDays,"DUE SOON",""))),IF(AND($M386="Applied",$AA386=""),IF(ISNUMBER($C386),IF(TODAY()-$C386&gt;=Set_FollowUpDays,"NO RESPONSE",""),""),"")))</f>
        <v/>
      </c>
      <c r="AD386" s="87">
        <f>IF(ISNUMBER($L386),IF($L386&gt;=90,"Excellent Match",IF($L386&gt;=75,"Strong Match",IF($L386&gt;=60,"Moderate Match","Low Match"))),"")</f>
        <v/>
      </c>
      <c r="AE386" s="87">
        <f>IF($D386="","",IF(OR($M386="Rejected",$M386="Withdrawn"),IF($AB386&lt;&gt;"",$AB386,IF(OR($M386="Rejected",ISNUMBER($C386)),"Applied","Wishlist")),IF($M386="",IF(ISNUMBER($C386),"Applied","Wishlist"),$M386)))</f>
        <v/>
      </c>
      <c r="AF386" s="88">
        <f>IF(AND(ISNUMBER($C386),ISNUMBER($AA386)),$AA386-$C386,"")</f>
        <v/>
      </c>
      <c r="AG386" s="87">
        <f>IF($AE386="","",IFERROR(MATCH($AE386,{"Wishlist","Applied","Screening","Interview 1","Interview 2","Final","Offer","Accepted"},0)-1,""))</f>
        <v/>
      </c>
      <c r="AH386" s="87">
        <f>IF($AC386="","",MATCH($AC386,{"FOLLOW UP REQUIRED","ACTION DUE TODAY","NO RESPONSE","DUE SOON"},0)*100000+IF(ISNUMBER($O386),$O386,IF(ISNUMBER($C386),$C386,0))+ROW()/10000)</f>
        <v/>
      </c>
      <c r="AI386" s="87">
        <f>IF(AND(ISNUMBER($AG386),$AG386&gt;=1,$AG386&lt;=6,$M386&lt;&gt;"Rejected",$M386&lt;&gt;"Withdrawn"),(10-$AG386)*100000+IF(ISNUMBER($C386),$C386,0)+ROW()/10000,"")</f>
        <v/>
      </c>
    </row>
    <row r="387">
      <c r="A387" s="80" t="n"/>
      <c r="B387" s="81" t="n"/>
      <c r="C387" s="81" t="n"/>
      <c r="D387" s="82" t="n"/>
      <c r="E387" s="82" t="n"/>
      <c r="F387" s="82" t="n"/>
      <c r="G387" s="82" t="n"/>
      <c r="H387" s="82" t="n"/>
      <c r="I387" s="83" t="n"/>
      <c r="J387" s="82" t="n"/>
      <c r="K387" s="84" t="n"/>
      <c r="L387" s="85" t="n"/>
      <c r="M387" s="82" t="n"/>
      <c r="N387" s="86" t="n"/>
      <c r="O387" s="81" t="n"/>
      <c r="P387" s="82" t="n"/>
      <c r="Q387" s="83" t="n"/>
      <c r="R387" s="82" t="n"/>
      <c r="S387" s="84" t="n"/>
      <c r="T387" s="84" t="n"/>
      <c r="U387" s="82" t="n"/>
      <c r="V387" s="86" t="n"/>
      <c r="W387" s="86" t="n"/>
      <c r="X387" s="86" t="n"/>
      <c r="Y387" s="81" t="n"/>
      <c r="Z387" s="82" t="n"/>
      <c r="AA387" s="81" t="n"/>
      <c r="AB387" s="82" t="n"/>
      <c r="AC387" s="87">
        <f>IF(OR($D387="",$M387="Rejected",$M387="Withdrawn",$M387="Accepted"),"",IF(ISNUMBER($O387),IF(INT($O387)&lt;TODAY(),"FOLLOW UP REQUIRED",IF(INT($O387)=TODAY(),"ACTION DUE TODAY",IF(INT($O387)-TODAY()&lt;=Set_DueSoonDays,"DUE SOON",""))),IF(AND($M387="Applied",$AA387=""),IF(ISNUMBER($C387),IF(TODAY()-$C387&gt;=Set_FollowUpDays,"NO RESPONSE",""),""),"")))</f>
        <v/>
      </c>
      <c r="AD387" s="87">
        <f>IF(ISNUMBER($L387),IF($L387&gt;=90,"Excellent Match",IF($L387&gt;=75,"Strong Match",IF($L387&gt;=60,"Moderate Match","Low Match"))),"")</f>
        <v/>
      </c>
      <c r="AE387" s="87">
        <f>IF($D387="","",IF(OR($M387="Rejected",$M387="Withdrawn"),IF($AB387&lt;&gt;"",$AB387,IF(OR($M387="Rejected",ISNUMBER($C387)),"Applied","Wishlist")),IF($M387="",IF(ISNUMBER($C387),"Applied","Wishlist"),$M387)))</f>
        <v/>
      </c>
      <c r="AF387" s="88">
        <f>IF(AND(ISNUMBER($C387),ISNUMBER($AA387)),$AA387-$C387,"")</f>
        <v/>
      </c>
      <c r="AG387" s="87">
        <f>IF($AE387="","",IFERROR(MATCH($AE387,{"Wishlist","Applied","Screening","Interview 1","Interview 2","Final","Offer","Accepted"},0)-1,""))</f>
        <v/>
      </c>
      <c r="AH387" s="87">
        <f>IF($AC387="","",MATCH($AC387,{"FOLLOW UP REQUIRED","ACTION DUE TODAY","NO RESPONSE","DUE SOON"},0)*100000+IF(ISNUMBER($O387),$O387,IF(ISNUMBER($C387),$C387,0))+ROW()/10000)</f>
        <v/>
      </c>
      <c r="AI387" s="87">
        <f>IF(AND(ISNUMBER($AG387),$AG387&gt;=1,$AG387&lt;=6,$M387&lt;&gt;"Rejected",$M387&lt;&gt;"Withdrawn"),(10-$AG387)*100000+IF(ISNUMBER($C387),$C387,0)+ROW()/10000,"")</f>
        <v/>
      </c>
    </row>
    <row r="388">
      <c r="A388" s="80" t="n"/>
      <c r="B388" s="81" t="n"/>
      <c r="C388" s="81" t="n"/>
      <c r="D388" s="82" t="n"/>
      <c r="E388" s="82" t="n"/>
      <c r="F388" s="82" t="n"/>
      <c r="G388" s="82" t="n"/>
      <c r="H388" s="82" t="n"/>
      <c r="I388" s="83" t="n"/>
      <c r="J388" s="82" t="n"/>
      <c r="K388" s="84" t="n"/>
      <c r="L388" s="85" t="n"/>
      <c r="M388" s="82" t="n"/>
      <c r="N388" s="86" t="n"/>
      <c r="O388" s="81" t="n"/>
      <c r="P388" s="82" t="n"/>
      <c r="Q388" s="83" t="n"/>
      <c r="R388" s="82" t="n"/>
      <c r="S388" s="84" t="n"/>
      <c r="T388" s="84" t="n"/>
      <c r="U388" s="82" t="n"/>
      <c r="V388" s="86" t="n"/>
      <c r="W388" s="86" t="n"/>
      <c r="X388" s="86" t="n"/>
      <c r="Y388" s="81" t="n"/>
      <c r="Z388" s="82" t="n"/>
      <c r="AA388" s="81" t="n"/>
      <c r="AB388" s="82" t="n"/>
      <c r="AC388" s="87">
        <f>IF(OR($D388="",$M388="Rejected",$M388="Withdrawn",$M388="Accepted"),"",IF(ISNUMBER($O388),IF(INT($O388)&lt;TODAY(),"FOLLOW UP REQUIRED",IF(INT($O388)=TODAY(),"ACTION DUE TODAY",IF(INT($O388)-TODAY()&lt;=Set_DueSoonDays,"DUE SOON",""))),IF(AND($M388="Applied",$AA388=""),IF(ISNUMBER($C388),IF(TODAY()-$C388&gt;=Set_FollowUpDays,"NO RESPONSE",""),""),"")))</f>
        <v/>
      </c>
      <c r="AD388" s="87">
        <f>IF(ISNUMBER($L388),IF($L388&gt;=90,"Excellent Match",IF($L388&gt;=75,"Strong Match",IF($L388&gt;=60,"Moderate Match","Low Match"))),"")</f>
        <v/>
      </c>
      <c r="AE388" s="87">
        <f>IF($D388="","",IF(OR($M388="Rejected",$M388="Withdrawn"),IF($AB388&lt;&gt;"",$AB388,IF(OR($M388="Rejected",ISNUMBER($C388)),"Applied","Wishlist")),IF($M388="",IF(ISNUMBER($C388),"Applied","Wishlist"),$M388)))</f>
        <v/>
      </c>
      <c r="AF388" s="88">
        <f>IF(AND(ISNUMBER($C388),ISNUMBER($AA388)),$AA388-$C388,"")</f>
        <v/>
      </c>
      <c r="AG388" s="87">
        <f>IF($AE388="","",IFERROR(MATCH($AE388,{"Wishlist","Applied","Screening","Interview 1","Interview 2","Final","Offer","Accepted"},0)-1,""))</f>
        <v/>
      </c>
      <c r="AH388" s="87">
        <f>IF($AC388="","",MATCH($AC388,{"FOLLOW UP REQUIRED","ACTION DUE TODAY","NO RESPONSE","DUE SOON"},0)*100000+IF(ISNUMBER($O388),$O388,IF(ISNUMBER($C388),$C388,0))+ROW()/10000)</f>
        <v/>
      </c>
      <c r="AI388" s="87">
        <f>IF(AND(ISNUMBER($AG388),$AG388&gt;=1,$AG388&lt;=6,$M388&lt;&gt;"Rejected",$M388&lt;&gt;"Withdrawn"),(10-$AG388)*100000+IF(ISNUMBER($C388),$C388,0)+ROW()/10000,"")</f>
        <v/>
      </c>
    </row>
    <row r="389">
      <c r="A389" s="80" t="n"/>
      <c r="B389" s="81" t="n"/>
      <c r="C389" s="81" t="n"/>
      <c r="D389" s="82" t="n"/>
      <c r="E389" s="82" t="n"/>
      <c r="F389" s="82" t="n"/>
      <c r="G389" s="82" t="n"/>
      <c r="H389" s="82" t="n"/>
      <c r="I389" s="83" t="n"/>
      <c r="J389" s="82" t="n"/>
      <c r="K389" s="84" t="n"/>
      <c r="L389" s="85" t="n"/>
      <c r="M389" s="82" t="n"/>
      <c r="N389" s="86" t="n"/>
      <c r="O389" s="81" t="n"/>
      <c r="P389" s="82" t="n"/>
      <c r="Q389" s="83" t="n"/>
      <c r="R389" s="82" t="n"/>
      <c r="S389" s="84" t="n"/>
      <c r="T389" s="84" t="n"/>
      <c r="U389" s="82" t="n"/>
      <c r="V389" s="86" t="n"/>
      <c r="W389" s="86" t="n"/>
      <c r="X389" s="86" t="n"/>
      <c r="Y389" s="81" t="n"/>
      <c r="Z389" s="82" t="n"/>
      <c r="AA389" s="81" t="n"/>
      <c r="AB389" s="82" t="n"/>
      <c r="AC389" s="87">
        <f>IF(OR($D389="",$M389="Rejected",$M389="Withdrawn",$M389="Accepted"),"",IF(ISNUMBER($O389),IF(INT($O389)&lt;TODAY(),"FOLLOW UP REQUIRED",IF(INT($O389)=TODAY(),"ACTION DUE TODAY",IF(INT($O389)-TODAY()&lt;=Set_DueSoonDays,"DUE SOON",""))),IF(AND($M389="Applied",$AA389=""),IF(ISNUMBER($C389),IF(TODAY()-$C389&gt;=Set_FollowUpDays,"NO RESPONSE",""),""),"")))</f>
        <v/>
      </c>
      <c r="AD389" s="87">
        <f>IF(ISNUMBER($L389),IF($L389&gt;=90,"Excellent Match",IF($L389&gt;=75,"Strong Match",IF($L389&gt;=60,"Moderate Match","Low Match"))),"")</f>
        <v/>
      </c>
      <c r="AE389" s="87">
        <f>IF($D389="","",IF(OR($M389="Rejected",$M389="Withdrawn"),IF($AB389&lt;&gt;"",$AB389,IF(OR($M389="Rejected",ISNUMBER($C389)),"Applied","Wishlist")),IF($M389="",IF(ISNUMBER($C389),"Applied","Wishlist"),$M389)))</f>
        <v/>
      </c>
      <c r="AF389" s="88">
        <f>IF(AND(ISNUMBER($C389),ISNUMBER($AA389)),$AA389-$C389,"")</f>
        <v/>
      </c>
      <c r="AG389" s="87">
        <f>IF($AE389="","",IFERROR(MATCH($AE389,{"Wishlist","Applied","Screening","Interview 1","Interview 2","Final","Offer","Accepted"},0)-1,""))</f>
        <v/>
      </c>
      <c r="AH389" s="87">
        <f>IF($AC389="","",MATCH($AC389,{"FOLLOW UP REQUIRED","ACTION DUE TODAY","NO RESPONSE","DUE SOON"},0)*100000+IF(ISNUMBER($O389),$O389,IF(ISNUMBER($C389),$C389,0))+ROW()/10000)</f>
        <v/>
      </c>
      <c r="AI389" s="87">
        <f>IF(AND(ISNUMBER($AG389),$AG389&gt;=1,$AG389&lt;=6,$M389&lt;&gt;"Rejected",$M389&lt;&gt;"Withdrawn"),(10-$AG389)*100000+IF(ISNUMBER($C389),$C389,0)+ROW()/10000,"")</f>
        <v/>
      </c>
    </row>
    <row r="390">
      <c r="A390" s="80" t="n"/>
      <c r="B390" s="81" t="n"/>
      <c r="C390" s="81" t="n"/>
      <c r="D390" s="82" t="n"/>
      <c r="E390" s="82" t="n"/>
      <c r="F390" s="82" t="n"/>
      <c r="G390" s="82" t="n"/>
      <c r="H390" s="82" t="n"/>
      <c r="I390" s="83" t="n"/>
      <c r="J390" s="82" t="n"/>
      <c r="K390" s="84" t="n"/>
      <c r="L390" s="85" t="n"/>
      <c r="M390" s="82" t="n"/>
      <c r="N390" s="86" t="n"/>
      <c r="O390" s="81" t="n"/>
      <c r="P390" s="82" t="n"/>
      <c r="Q390" s="83" t="n"/>
      <c r="R390" s="82" t="n"/>
      <c r="S390" s="84" t="n"/>
      <c r="T390" s="84" t="n"/>
      <c r="U390" s="82" t="n"/>
      <c r="V390" s="86" t="n"/>
      <c r="W390" s="86" t="n"/>
      <c r="X390" s="86" t="n"/>
      <c r="Y390" s="81" t="n"/>
      <c r="Z390" s="82" t="n"/>
      <c r="AA390" s="81" t="n"/>
      <c r="AB390" s="82" t="n"/>
      <c r="AC390" s="87">
        <f>IF(OR($D390="",$M390="Rejected",$M390="Withdrawn",$M390="Accepted"),"",IF(ISNUMBER($O390),IF(INT($O390)&lt;TODAY(),"FOLLOW UP REQUIRED",IF(INT($O390)=TODAY(),"ACTION DUE TODAY",IF(INT($O390)-TODAY()&lt;=Set_DueSoonDays,"DUE SOON",""))),IF(AND($M390="Applied",$AA390=""),IF(ISNUMBER($C390),IF(TODAY()-$C390&gt;=Set_FollowUpDays,"NO RESPONSE",""),""),"")))</f>
        <v/>
      </c>
      <c r="AD390" s="87">
        <f>IF(ISNUMBER($L390),IF($L390&gt;=90,"Excellent Match",IF($L390&gt;=75,"Strong Match",IF($L390&gt;=60,"Moderate Match","Low Match"))),"")</f>
        <v/>
      </c>
      <c r="AE390" s="87">
        <f>IF($D390="","",IF(OR($M390="Rejected",$M390="Withdrawn"),IF($AB390&lt;&gt;"",$AB390,IF(OR($M390="Rejected",ISNUMBER($C390)),"Applied","Wishlist")),IF($M390="",IF(ISNUMBER($C390),"Applied","Wishlist"),$M390)))</f>
        <v/>
      </c>
      <c r="AF390" s="88">
        <f>IF(AND(ISNUMBER($C390),ISNUMBER($AA390)),$AA390-$C390,"")</f>
        <v/>
      </c>
      <c r="AG390" s="87">
        <f>IF($AE390="","",IFERROR(MATCH($AE390,{"Wishlist","Applied","Screening","Interview 1","Interview 2","Final","Offer","Accepted"},0)-1,""))</f>
        <v/>
      </c>
      <c r="AH390" s="87">
        <f>IF($AC390="","",MATCH($AC390,{"FOLLOW UP REQUIRED","ACTION DUE TODAY","NO RESPONSE","DUE SOON"},0)*100000+IF(ISNUMBER($O390),$O390,IF(ISNUMBER($C390),$C390,0))+ROW()/10000)</f>
        <v/>
      </c>
      <c r="AI390" s="87">
        <f>IF(AND(ISNUMBER($AG390),$AG390&gt;=1,$AG390&lt;=6,$M390&lt;&gt;"Rejected",$M390&lt;&gt;"Withdrawn"),(10-$AG390)*100000+IF(ISNUMBER($C390),$C390,0)+ROW()/10000,"")</f>
        <v/>
      </c>
    </row>
    <row r="391">
      <c r="A391" s="80" t="n"/>
      <c r="B391" s="81" t="n"/>
      <c r="C391" s="81" t="n"/>
      <c r="D391" s="82" t="n"/>
      <c r="E391" s="82" t="n"/>
      <c r="F391" s="82" t="n"/>
      <c r="G391" s="82" t="n"/>
      <c r="H391" s="82" t="n"/>
      <c r="I391" s="83" t="n"/>
      <c r="J391" s="82" t="n"/>
      <c r="K391" s="84" t="n"/>
      <c r="L391" s="85" t="n"/>
      <c r="M391" s="82" t="n"/>
      <c r="N391" s="86" t="n"/>
      <c r="O391" s="81" t="n"/>
      <c r="P391" s="82" t="n"/>
      <c r="Q391" s="83" t="n"/>
      <c r="R391" s="82" t="n"/>
      <c r="S391" s="84" t="n"/>
      <c r="T391" s="84" t="n"/>
      <c r="U391" s="82" t="n"/>
      <c r="V391" s="86" t="n"/>
      <c r="W391" s="86" t="n"/>
      <c r="X391" s="86" t="n"/>
      <c r="Y391" s="81" t="n"/>
      <c r="Z391" s="82" t="n"/>
      <c r="AA391" s="81" t="n"/>
      <c r="AB391" s="82" t="n"/>
      <c r="AC391" s="87">
        <f>IF(OR($D391="",$M391="Rejected",$M391="Withdrawn",$M391="Accepted"),"",IF(ISNUMBER($O391),IF(INT($O391)&lt;TODAY(),"FOLLOW UP REQUIRED",IF(INT($O391)=TODAY(),"ACTION DUE TODAY",IF(INT($O391)-TODAY()&lt;=Set_DueSoonDays,"DUE SOON",""))),IF(AND($M391="Applied",$AA391=""),IF(ISNUMBER($C391),IF(TODAY()-$C391&gt;=Set_FollowUpDays,"NO RESPONSE",""),""),"")))</f>
        <v/>
      </c>
      <c r="AD391" s="87">
        <f>IF(ISNUMBER($L391),IF($L391&gt;=90,"Excellent Match",IF($L391&gt;=75,"Strong Match",IF($L391&gt;=60,"Moderate Match","Low Match"))),"")</f>
        <v/>
      </c>
      <c r="AE391" s="87">
        <f>IF($D391="","",IF(OR($M391="Rejected",$M391="Withdrawn"),IF($AB391&lt;&gt;"",$AB391,IF(OR($M391="Rejected",ISNUMBER($C391)),"Applied","Wishlist")),IF($M391="",IF(ISNUMBER($C391),"Applied","Wishlist"),$M391)))</f>
        <v/>
      </c>
      <c r="AF391" s="88">
        <f>IF(AND(ISNUMBER($C391),ISNUMBER($AA391)),$AA391-$C391,"")</f>
        <v/>
      </c>
      <c r="AG391" s="87">
        <f>IF($AE391="","",IFERROR(MATCH($AE391,{"Wishlist","Applied","Screening","Interview 1","Interview 2","Final","Offer","Accepted"},0)-1,""))</f>
        <v/>
      </c>
      <c r="AH391" s="87">
        <f>IF($AC391="","",MATCH($AC391,{"FOLLOW UP REQUIRED","ACTION DUE TODAY","NO RESPONSE","DUE SOON"},0)*100000+IF(ISNUMBER($O391),$O391,IF(ISNUMBER($C391),$C391,0))+ROW()/10000)</f>
        <v/>
      </c>
      <c r="AI391" s="87">
        <f>IF(AND(ISNUMBER($AG391),$AG391&gt;=1,$AG391&lt;=6,$M391&lt;&gt;"Rejected",$M391&lt;&gt;"Withdrawn"),(10-$AG391)*100000+IF(ISNUMBER($C391),$C391,0)+ROW()/10000,"")</f>
        <v/>
      </c>
    </row>
    <row r="392">
      <c r="A392" s="80" t="n"/>
      <c r="B392" s="81" t="n"/>
      <c r="C392" s="81" t="n"/>
      <c r="D392" s="82" t="n"/>
      <c r="E392" s="82" t="n"/>
      <c r="F392" s="82" t="n"/>
      <c r="G392" s="82" t="n"/>
      <c r="H392" s="82" t="n"/>
      <c r="I392" s="83" t="n"/>
      <c r="J392" s="82" t="n"/>
      <c r="K392" s="84" t="n"/>
      <c r="L392" s="85" t="n"/>
      <c r="M392" s="82" t="n"/>
      <c r="N392" s="86" t="n"/>
      <c r="O392" s="81" t="n"/>
      <c r="P392" s="82" t="n"/>
      <c r="Q392" s="83" t="n"/>
      <c r="R392" s="82" t="n"/>
      <c r="S392" s="84" t="n"/>
      <c r="T392" s="84" t="n"/>
      <c r="U392" s="82" t="n"/>
      <c r="V392" s="86" t="n"/>
      <c r="W392" s="86" t="n"/>
      <c r="X392" s="86" t="n"/>
      <c r="Y392" s="81" t="n"/>
      <c r="Z392" s="82" t="n"/>
      <c r="AA392" s="81" t="n"/>
      <c r="AB392" s="82" t="n"/>
      <c r="AC392" s="87">
        <f>IF(OR($D392="",$M392="Rejected",$M392="Withdrawn",$M392="Accepted"),"",IF(ISNUMBER($O392),IF(INT($O392)&lt;TODAY(),"FOLLOW UP REQUIRED",IF(INT($O392)=TODAY(),"ACTION DUE TODAY",IF(INT($O392)-TODAY()&lt;=Set_DueSoonDays,"DUE SOON",""))),IF(AND($M392="Applied",$AA392=""),IF(ISNUMBER($C392),IF(TODAY()-$C392&gt;=Set_FollowUpDays,"NO RESPONSE",""),""),"")))</f>
        <v/>
      </c>
      <c r="AD392" s="87">
        <f>IF(ISNUMBER($L392),IF($L392&gt;=90,"Excellent Match",IF($L392&gt;=75,"Strong Match",IF($L392&gt;=60,"Moderate Match","Low Match"))),"")</f>
        <v/>
      </c>
      <c r="AE392" s="87">
        <f>IF($D392="","",IF(OR($M392="Rejected",$M392="Withdrawn"),IF($AB392&lt;&gt;"",$AB392,IF(OR($M392="Rejected",ISNUMBER($C392)),"Applied","Wishlist")),IF($M392="",IF(ISNUMBER($C392),"Applied","Wishlist"),$M392)))</f>
        <v/>
      </c>
      <c r="AF392" s="88">
        <f>IF(AND(ISNUMBER($C392),ISNUMBER($AA392)),$AA392-$C392,"")</f>
        <v/>
      </c>
      <c r="AG392" s="87">
        <f>IF($AE392="","",IFERROR(MATCH($AE392,{"Wishlist","Applied","Screening","Interview 1","Interview 2","Final","Offer","Accepted"},0)-1,""))</f>
        <v/>
      </c>
      <c r="AH392" s="87">
        <f>IF($AC392="","",MATCH($AC392,{"FOLLOW UP REQUIRED","ACTION DUE TODAY","NO RESPONSE","DUE SOON"},0)*100000+IF(ISNUMBER($O392),$O392,IF(ISNUMBER($C392),$C392,0))+ROW()/10000)</f>
        <v/>
      </c>
      <c r="AI392" s="87">
        <f>IF(AND(ISNUMBER($AG392),$AG392&gt;=1,$AG392&lt;=6,$M392&lt;&gt;"Rejected",$M392&lt;&gt;"Withdrawn"),(10-$AG392)*100000+IF(ISNUMBER($C392),$C392,0)+ROW()/10000,"")</f>
        <v/>
      </c>
    </row>
    <row r="393">
      <c r="A393" s="80" t="n"/>
      <c r="B393" s="81" t="n"/>
      <c r="C393" s="81" t="n"/>
      <c r="D393" s="82" t="n"/>
      <c r="E393" s="82" t="n"/>
      <c r="F393" s="82" t="n"/>
      <c r="G393" s="82" t="n"/>
      <c r="H393" s="82" t="n"/>
      <c r="I393" s="83" t="n"/>
      <c r="J393" s="82" t="n"/>
      <c r="K393" s="84" t="n"/>
      <c r="L393" s="85" t="n"/>
      <c r="M393" s="82" t="n"/>
      <c r="N393" s="86" t="n"/>
      <c r="O393" s="81" t="n"/>
      <c r="P393" s="82" t="n"/>
      <c r="Q393" s="83" t="n"/>
      <c r="R393" s="82" t="n"/>
      <c r="S393" s="84" t="n"/>
      <c r="T393" s="84" t="n"/>
      <c r="U393" s="82" t="n"/>
      <c r="V393" s="86" t="n"/>
      <c r="W393" s="86" t="n"/>
      <c r="X393" s="86" t="n"/>
      <c r="Y393" s="81" t="n"/>
      <c r="Z393" s="82" t="n"/>
      <c r="AA393" s="81" t="n"/>
      <c r="AB393" s="82" t="n"/>
      <c r="AC393" s="87">
        <f>IF(OR($D393="",$M393="Rejected",$M393="Withdrawn",$M393="Accepted"),"",IF(ISNUMBER($O393),IF(INT($O393)&lt;TODAY(),"FOLLOW UP REQUIRED",IF(INT($O393)=TODAY(),"ACTION DUE TODAY",IF(INT($O393)-TODAY()&lt;=Set_DueSoonDays,"DUE SOON",""))),IF(AND($M393="Applied",$AA393=""),IF(ISNUMBER($C393),IF(TODAY()-$C393&gt;=Set_FollowUpDays,"NO RESPONSE",""),""),"")))</f>
        <v/>
      </c>
      <c r="AD393" s="87">
        <f>IF(ISNUMBER($L393),IF($L393&gt;=90,"Excellent Match",IF($L393&gt;=75,"Strong Match",IF($L393&gt;=60,"Moderate Match","Low Match"))),"")</f>
        <v/>
      </c>
      <c r="AE393" s="87">
        <f>IF($D393="","",IF(OR($M393="Rejected",$M393="Withdrawn"),IF($AB393&lt;&gt;"",$AB393,IF(OR($M393="Rejected",ISNUMBER($C393)),"Applied","Wishlist")),IF($M393="",IF(ISNUMBER($C393),"Applied","Wishlist"),$M393)))</f>
        <v/>
      </c>
      <c r="AF393" s="88">
        <f>IF(AND(ISNUMBER($C393),ISNUMBER($AA393)),$AA393-$C393,"")</f>
        <v/>
      </c>
      <c r="AG393" s="87">
        <f>IF($AE393="","",IFERROR(MATCH($AE393,{"Wishlist","Applied","Screening","Interview 1","Interview 2","Final","Offer","Accepted"},0)-1,""))</f>
        <v/>
      </c>
      <c r="AH393" s="87">
        <f>IF($AC393="","",MATCH($AC393,{"FOLLOW UP REQUIRED","ACTION DUE TODAY","NO RESPONSE","DUE SOON"},0)*100000+IF(ISNUMBER($O393),$O393,IF(ISNUMBER($C393),$C393,0))+ROW()/10000)</f>
        <v/>
      </c>
      <c r="AI393" s="87">
        <f>IF(AND(ISNUMBER($AG393),$AG393&gt;=1,$AG393&lt;=6,$M393&lt;&gt;"Rejected",$M393&lt;&gt;"Withdrawn"),(10-$AG393)*100000+IF(ISNUMBER($C393),$C393,0)+ROW()/10000,"")</f>
        <v/>
      </c>
    </row>
    <row r="394">
      <c r="A394" s="80" t="n"/>
      <c r="B394" s="81" t="n"/>
      <c r="C394" s="81" t="n"/>
      <c r="D394" s="82" t="n"/>
      <c r="E394" s="82" t="n"/>
      <c r="F394" s="82" t="n"/>
      <c r="G394" s="82" t="n"/>
      <c r="H394" s="82" t="n"/>
      <c r="I394" s="83" t="n"/>
      <c r="J394" s="82" t="n"/>
      <c r="K394" s="84" t="n"/>
      <c r="L394" s="85" t="n"/>
      <c r="M394" s="82" t="n"/>
      <c r="N394" s="86" t="n"/>
      <c r="O394" s="81" t="n"/>
      <c r="P394" s="82" t="n"/>
      <c r="Q394" s="83" t="n"/>
      <c r="R394" s="82" t="n"/>
      <c r="S394" s="84" t="n"/>
      <c r="T394" s="84" t="n"/>
      <c r="U394" s="82" t="n"/>
      <c r="V394" s="86" t="n"/>
      <c r="W394" s="86" t="n"/>
      <c r="X394" s="86" t="n"/>
      <c r="Y394" s="81" t="n"/>
      <c r="Z394" s="82" t="n"/>
      <c r="AA394" s="81" t="n"/>
      <c r="AB394" s="82" t="n"/>
      <c r="AC394" s="87">
        <f>IF(OR($D394="",$M394="Rejected",$M394="Withdrawn",$M394="Accepted"),"",IF(ISNUMBER($O394),IF(INT($O394)&lt;TODAY(),"FOLLOW UP REQUIRED",IF(INT($O394)=TODAY(),"ACTION DUE TODAY",IF(INT($O394)-TODAY()&lt;=Set_DueSoonDays,"DUE SOON",""))),IF(AND($M394="Applied",$AA394=""),IF(ISNUMBER($C394),IF(TODAY()-$C394&gt;=Set_FollowUpDays,"NO RESPONSE",""),""),"")))</f>
        <v/>
      </c>
      <c r="AD394" s="87">
        <f>IF(ISNUMBER($L394),IF($L394&gt;=90,"Excellent Match",IF($L394&gt;=75,"Strong Match",IF($L394&gt;=60,"Moderate Match","Low Match"))),"")</f>
        <v/>
      </c>
      <c r="AE394" s="87">
        <f>IF($D394="","",IF(OR($M394="Rejected",$M394="Withdrawn"),IF($AB394&lt;&gt;"",$AB394,IF(OR($M394="Rejected",ISNUMBER($C394)),"Applied","Wishlist")),IF($M394="",IF(ISNUMBER($C394),"Applied","Wishlist"),$M394)))</f>
        <v/>
      </c>
      <c r="AF394" s="88">
        <f>IF(AND(ISNUMBER($C394),ISNUMBER($AA394)),$AA394-$C394,"")</f>
        <v/>
      </c>
      <c r="AG394" s="87">
        <f>IF($AE394="","",IFERROR(MATCH($AE394,{"Wishlist","Applied","Screening","Interview 1","Interview 2","Final","Offer","Accepted"},0)-1,""))</f>
        <v/>
      </c>
      <c r="AH394" s="87">
        <f>IF($AC394="","",MATCH($AC394,{"FOLLOW UP REQUIRED","ACTION DUE TODAY","NO RESPONSE","DUE SOON"},0)*100000+IF(ISNUMBER($O394),$O394,IF(ISNUMBER($C394),$C394,0))+ROW()/10000)</f>
        <v/>
      </c>
      <c r="AI394" s="87">
        <f>IF(AND(ISNUMBER($AG394),$AG394&gt;=1,$AG394&lt;=6,$M394&lt;&gt;"Rejected",$M394&lt;&gt;"Withdrawn"),(10-$AG394)*100000+IF(ISNUMBER($C394),$C394,0)+ROW()/10000,"")</f>
        <v/>
      </c>
    </row>
    <row r="395">
      <c r="A395" s="80" t="n"/>
      <c r="B395" s="81" t="n"/>
      <c r="C395" s="81" t="n"/>
      <c r="D395" s="82" t="n"/>
      <c r="E395" s="82" t="n"/>
      <c r="F395" s="82" t="n"/>
      <c r="G395" s="82" t="n"/>
      <c r="H395" s="82" t="n"/>
      <c r="I395" s="83" t="n"/>
      <c r="J395" s="82" t="n"/>
      <c r="K395" s="84" t="n"/>
      <c r="L395" s="85" t="n"/>
      <c r="M395" s="82" t="n"/>
      <c r="N395" s="86" t="n"/>
      <c r="O395" s="81" t="n"/>
      <c r="P395" s="82" t="n"/>
      <c r="Q395" s="83" t="n"/>
      <c r="R395" s="82" t="n"/>
      <c r="S395" s="84" t="n"/>
      <c r="T395" s="84" t="n"/>
      <c r="U395" s="82" t="n"/>
      <c r="V395" s="86" t="n"/>
      <c r="W395" s="86" t="n"/>
      <c r="X395" s="86" t="n"/>
      <c r="Y395" s="81" t="n"/>
      <c r="Z395" s="82" t="n"/>
      <c r="AA395" s="81" t="n"/>
      <c r="AB395" s="82" t="n"/>
      <c r="AC395" s="87">
        <f>IF(OR($D395="",$M395="Rejected",$M395="Withdrawn",$M395="Accepted"),"",IF(ISNUMBER($O395),IF(INT($O395)&lt;TODAY(),"FOLLOW UP REQUIRED",IF(INT($O395)=TODAY(),"ACTION DUE TODAY",IF(INT($O395)-TODAY()&lt;=Set_DueSoonDays,"DUE SOON",""))),IF(AND($M395="Applied",$AA395=""),IF(ISNUMBER($C395),IF(TODAY()-$C395&gt;=Set_FollowUpDays,"NO RESPONSE",""),""),"")))</f>
        <v/>
      </c>
      <c r="AD395" s="87">
        <f>IF(ISNUMBER($L395),IF($L395&gt;=90,"Excellent Match",IF($L395&gt;=75,"Strong Match",IF($L395&gt;=60,"Moderate Match","Low Match"))),"")</f>
        <v/>
      </c>
      <c r="AE395" s="87">
        <f>IF($D395="","",IF(OR($M395="Rejected",$M395="Withdrawn"),IF($AB395&lt;&gt;"",$AB395,IF(OR($M395="Rejected",ISNUMBER($C395)),"Applied","Wishlist")),IF($M395="",IF(ISNUMBER($C395),"Applied","Wishlist"),$M395)))</f>
        <v/>
      </c>
      <c r="AF395" s="88">
        <f>IF(AND(ISNUMBER($C395),ISNUMBER($AA395)),$AA395-$C395,"")</f>
        <v/>
      </c>
      <c r="AG395" s="87">
        <f>IF($AE395="","",IFERROR(MATCH($AE395,{"Wishlist","Applied","Screening","Interview 1","Interview 2","Final","Offer","Accepted"},0)-1,""))</f>
        <v/>
      </c>
      <c r="AH395" s="87">
        <f>IF($AC395="","",MATCH($AC395,{"FOLLOW UP REQUIRED","ACTION DUE TODAY","NO RESPONSE","DUE SOON"},0)*100000+IF(ISNUMBER($O395),$O395,IF(ISNUMBER($C395),$C395,0))+ROW()/10000)</f>
        <v/>
      </c>
      <c r="AI395" s="87">
        <f>IF(AND(ISNUMBER($AG395),$AG395&gt;=1,$AG395&lt;=6,$M395&lt;&gt;"Rejected",$M395&lt;&gt;"Withdrawn"),(10-$AG395)*100000+IF(ISNUMBER($C395),$C395,0)+ROW()/10000,"")</f>
        <v/>
      </c>
    </row>
    <row r="396">
      <c r="A396" s="80" t="n"/>
      <c r="B396" s="81" t="n"/>
      <c r="C396" s="81" t="n"/>
      <c r="D396" s="82" t="n"/>
      <c r="E396" s="82" t="n"/>
      <c r="F396" s="82" t="n"/>
      <c r="G396" s="82" t="n"/>
      <c r="H396" s="82" t="n"/>
      <c r="I396" s="83" t="n"/>
      <c r="J396" s="82" t="n"/>
      <c r="K396" s="84" t="n"/>
      <c r="L396" s="85" t="n"/>
      <c r="M396" s="82" t="n"/>
      <c r="N396" s="86" t="n"/>
      <c r="O396" s="81" t="n"/>
      <c r="P396" s="82" t="n"/>
      <c r="Q396" s="83" t="n"/>
      <c r="R396" s="82" t="n"/>
      <c r="S396" s="84" t="n"/>
      <c r="T396" s="84" t="n"/>
      <c r="U396" s="82" t="n"/>
      <c r="V396" s="86" t="n"/>
      <c r="W396" s="86" t="n"/>
      <c r="X396" s="86" t="n"/>
      <c r="Y396" s="81" t="n"/>
      <c r="Z396" s="82" t="n"/>
      <c r="AA396" s="81" t="n"/>
      <c r="AB396" s="82" t="n"/>
      <c r="AC396" s="87">
        <f>IF(OR($D396="",$M396="Rejected",$M396="Withdrawn",$M396="Accepted"),"",IF(ISNUMBER($O396),IF(INT($O396)&lt;TODAY(),"FOLLOW UP REQUIRED",IF(INT($O396)=TODAY(),"ACTION DUE TODAY",IF(INT($O396)-TODAY()&lt;=Set_DueSoonDays,"DUE SOON",""))),IF(AND($M396="Applied",$AA396=""),IF(ISNUMBER($C396),IF(TODAY()-$C396&gt;=Set_FollowUpDays,"NO RESPONSE",""),""),"")))</f>
        <v/>
      </c>
      <c r="AD396" s="87">
        <f>IF(ISNUMBER($L396),IF($L396&gt;=90,"Excellent Match",IF($L396&gt;=75,"Strong Match",IF($L396&gt;=60,"Moderate Match","Low Match"))),"")</f>
        <v/>
      </c>
      <c r="AE396" s="87">
        <f>IF($D396="","",IF(OR($M396="Rejected",$M396="Withdrawn"),IF($AB396&lt;&gt;"",$AB396,IF(OR($M396="Rejected",ISNUMBER($C396)),"Applied","Wishlist")),IF($M396="",IF(ISNUMBER($C396),"Applied","Wishlist"),$M396)))</f>
        <v/>
      </c>
      <c r="AF396" s="88">
        <f>IF(AND(ISNUMBER($C396),ISNUMBER($AA396)),$AA396-$C396,"")</f>
        <v/>
      </c>
      <c r="AG396" s="87">
        <f>IF($AE396="","",IFERROR(MATCH($AE396,{"Wishlist","Applied","Screening","Interview 1","Interview 2","Final","Offer","Accepted"},0)-1,""))</f>
        <v/>
      </c>
      <c r="AH396" s="87">
        <f>IF($AC396="","",MATCH($AC396,{"FOLLOW UP REQUIRED","ACTION DUE TODAY","NO RESPONSE","DUE SOON"},0)*100000+IF(ISNUMBER($O396),$O396,IF(ISNUMBER($C396),$C396,0))+ROW()/10000)</f>
        <v/>
      </c>
      <c r="AI396" s="87">
        <f>IF(AND(ISNUMBER($AG396),$AG396&gt;=1,$AG396&lt;=6,$M396&lt;&gt;"Rejected",$M396&lt;&gt;"Withdrawn"),(10-$AG396)*100000+IF(ISNUMBER($C396),$C396,0)+ROW()/10000,"")</f>
        <v/>
      </c>
    </row>
    <row r="397">
      <c r="A397" s="80" t="n"/>
      <c r="B397" s="81" t="n"/>
      <c r="C397" s="81" t="n"/>
      <c r="D397" s="82" t="n"/>
      <c r="E397" s="82" t="n"/>
      <c r="F397" s="82" t="n"/>
      <c r="G397" s="82" t="n"/>
      <c r="H397" s="82" t="n"/>
      <c r="I397" s="83" t="n"/>
      <c r="J397" s="82" t="n"/>
      <c r="K397" s="84" t="n"/>
      <c r="L397" s="85" t="n"/>
      <c r="M397" s="82" t="n"/>
      <c r="N397" s="86" t="n"/>
      <c r="O397" s="81" t="n"/>
      <c r="P397" s="82" t="n"/>
      <c r="Q397" s="83" t="n"/>
      <c r="R397" s="82" t="n"/>
      <c r="S397" s="84" t="n"/>
      <c r="T397" s="84" t="n"/>
      <c r="U397" s="82" t="n"/>
      <c r="V397" s="86" t="n"/>
      <c r="W397" s="86" t="n"/>
      <c r="X397" s="86" t="n"/>
      <c r="Y397" s="81" t="n"/>
      <c r="Z397" s="82" t="n"/>
      <c r="AA397" s="81" t="n"/>
      <c r="AB397" s="82" t="n"/>
      <c r="AC397" s="87">
        <f>IF(OR($D397="",$M397="Rejected",$M397="Withdrawn",$M397="Accepted"),"",IF(ISNUMBER($O397),IF(INT($O397)&lt;TODAY(),"FOLLOW UP REQUIRED",IF(INT($O397)=TODAY(),"ACTION DUE TODAY",IF(INT($O397)-TODAY()&lt;=Set_DueSoonDays,"DUE SOON",""))),IF(AND($M397="Applied",$AA397=""),IF(ISNUMBER($C397),IF(TODAY()-$C397&gt;=Set_FollowUpDays,"NO RESPONSE",""),""),"")))</f>
        <v/>
      </c>
      <c r="AD397" s="87">
        <f>IF(ISNUMBER($L397),IF($L397&gt;=90,"Excellent Match",IF($L397&gt;=75,"Strong Match",IF($L397&gt;=60,"Moderate Match","Low Match"))),"")</f>
        <v/>
      </c>
      <c r="AE397" s="87">
        <f>IF($D397="","",IF(OR($M397="Rejected",$M397="Withdrawn"),IF($AB397&lt;&gt;"",$AB397,IF(OR($M397="Rejected",ISNUMBER($C397)),"Applied","Wishlist")),IF($M397="",IF(ISNUMBER($C397),"Applied","Wishlist"),$M397)))</f>
        <v/>
      </c>
      <c r="AF397" s="88">
        <f>IF(AND(ISNUMBER($C397),ISNUMBER($AA397)),$AA397-$C397,"")</f>
        <v/>
      </c>
      <c r="AG397" s="87">
        <f>IF($AE397="","",IFERROR(MATCH($AE397,{"Wishlist","Applied","Screening","Interview 1","Interview 2","Final","Offer","Accepted"},0)-1,""))</f>
        <v/>
      </c>
      <c r="AH397" s="87">
        <f>IF($AC397="","",MATCH($AC397,{"FOLLOW UP REQUIRED","ACTION DUE TODAY","NO RESPONSE","DUE SOON"},0)*100000+IF(ISNUMBER($O397),$O397,IF(ISNUMBER($C397),$C397,0))+ROW()/10000)</f>
        <v/>
      </c>
      <c r="AI397" s="87">
        <f>IF(AND(ISNUMBER($AG397),$AG397&gt;=1,$AG397&lt;=6,$M397&lt;&gt;"Rejected",$M397&lt;&gt;"Withdrawn"),(10-$AG397)*100000+IF(ISNUMBER($C397),$C397,0)+ROW()/10000,"")</f>
        <v/>
      </c>
    </row>
    <row r="398">
      <c r="A398" s="80" t="n"/>
      <c r="B398" s="81" t="n"/>
      <c r="C398" s="81" t="n"/>
      <c r="D398" s="82" t="n"/>
      <c r="E398" s="82" t="n"/>
      <c r="F398" s="82" t="n"/>
      <c r="G398" s="82" t="n"/>
      <c r="H398" s="82" t="n"/>
      <c r="I398" s="83" t="n"/>
      <c r="J398" s="82" t="n"/>
      <c r="K398" s="84" t="n"/>
      <c r="L398" s="85" t="n"/>
      <c r="M398" s="82" t="n"/>
      <c r="N398" s="86" t="n"/>
      <c r="O398" s="81" t="n"/>
      <c r="P398" s="82" t="n"/>
      <c r="Q398" s="83" t="n"/>
      <c r="R398" s="82" t="n"/>
      <c r="S398" s="84" t="n"/>
      <c r="T398" s="84" t="n"/>
      <c r="U398" s="82" t="n"/>
      <c r="V398" s="86" t="n"/>
      <c r="W398" s="86" t="n"/>
      <c r="X398" s="86" t="n"/>
      <c r="Y398" s="81" t="n"/>
      <c r="Z398" s="82" t="n"/>
      <c r="AA398" s="81" t="n"/>
      <c r="AB398" s="82" t="n"/>
      <c r="AC398" s="87">
        <f>IF(OR($D398="",$M398="Rejected",$M398="Withdrawn",$M398="Accepted"),"",IF(ISNUMBER($O398),IF(INT($O398)&lt;TODAY(),"FOLLOW UP REQUIRED",IF(INT($O398)=TODAY(),"ACTION DUE TODAY",IF(INT($O398)-TODAY()&lt;=Set_DueSoonDays,"DUE SOON",""))),IF(AND($M398="Applied",$AA398=""),IF(ISNUMBER($C398),IF(TODAY()-$C398&gt;=Set_FollowUpDays,"NO RESPONSE",""),""),"")))</f>
        <v/>
      </c>
      <c r="AD398" s="87">
        <f>IF(ISNUMBER($L398),IF($L398&gt;=90,"Excellent Match",IF($L398&gt;=75,"Strong Match",IF($L398&gt;=60,"Moderate Match","Low Match"))),"")</f>
        <v/>
      </c>
      <c r="AE398" s="87">
        <f>IF($D398="","",IF(OR($M398="Rejected",$M398="Withdrawn"),IF($AB398&lt;&gt;"",$AB398,IF(OR($M398="Rejected",ISNUMBER($C398)),"Applied","Wishlist")),IF($M398="",IF(ISNUMBER($C398),"Applied","Wishlist"),$M398)))</f>
        <v/>
      </c>
      <c r="AF398" s="88">
        <f>IF(AND(ISNUMBER($C398),ISNUMBER($AA398)),$AA398-$C398,"")</f>
        <v/>
      </c>
      <c r="AG398" s="87">
        <f>IF($AE398="","",IFERROR(MATCH($AE398,{"Wishlist","Applied","Screening","Interview 1","Interview 2","Final","Offer","Accepted"},0)-1,""))</f>
        <v/>
      </c>
      <c r="AH398" s="87">
        <f>IF($AC398="","",MATCH($AC398,{"FOLLOW UP REQUIRED","ACTION DUE TODAY","NO RESPONSE","DUE SOON"},0)*100000+IF(ISNUMBER($O398),$O398,IF(ISNUMBER($C398),$C398,0))+ROW()/10000)</f>
        <v/>
      </c>
      <c r="AI398" s="87">
        <f>IF(AND(ISNUMBER($AG398),$AG398&gt;=1,$AG398&lt;=6,$M398&lt;&gt;"Rejected",$M398&lt;&gt;"Withdrawn"),(10-$AG398)*100000+IF(ISNUMBER($C398),$C398,0)+ROW()/10000,"")</f>
        <v/>
      </c>
    </row>
    <row r="399">
      <c r="A399" s="80" t="n"/>
      <c r="B399" s="81" t="n"/>
      <c r="C399" s="81" t="n"/>
      <c r="D399" s="82" t="n"/>
      <c r="E399" s="82" t="n"/>
      <c r="F399" s="82" t="n"/>
      <c r="G399" s="82" t="n"/>
      <c r="H399" s="82" t="n"/>
      <c r="I399" s="83" t="n"/>
      <c r="J399" s="82" t="n"/>
      <c r="K399" s="84" t="n"/>
      <c r="L399" s="85" t="n"/>
      <c r="M399" s="82" t="n"/>
      <c r="N399" s="86" t="n"/>
      <c r="O399" s="81" t="n"/>
      <c r="P399" s="82" t="n"/>
      <c r="Q399" s="83" t="n"/>
      <c r="R399" s="82" t="n"/>
      <c r="S399" s="84" t="n"/>
      <c r="T399" s="84" t="n"/>
      <c r="U399" s="82" t="n"/>
      <c r="V399" s="86" t="n"/>
      <c r="W399" s="86" t="n"/>
      <c r="X399" s="86" t="n"/>
      <c r="Y399" s="81" t="n"/>
      <c r="Z399" s="82" t="n"/>
      <c r="AA399" s="81" t="n"/>
      <c r="AB399" s="82" t="n"/>
      <c r="AC399" s="87">
        <f>IF(OR($D399="",$M399="Rejected",$M399="Withdrawn",$M399="Accepted"),"",IF(ISNUMBER($O399),IF(INT($O399)&lt;TODAY(),"FOLLOW UP REQUIRED",IF(INT($O399)=TODAY(),"ACTION DUE TODAY",IF(INT($O399)-TODAY()&lt;=Set_DueSoonDays,"DUE SOON",""))),IF(AND($M399="Applied",$AA399=""),IF(ISNUMBER($C399),IF(TODAY()-$C399&gt;=Set_FollowUpDays,"NO RESPONSE",""),""),"")))</f>
        <v/>
      </c>
      <c r="AD399" s="87">
        <f>IF(ISNUMBER($L399),IF($L399&gt;=90,"Excellent Match",IF($L399&gt;=75,"Strong Match",IF($L399&gt;=60,"Moderate Match","Low Match"))),"")</f>
        <v/>
      </c>
      <c r="AE399" s="87">
        <f>IF($D399="","",IF(OR($M399="Rejected",$M399="Withdrawn"),IF($AB399&lt;&gt;"",$AB399,IF(OR($M399="Rejected",ISNUMBER($C399)),"Applied","Wishlist")),IF($M399="",IF(ISNUMBER($C399),"Applied","Wishlist"),$M399)))</f>
        <v/>
      </c>
      <c r="AF399" s="88">
        <f>IF(AND(ISNUMBER($C399),ISNUMBER($AA399)),$AA399-$C399,"")</f>
        <v/>
      </c>
      <c r="AG399" s="87">
        <f>IF($AE399="","",IFERROR(MATCH($AE399,{"Wishlist","Applied","Screening","Interview 1","Interview 2","Final","Offer","Accepted"},0)-1,""))</f>
        <v/>
      </c>
      <c r="AH399" s="87">
        <f>IF($AC399="","",MATCH($AC399,{"FOLLOW UP REQUIRED","ACTION DUE TODAY","NO RESPONSE","DUE SOON"},0)*100000+IF(ISNUMBER($O399),$O399,IF(ISNUMBER($C399),$C399,0))+ROW()/10000)</f>
        <v/>
      </c>
      <c r="AI399" s="87">
        <f>IF(AND(ISNUMBER($AG399),$AG399&gt;=1,$AG399&lt;=6,$M399&lt;&gt;"Rejected",$M399&lt;&gt;"Withdrawn"),(10-$AG399)*100000+IF(ISNUMBER($C399),$C399,0)+ROW()/10000,"")</f>
        <v/>
      </c>
    </row>
    <row r="400">
      <c r="A400" s="80" t="n"/>
      <c r="B400" s="81" t="n"/>
      <c r="C400" s="81" t="n"/>
      <c r="D400" s="82" t="n"/>
      <c r="E400" s="82" t="n"/>
      <c r="F400" s="82" t="n"/>
      <c r="G400" s="82" t="n"/>
      <c r="H400" s="82" t="n"/>
      <c r="I400" s="83" t="n"/>
      <c r="J400" s="82" t="n"/>
      <c r="K400" s="84" t="n"/>
      <c r="L400" s="85" t="n"/>
      <c r="M400" s="82" t="n"/>
      <c r="N400" s="86" t="n"/>
      <c r="O400" s="81" t="n"/>
      <c r="P400" s="82" t="n"/>
      <c r="Q400" s="83" t="n"/>
      <c r="R400" s="82" t="n"/>
      <c r="S400" s="84" t="n"/>
      <c r="T400" s="84" t="n"/>
      <c r="U400" s="82" t="n"/>
      <c r="V400" s="86" t="n"/>
      <c r="W400" s="86" t="n"/>
      <c r="X400" s="86" t="n"/>
      <c r="Y400" s="81" t="n"/>
      <c r="Z400" s="82" t="n"/>
      <c r="AA400" s="81" t="n"/>
      <c r="AB400" s="82" t="n"/>
      <c r="AC400" s="87">
        <f>IF(OR($D400="",$M400="Rejected",$M400="Withdrawn",$M400="Accepted"),"",IF(ISNUMBER($O400),IF(INT($O400)&lt;TODAY(),"FOLLOW UP REQUIRED",IF(INT($O400)=TODAY(),"ACTION DUE TODAY",IF(INT($O400)-TODAY()&lt;=Set_DueSoonDays,"DUE SOON",""))),IF(AND($M400="Applied",$AA400=""),IF(ISNUMBER($C400),IF(TODAY()-$C400&gt;=Set_FollowUpDays,"NO RESPONSE",""),""),"")))</f>
        <v/>
      </c>
      <c r="AD400" s="87">
        <f>IF(ISNUMBER($L400),IF($L400&gt;=90,"Excellent Match",IF($L400&gt;=75,"Strong Match",IF($L400&gt;=60,"Moderate Match","Low Match"))),"")</f>
        <v/>
      </c>
      <c r="AE400" s="87">
        <f>IF($D400="","",IF(OR($M400="Rejected",$M400="Withdrawn"),IF($AB400&lt;&gt;"",$AB400,IF(OR($M400="Rejected",ISNUMBER($C400)),"Applied","Wishlist")),IF($M400="",IF(ISNUMBER($C400),"Applied","Wishlist"),$M400)))</f>
        <v/>
      </c>
      <c r="AF400" s="88">
        <f>IF(AND(ISNUMBER($C400),ISNUMBER($AA400)),$AA400-$C400,"")</f>
        <v/>
      </c>
      <c r="AG400" s="87">
        <f>IF($AE400="","",IFERROR(MATCH($AE400,{"Wishlist","Applied","Screening","Interview 1","Interview 2","Final","Offer","Accepted"},0)-1,""))</f>
        <v/>
      </c>
      <c r="AH400" s="87">
        <f>IF($AC400="","",MATCH($AC400,{"FOLLOW UP REQUIRED","ACTION DUE TODAY","NO RESPONSE","DUE SOON"},0)*100000+IF(ISNUMBER($O400),$O400,IF(ISNUMBER($C400),$C400,0))+ROW()/10000)</f>
        <v/>
      </c>
      <c r="AI400" s="87">
        <f>IF(AND(ISNUMBER($AG400),$AG400&gt;=1,$AG400&lt;=6,$M400&lt;&gt;"Rejected",$M400&lt;&gt;"Withdrawn"),(10-$AG400)*100000+IF(ISNUMBER($C400),$C400,0)+ROW()/10000,"")</f>
        <v/>
      </c>
    </row>
    <row r="401">
      <c r="A401" s="80" t="n"/>
      <c r="B401" s="81" t="n"/>
      <c r="C401" s="81" t="n"/>
      <c r="D401" s="82" t="n"/>
      <c r="E401" s="82" t="n"/>
      <c r="F401" s="82" t="n"/>
      <c r="G401" s="82" t="n"/>
      <c r="H401" s="82" t="n"/>
      <c r="I401" s="83" t="n"/>
      <c r="J401" s="82" t="n"/>
      <c r="K401" s="84" t="n"/>
      <c r="L401" s="85" t="n"/>
      <c r="M401" s="82" t="n"/>
      <c r="N401" s="86" t="n"/>
      <c r="O401" s="81" t="n"/>
      <c r="P401" s="82" t="n"/>
      <c r="Q401" s="83" t="n"/>
      <c r="R401" s="82" t="n"/>
      <c r="S401" s="84" t="n"/>
      <c r="T401" s="84" t="n"/>
      <c r="U401" s="82" t="n"/>
      <c r="V401" s="86" t="n"/>
      <c r="W401" s="86" t="n"/>
      <c r="X401" s="86" t="n"/>
      <c r="Y401" s="81" t="n"/>
      <c r="Z401" s="82" t="n"/>
      <c r="AA401" s="81" t="n"/>
      <c r="AB401" s="82" t="n"/>
      <c r="AC401" s="87">
        <f>IF(OR($D401="",$M401="Rejected",$M401="Withdrawn",$M401="Accepted"),"",IF(ISNUMBER($O401),IF(INT($O401)&lt;TODAY(),"FOLLOW UP REQUIRED",IF(INT($O401)=TODAY(),"ACTION DUE TODAY",IF(INT($O401)-TODAY()&lt;=Set_DueSoonDays,"DUE SOON",""))),IF(AND($M401="Applied",$AA401=""),IF(ISNUMBER($C401),IF(TODAY()-$C401&gt;=Set_FollowUpDays,"NO RESPONSE",""),""),"")))</f>
        <v/>
      </c>
      <c r="AD401" s="87">
        <f>IF(ISNUMBER($L401),IF($L401&gt;=90,"Excellent Match",IF($L401&gt;=75,"Strong Match",IF($L401&gt;=60,"Moderate Match","Low Match"))),"")</f>
        <v/>
      </c>
      <c r="AE401" s="87">
        <f>IF($D401="","",IF(OR($M401="Rejected",$M401="Withdrawn"),IF($AB401&lt;&gt;"",$AB401,IF(OR($M401="Rejected",ISNUMBER($C401)),"Applied","Wishlist")),IF($M401="",IF(ISNUMBER($C401),"Applied","Wishlist"),$M401)))</f>
        <v/>
      </c>
      <c r="AF401" s="88">
        <f>IF(AND(ISNUMBER($C401),ISNUMBER($AA401)),$AA401-$C401,"")</f>
        <v/>
      </c>
      <c r="AG401" s="87">
        <f>IF($AE401="","",IFERROR(MATCH($AE401,{"Wishlist","Applied","Screening","Interview 1","Interview 2","Final","Offer","Accepted"},0)-1,""))</f>
        <v/>
      </c>
      <c r="AH401" s="87">
        <f>IF($AC401="","",MATCH($AC401,{"FOLLOW UP REQUIRED","ACTION DUE TODAY","NO RESPONSE","DUE SOON"},0)*100000+IF(ISNUMBER($O401),$O401,IF(ISNUMBER($C401),$C401,0))+ROW()/10000)</f>
        <v/>
      </c>
      <c r="AI401" s="87">
        <f>IF(AND(ISNUMBER($AG401),$AG401&gt;=1,$AG401&lt;=6,$M401&lt;&gt;"Rejected",$M401&lt;&gt;"Withdrawn"),(10-$AG401)*100000+IF(ISNUMBER($C401),$C401,0)+ROW()/10000,"")</f>
        <v/>
      </c>
    </row>
    <row r="402">
      <c r="A402" s="80" t="n"/>
      <c r="B402" s="81" t="n"/>
      <c r="C402" s="81" t="n"/>
      <c r="D402" s="82" t="n"/>
      <c r="E402" s="82" t="n"/>
      <c r="F402" s="82" t="n"/>
      <c r="G402" s="82" t="n"/>
      <c r="H402" s="82" t="n"/>
      <c r="I402" s="83" t="n"/>
      <c r="J402" s="82" t="n"/>
      <c r="K402" s="84" t="n"/>
      <c r="L402" s="85" t="n"/>
      <c r="M402" s="82" t="n"/>
      <c r="N402" s="86" t="n"/>
      <c r="O402" s="81" t="n"/>
      <c r="P402" s="82" t="n"/>
      <c r="Q402" s="83" t="n"/>
      <c r="R402" s="82" t="n"/>
      <c r="S402" s="84" t="n"/>
      <c r="T402" s="84" t="n"/>
      <c r="U402" s="82" t="n"/>
      <c r="V402" s="86" t="n"/>
      <c r="W402" s="86" t="n"/>
      <c r="X402" s="86" t="n"/>
      <c r="Y402" s="81" t="n"/>
      <c r="Z402" s="82" t="n"/>
      <c r="AA402" s="81" t="n"/>
      <c r="AB402" s="82" t="n"/>
      <c r="AC402" s="87">
        <f>IF(OR($D402="",$M402="Rejected",$M402="Withdrawn",$M402="Accepted"),"",IF(ISNUMBER($O402),IF(INT($O402)&lt;TODAY(),"FOLLOW UP REQUIRED",IF(INT($O402)=TODAY(),"ACTION DUE TODAY",IF(INT($O402)-TODAY()&lt;=Set_DueSoonDays,"DUE SOON",""))),IF(AND($M402="Applied",$AA402=""),IF(ISNUMBER($C402),IF(TODAY()-$C402&gt;=Set_FollowUpDays,"NO RESPONSE",""),""),"")))</f>
        <v/>
      </c>
      <c r="AD402" s="87">
        <f>IF(ISNUMBER($L402),IF($L402&gt;=90,"Excellent Match",IF($L402&gt;=75,"Strong Match",IF($L402&gt;=60,"Moderate Match","Low Match"))),"")</f>
        <v/>
      </c>
      <c r="AE402" s="87">
        <f>IF($D402="","",IF(OR($M402="Rejected",$M402="Withdrawn"),IF($AB402&lt;&gt;"",$AB402,IF(OR($M402="Rejected",ISNUMBER($C402)),"Applied","Wishlist")),IF($M402="",IF(ISNUMBER($C402),"Applied","Wishlist"),$M402)))</f>
        <v/>
      </c>
      <c r="AF402" s="88">
        <f>IF(AND(ISNUMBER($C402),ISNUMBER($AA402)),$AA402-$C402,"")</f>
        <v/>
      </c>
      <c r="AG402" s="87">
        <f>IF($AE402="","",IFERROR(MATCH($AE402,{"Wishlist","Applied","Screening","Interview 1","Interview 2","Final","Offer","Accepted"},0)-1,""))</f>
        <v/>
      </c>
      <c r="AH402" s="87">
        <f>IF($AC402="","",MATCH($AC402,{"FOLLOW UP REQUIRED","ACTION DUE TODAY","NO RESPONSE","DUE SOON"},0)*100000+IF(ISNUMBER($O402),$O402,IF(ISNUMBER($C402),$C402,0))+ROW()/10000)</f>
        <v/>
      </c>
      <c r="AI402" s="87">
        <f>IF(AND(ISNUMBER($AG402),$AG402&gt;=1,$AG402&lt;=6,$M402&lt;&gt;"Rejected",$M402&lt;&gt;"Withdrawn"),(10-$AG402)*100000+IF(ISNUMBER($C402),$C402,0)+ROW()/10000,"")</f>
        <v/>
      </c>
    </row>
    <row r="403">
      <c r="A403" s="80" t="n"/>
      <c r="B403" s="81" t="n"/>
      <c r="C403" s="81" t="n"/>
      <c r="D403" s="82" t="n"/>
      <c r="E403" s="82" t="n"/>
      <c r="F403" s="82" t="n"/>
      <c r="G403" s="82" t="n"/>
      <c r="H403" s="82" t="n"/>
      <c r="I403" s="83" t="n"/>
      <c r="J403" s="82" t="n"/>
      <c r="K403" s="84" t="n"/>
      <c r="L403" s="85" t="n"/>
      <c r="M403" s="82" t="n"/>
      <c r="N403" s="86" t="n"/>
      <c r="O403" s="81" t="n"/>
      <c r="P403" s="82" t="n"/>
      <c r="Q403" s="83" t="n"/>
      <c r="R403" s="82" t="n"/>
      <c r="S403" s="84" t="n"/>
      <c r="T403" s="84" t="n"/>
      <c r="U403" s="82" t="n"/>
      <c r="V403" s="86" t="n"/>
      <c r="W403" s="86" t="n"/>
      <c r="X403" s="86" t="n"/>
      <c r="Y403" s="81" t="n"/>
      <c r="Z403" s="82" t="n"/>
      <c r="AA403" s="81" t="n"/>
      <c r="AB403" s="82" t="n"/>
      <c r="AC403" s="87">
        <f>IF(OR($D403="",$M403="Rejected",$M403="Withdrawn",$M403="Accepted"),"",IF(ISNUMBER($O403),IF(INT($O403)&lt;TODAY(),"FOLLOW UP REQUIRED",IF(INT($O403)=TODAY(),"ACTION DUE TODAY",IF(INT($O403)-TODAY()&lt;=Set_DueSoonDays,"DUE SOON",""))),IF(AND($M403="Applied",$AA403=""),IF(ISNUMBER($C403),IF(TODAY()-$C403&gt;=Set_FollowUpDays,"NO RESPONSE",""),""),"")))</f>
        <v/>
      </c>
      <c r="AD403" s="87">
        <f>IF(ISNUMBER($L403),IF($L403&gt;=90,"Excellent Match",IF($L403&gt;=75,"Strong Match",IF($L403&gt;=60,"Moderate Match","Low Match"))),"")</f>
        <v/>
      </c>
      <c r="AE403" s="87">
        <f>IF($D403="","",IF(OR($M403="Rejected",$M403="Withdrawn"),IF($AB403&lt;&gt;"",$AB403,IF(OR($M403="Rejected",ISNUMBER($C403)),"Applied","Wishlist")),IF($M403="",IF(ISNUMBER($C403),"Applied","Wishlist"),$M403)))</f>
        <v/>
      </c>
      <c r="AF403" s="88">
        <f>IF(AND(ISNUMBER($C403),ISNUMBER($AA403)),$AA403-$C403,"")</f>
        <v/>
      </c>
      <c r="AG403" s="87">
        <f>IF($AE403="","",IFERROR(MATCH($AE403,{"Wishlist","Applied","Screening","Interview 1","Interview 2","Final","Offer","Accepted"},0)-1,""))</f>
        <v/>
      </c>
      <c r="AH403" s="87">
        <f>IF($AC403="","",MATCH($AC403,{"FOLLOW UP REQUIRED","ACTION DUE TODAY","NO RESPONSE","DUE SOON"},0)*100000+IF(ISNUMBER($O403),$O403,IF(ISNUMBER($C403),$C403,0))+ROW()/10000)</f>
        <v/>
      </c>
      <c r="AI403" s="87">
        <f>IF(AND(ISNUMBER($AG403),$AG403&gt;=1,$AG403&lt;=6,$M403&lt;&gt;"Rejected",$M403&lt;&gt;"Withdrawn"),(10-$AG403)*100000+IF(ISNUMBER($C403),$C403,0)+ROW()/10000,"")</f>
        <v/>
      </c>
    </row>
    <row r="404">
      <c r="A404" s="80" t="n"/>
      <c r="B404" s="81" t="n"/>
      <c r="C404" s="81" t="n"/>
      <c r="D404" s="82" t="n"/>
      <c r="E404" s="82" t="n"/>
      <c r="F404" s="82" t="n"/>
      <c r="G404" s="82" t="n"/>
      <c r="H404" s="82" t="n"/>
      <c r="I404" s="83" t="n"/>
      <c r="J404" s="82" t="n"/>
      <c r="K404" s="84" t="n"/>
      <c r="L404" s="85" t="n"/>
      <c r="M404" s="82" t="n"/>
      <c r="N404" s="86" t="n"/>
      <c r="O404" s="81" t="n"/>
      <c r="P404" s="82" t="n"/>
      <c r="Q404" s="83" t="n"/>
      <c r="R404" s="82" t="n"/>
      <c r="S404" s="84" t="n"/>
      <c r="T404" s="84" t="n"/>
      <c r="U404" s="82" t="n"/>
      <c r="V404" s="86" t="n"/>
      <c r="W404" s="86" t="n"/>
      <c r="X404" s="86" t="n"/>
      <c r="Y404" s="81" t="n"/>
      <c r="Z404" s="82" t="n"/>
      <c r="AA404" s="81" t="n"/>
      <c r="AB404" s="82" t="n"/>
      <c r="AC404" s="87">
        <f>IF(OR($D404="",$M404="Rejected",$M404="Withdrawn",$M404="Accepted"),"",IF(ISNUMBER($O404),IF(INT($O404)&lt;TODAY(),"FOLLOW UP REQUIRED",IF(INT($O404)=TODAY(),"ACTION DUE TODAY",IF(INT($O404)-TODAY()&lt;=Set_DueSoonDays,"DUE SOON",""))),IF(AND($M404="Applied",$AA404=""),IF(ISNUMBER($C404),IF(TODAY()-$C404&gt;=Set_FollowUpDays,"NO RESPONSE",""),""),"")))</f>
        <v/>
      </c>
      <c r="AD404" s="87">
        <f>IF(ISNUMBER($L404),IF($L404&gt;=90,"Excellent Match",IF($L404&gt;=75,"Strong Match",IF($L404&gt;=60,"Moderate Match","Low Match"))),"")</f>
        <v/>
      </c>
      <c r="AE404" s="87">
        <f>IF($D404="","",IF(OR($M404="Rejected",$M404="Withdrawn"),IF($AB404&lt;&gt;"",$AB404,IF(OR($M404="Rejected",ISNUMBER($C404)),"Applied","Wishlist")),IF($M404="",IF(ISNUMBER($C404),"Applied","Wishlist"),$M404)))</f>
        <v/>
      </c>
      <c r="AF404" s="88">
        <f>IF(AND(ISNUMBER($C404),ISNUMBER($AA404)),$AA404-$C404,"")</f>
        <v/>
      </c>
      <c r="AG404" s="87">
        <f>IF($AE404="","",IFERROR(MATCH($AE404,{"Wishlist","Applied","Screening","Interview 1","Interview 2","Final","Offer","Accepted"},0)-1,""))</f>
        <v/>
      </c>
      <c r="AH404" s="87">
        <f>IF($AC404="","",MATCH($AC404,{"FOLLOW UP REQUIRED","ACTION DUE TODAY","NO RESPONSE","DUE SOON"},0)*100000+IF(ISNUMBER($O404),$O404,IF(ISNUMBER($C404),$C404,0))+ROW()/10000)</f>
        <v/>
      </c>
      <c r="AI404" s="87">
        <f>IF(AND(ISNUMBER($AG404),$AG404&gt;=1,$AG404&lt;=6,$M404&lt;&gt;"Rejected",$M404&lt;&gt;"Withdrawn"),(10-$AG404)*100000+IF(ISNUMBER($C404),$C404,0)+ROW()/10000,"")</f>
        <v/>
      </c>
    </row>
    <row r="405">
      <c r="A405" s="80" t="n"/>
      <c r="B405" s="81" t="n"/>
      <c r="C405" s="81" t="n"/>
      <c r="D405" s="82" t="n"/>
      <c r="E405" s="82" t="n"/>
      <c r="F405" s="82" t="n"/>
      <c r="G405" s="82" t="n"/>
      <c r="H405" s="82" t="n"/>
      <c r="I405" s="83" t="n"/>
      <c r="J405" s="82" t="n"/>
      <c r="K405" s="84" t="n"/>
      <c r="L405" s="85" t="n"/>
      <c r="M405" s="82" t="n"/>
      <c r="N405" s="86" t="n"/>
      <c r="O405" s="81" t="n"/>
      <c r="P405" s="82" t="n"/>
      <c r="Q405" s="83" t="n"/>
      <c r="R405" s="82" t="n"/>
      <c r="S405" s="84" t="n"/>
      <c r="T405" s="84" t="n"/>
      <c r="U405" s="82" t="n"/>
      <c r="V405" s="86" t="n"/>
      <c r="W405" s="86" t="n"/>
      <c r="X405" s="86" t="n"/>
      <c r="Y405" s="81" t="n"/>
      <c r="Z405" s="82" t="n"/>
      <c r="AA405" s="81" t="n"/>
      <c r="AB405" s="82" t="n"/>
      <c r="AC405" s="87">
        <f>IF(OR($D405="",$M405="Rejected",$M405="Withdrawn",$M405="Accepted"),"",IF(ISNUMBER($O405),IF(INT($O405)&lt;TODAY(),"FOLLOW UP REQUIRED",IF(INT($O405)=TODAY(),"ACTION DUE TODAY",IF(INT($O405)-TODAY()&lt;=Set_DueSoonDays,"DUE SOON",""))),IF(AND($M405="Applied",$AA405=""),IF(ISNUMBER($C405),IF(TODAY()-$C405&gt;=Set_FollowUpDays,"NO RESPONSE",""),""),"")))</f>
        <v/>
      </c>
      <c r="AD405" s="87">
        <f>IF(ISNUMBER($L405),IF($L405&gt;=90,"Excellent Match",IF($L405&gt;=75,"Strong Match",IF($L405&gt;=60,"Moderate Match","Low Match"))),"")</f>
        <v/>
      </c>
      <c r="AE405" s="87">
        <f>IF($D405="","",IF(OR($M405="Rejected",$M405="Withdrawn"),IF($AB405&lt;&gt;"",$AB405,IF(OR($M405="Rejected",ISNUMBER($C405)),"Applied","Wishlist")),IF($M405="",IF(ISNUMBER($C405),"Applied","Wishlist"),$M405)))</f>
        <v/>
      </c>
      <c r="AF405" s="88">
        <f>IF(AND(ISNUMBER($C405),ISNUMBER($AA405)),$AA405-$C405,"")</f>
        <v/>
      </c>
      <c r="AG405" s="87">
        <f>IF($AE405="","",IFERROR(MATCH($AE405,{"Wishlist","Applied","Screening","Interview 1","Interview 2","Final","Offer","Accepted"},0)-1,""))</f>
        <v/>
      </c>
      <c r="AH405" s="87">
        <f>IF($AC405="","",MATCH($AC405,{"FOLLOW UP REQUIRED","ACTION DUE TODAY","NO RESPONSE","DUE SOON"},0)*100000+IF(ISNUMBER($O405),$O405,IF(ISNUMBER($C405),$C405,0))+ROW()/10000)</f>
        <v/>
      </c>
      <c r="AI405" s="87">
        <f>IF(AND(ISNUMBER($AG405),$AG405&gt;=1,$AG405&lt;=6,$M405&lt;&gt;"Rejected",$M405&lt;&gt;"Withdrawn"),(10-$AG405)*100000+IF(ISNUMBER($C405),$C405,0)+ROW()/10000,"")</f>
        <v/>
      </c>
    </row>
    <row r="406">
      <c r="A406" s="80" t="n"/>
      <c r="B406" s="81" t="n"/>
      <c r="C406" s="81" t="n"/>
      <c r="D406" s="82" t="n"/>
      <c r="E406" s="82" t="n"/>
      <c r="F406" s="82" t="n"/>
      <c r="G406" s="82" t="n"/>
      <c r="H406" s="82" t="n"/>
      <c r="I406" s="83" t="n"/>
      <c r="J406" s="82" t="n"/>
      <c r="K406" s="84" t="n"/>
      <c r="L406" s="85" t="n"/>
      <c r="M406" s="82" t="n"/>
      <c r="N406" s="86" t="n"/>
      <c r="O406" s="81" t="n"/>
      <c r="P406" s="82" t="n"/>
      <c r="Q406" s="83" t="n"/>
      <c r="R406" s="82" t="n"/>
      <c r="S406" s="84" t="n"/>
      <c r="T406" s="84" t="n"/>
      <c r="U406" s="82" t="n"/>
      <c r="V406" s="86" t="n"/>
      <c r="W406" s="86" t="n"/>
      <c r="X406" s="86" t="n"/>
      <c r="Y406" s="81" t="n"/>
      <c r="Z406" s="82" t="n"/>
      <c r="AA406" s="81" t="n"/>
      <c r="AB406" s="82" t="n"/>
      <c r="AC406" s="87">
        <f>IF(OR($D406="",$M406="Rejected",$M406="Withdrawn",$M406="Accepted"),"",IF(ISNUMBER($O406),IF(INT($O406)&lt;TODAY(),"FOLLOW UP REQUIRED",IF(INT($O406)=TODAY(),"ACTION DUE TODAY",IF(INT($O406)-TODAY()&lt;=Set_DueSoonDays,"DUE SOON",""))),IF(AND($M406="Applied",$AA406=""),IF(ISNUMBER($C406),IF(TODAY()-$C406&gt;=Set_FollowUpDays,"NO RESPONSE",""),""),"")))</f>
        <v/>
      </c>
      <c r="AD406" s="87">
        <f>IF(ISNUMBER($L406),IF($L406&gt;=90,"Excellent Match",IF($L406&gt;=75,"Strong Match",IF($L406&gt;=60,"Moderate Match","Low Match"))),"")</f>
        <v/>
      </c>
      <c r="AE406" s="87">
        <f>IF($D406="","",IF(OR($M406="Rejected",$M406="Withdrawn"),IF($AB406&lt;&gt;"",$AB406,IF(OR($M406="Rejected",ISNUMBER($C406)),"Applied","Wishlist")),IF($M406="",IF(ISNUMBER($C406),"Applied","Wishlist"),$M406)))</f>
        <v/>
      </c>
      <c r="AF406" s="88">
        <f>IF(AND(ISNUMBER($C406),ISNUMBER($AA406)),$AA406-$C406,"")</f>
        <v/>
      </c>
      <c r="AG406" s="87">
        <f>IF($AE406="","",IFERROR(MATCH($AE406,{"Wishlist","Applied","Screening","Interview 1","Interview 2","Final","Offer","Accepted"},0)-1,""))</f>
        <v/>
      </c>
      <c r="AH406" s="87">
        <f>IF($AC406="","",MATCH($AC406,{"FOLLOW UP REQUIRED","ACTION DUE TODAY","NO RESPONSE","DUE SOON"},0)*100000+IF(ISNUMBER($O406),$O406,IF(ISNUMBER($C406),$C406,0))+ROW()/10000)</f>
        <v/>
      </c>
      <c r="AI406" s="87">
        <f>IF(AND(ISNUMBER($AG406),$AG406&gt;=1,$AG406&lt;=6,$M406&lt;&gt;"Rejected",$M406&lt;&gt;"Withdrawn"),(10-$AG406)*100000+IF(ISNUMBER($C406),$C406,0)+ROW()/10000,"")</f>
        <v/>
      </c>
    </row>
    <row r="407">
      <c r="A407" s="80" t="n"/>
      <c r="B407" s="81" t="n"/>
      <c r="C407" s="81" t="n"/>
      <c r="D407" s="82" t="n"/>
      <c r="E407" s="82" t="n"/>
      <c r="F407" s="82" t="n"/>
      <c r="G407" s="82" t="n"/>
      <c r="H407" s="82" t="n"/>
      <c r="I407" s="83" t="n"/>
      <c r="J407" s="82" t="n"/>
      <c r="K407" s="84" t="n"/>
      <c r="L407" s="85" t="n"/>
      <c r="M407" s="82" t="n"/>
      <c r="N407" s="86" t="n"/>
      <c r="O407" s="81" t="n"/>
      <c r="P407" s="82" t="n"/>
      <c r="Q407" s="83" t="n"/>
      <c r="R407" s="82" t="n"/>
      <c r="S407" s="84" t="n"/>
      <c r="T407" s="84" t="n"/>
      <c r="U407" s="82" t="n"/>
      <c r="V407" s="86" t="n"/>
      <c r="W407" s="86" t="n"/>
      <c r="X407" s="86" t="n"/>
      <c r="Y407" s="81" t="n"/>
      <c r="Z407" s="82" t="n"/>
      <c r="AA407" s="81" t="n"/>
      <c r="AB407" s="82" t="n"/>
      <c r="AC407" s="87">
        <f>IF(OR($D407="",$M407="Rejected",$M407="Withdrawn",$M407="Accepted"),"",IF(ISNUMBER($O407),IF(INT($O407)&lt;TODAY(),"FOLLOW UP REQUIRED",IF(INT($O407)=TODAY(),"ACTION DUE TODAY",IF(INT($O407)-TODAY()&lt;=Set_DueSoonDays,"DUE SOON",""))),IF(AND($M407="Applied",$AA407=""),IF(ISNUMBER($C407),IF(TODAY()-$C407&gt;=Set_FollowUpDays,"NO RESPONSE",""),""),"")))</f>
        <v/>
      </c>
      <c r="AD407" s="87">
        <f>IF(ISNUMBER($L407),IF($L407&gt;=90,"Excellent Match",IF($L407&gt;=75,"Strong Match",IF($L407&gt;=60,"Moderate Match","Low Match"))),"")</f>
        <v/>
      </c>
      <c r="AE407" s="87">
        <f>IF($D407="","",IF(OR($M407="Rejected",$M407="Withdrawn"),IF($AB407&lt;&gt;"",$AB407,IF(OR($M407="Rejected",ISNUMBER($C407)),"Applied","Wishlist")),IF($M407="",IF(ISNUMBER($C407),"Applied","Wishlist"),$M407)))</f>
        <v/>
      </c>
      <c r="AF407" s="88">
        <f>IF(AND(ISNUMBER($C407),ISNUMBER($AA407)),$AA407-$C407,"")</f>
        <v/>
      </c>
      <c r="AG407" s="87">
        <f>IF($AE407="","",IFERROR(MATCH($AE407,{"Wishlist","Applied","Screening","Interview 1","Interview 2","Final","Offer","Accepted"},0)-1,""))</f>
        <v/>
      </c>
      <c r="AH407" s="87">
        <f>IF($AC407="","",MATCH($AC407,{"FOLLOW UP REQUIRED","ACTION DUE TODAY","NO RESPONSE","DUE SOON"},0)*100000+IF(ISNUMBER($O407),$O407,IF(ISNUMBER($C407),$C407,0))+ROW()/10000)</f>
        <v/>
      </c>
      <c r="AI407" s="87">
        <f>IF(AND(ISNUMBER($AG407),$AG407&gt;=1,$AG407&lt;=6,$M407&lt;&gt;"Rejected",$M407&lt;&gt;"Withdrawn"),(10-$AG407)*100000+IF(ISNUMBER($C407),$C407,0)+ROW()/10000,"")</f>
        <v/>
      </c>
    </row>
    <row r="408">
      <c r="A408" s="80" t="n"/>
      <c r="B408" s="81" t="n"/>
      <c r="C408" s="81" t="n"/>
      <c r="D408" s="82" t="n"/>
      <c r="E408" s="82" t="n"/>
      <c r="F408" s="82" t="n"/>
      <c r="G408" s="82" t="n"/>
      <c r="H408" s="82" t="n"/>
      <c r="I408" s="83" t="n"/>
      <c r="J408" s="82" t="n"/>
      <c r="K408" s="84" t="n"/>
      <c r="L408" s="85" t="n"/>
      <c r="M408" s="82" t="n"/>
      <c r="N408" s="86" t="n"/>
      <c r="O408" s="81" t="n"/>
      <c r="P408" s="82" t="n"/>
      <c r="Q408" s="83" t="n"/>
      <c r="R408" s="82" t="n"/>
      <c r="S408" s="84" t="n"/>
      <c r="T408" s="84" t="n"/>
      <c r="U408" s="82" t="n"/>
      <c r="V408" s="86" t="n"/>
      <c r="W408" s="86" t="n"/>
      <c r="X408" s="86" t="n"/>
      <c r="Y408" s="81" t="n"/>
      <c r="Z408" s="82" t="n"/>
      <c r="AA408" s="81" t="n"/>
      <c r="AB408" s="82" t="n"/>
      <c r="AC408" s="87">
        <f>IF(OR($D408="",$M408="Rejected",$M408="Withdrawn",$M408="Accepted"),"",IF(ISNUMBER($O408),IF(INT($O408)&lt;TODAY(),"FOLLOW UP REQUIRED",IF(INT($O408)=TODAY(),"ACTION DUE TODAY",IF(INT($O408)-TODAY()&lt;=Set_DueSoonDays,"DUE SOON",""))),IF(AND($M408="Applied",$AA408=""),IF(ISNUMBER($C408),IF(TODAY()-$C408&gt;=Set_FollowUpDays,"NO RESPONSE",""),""),"")))</f>
        <v/>
      </c>
      <c r="AD408" s="87">
        <f>IF(ISNUMBER($L408),IF($L408&gt;=90,"Excellent Match",IF($L408&gt;=75,"Strong Match",IF($L408&gt;=60,"Moderate Match","Low Match"))),"")</f>
        <v/>
      </c>
      <c r="AE408" s="87">
        <f>IF($D408="","",IF(OR($M408="Rejected",$M408="Withdrawn"),IF($AB408&lt;&gt;"",$AB408,IF(OR($M408="Rejected",ISNUMBER($C408)),"Applied","Wishlist")),IF($M408="",IF(ISNUMBER($C408),"Applied","Wishlist"),$M408)))</f>
        <v/>
      </c>
      <c r="AF408" s="88">
        <f>IF(AND(ISNUMBER($C408),ISNUMBER($AA408)),$AA408-$C408,"")</f>
        <v/>
      </c>
      <c r="AG408" s="87">
        <f>IF($AE408="","",IFERROR(MATCH($AE408,{"Wishlist","Applied","Screening","Interview 1","Interview 2","Final","Offer","Accepted"},0)-1,""))</f>
        <v/>
      </c>
      <c r="AH408" s="87">
        <f>IF($AC408="","",MATCH($AC408,{"FOLLOW UP REQUIRED","ACTION DUE TODAY","NO RESPONSE","DUE SOON"},0)*100000+IF(ISNUMBER($O408),$O408,IF(ISNUMBER($C408),$C408,0))+ROW()/10000)</f>
        <v/>
      </c>
      <c r="AI408" s="87">
        <f>IF(AND(ISNUMBER($AG408),$AG408&gt;=1,$AG408&lt;=6,$M408&lt;&gt;"Rejected",$M408&lt;&gt;"Withdrawn"),(10-$AG408)*100000+IF(ISNUMBER($C408),$C408,0)+ROW()/10000,"")</f>
        <v/>
      </c>
    </row>
    <row r="409">
      <c r="A409" s="80" t="n"/>
      <c r="B409" s="81" t="n"/>
      <c r="C409" s="81" t="n"/>
      <c r="D409" s="82" t="n"/>
      <c r="E409" s="82" t="n"/>
      <c r="F409" s="82" t="n"/>
      <c r="G409" s="82" t="n"/>
      <c r="H409" s="82" t="n"/>
      <c r="I409" s="83" t="n"/>
      <c r="J409" s="82" t="n"/>
      <c r="K409" s="84" t="n"/>
      <c r="L409" s="85" t="n"/>
      <c r="M409" s="82" t="n"/>
      <c r="N409" s="86" t="n"/>
      <c r="O409" s="81" t="n"/>
      <c r="P409" s="82" t="n"/>
      <c r="Q409" s="83" t="n"/>
      <c r="R409" s="82" t="n"/>
      <c r="S409" s="84" t="n"/>
      <c r="T409" s="84" t="n"/>
      <c r="U409" s="82" t="n"/>
      <c r="V409" s="86" t="n"/>
      <c r="W409" s="86" t="n"/>
      <c r="X409" s="86" t="n"/>
      <c r="Y409" s="81" t="n"/>
      <c r="Z409" s="82" t="n"/>
      <c r="AA409" s="81" t="n"/>
      <c r="AB409" s="82" t="n"/>
      <c r="AC409" s="87">
        <f>IF(OR($D409="",$M409="Rejected",$M409="Withdrawn",$M409="Accepted"),"",IF(ISNUMBER($O409),IF(INT($O409)&lt;TODAY(),"FOLLOW UP REQUIRED",IF(INT($O409)=TODAY(),"ACTION DUE TODAY",IF(INT($O409)-TODAY()&lt;=Set_DueSoonDays,"DUE SOON",""))),IF(AND($M409="Applied",$AA409=""),IF(ISNUMBER($C409),IF(TODAY()-$C409&gt;=Set_FollowUpDays,"NO RESPONSE",""),""),"")))</f>
        <v/>
      </c>
      <c r="AD409" s="87">
        <f>IF(ISNUMBER($L409),IF($L409&gt;=90,"Excellent Match",IF($L409&gt;=75,"Strong Match",IF($L409&gt;=60,"Moderate Match","Low Match"))),"")</f>
        <v/>
      </c>
      <c r="AE409" s="87">
        <f>IF($D409="","",IF(OR($M409="Rejected",$M409="Withdrawn"),IF($AB409&lt;&gt;"",$AB409,IF(OR($M409="Rejected",ISNUMBER($C409)),"Applied","Wishlist")),IF($M409="",IF(ISNUMBER($C409),"Applied","Wishlist"),$M409)))</f>
        <v/>
      </c>
      <c r="AF409" s="88">
        <f>IF(AND(ISNUMBER($C409),ISNUMBER($AA409)),$AA409-$C409,"")</f>
        <v/>
      </c>
      <c r="AG409" s="87">
        <f>IF($AE409="","",IFERROR(MATCH($AE409,{"Wishlist","Applied","Screening","Interview 1","Interview 2","Final","Offer","Accepted"},0)-1,""))</f>
        <v/>
      </c>
      <c r="AH409" s="87">
        <f>IF($AC409="","",MATCH($AC409,{"FOLLOW UP REQUIRED","ACTION DUE TODAY","NO RESPONSE","DUE SOON"},0)*100000+IF(ISNUMBER($O409),$O409,IF(ISNUMBER($C409),$C409,0))+ROW()/10000)</f>
        <v/>
      </c>
      <c r="AI409" s="87">
        <f>IF(AND(ISNUMBER($AG409),$AG409&gt;=1,$AG409&lt;=6,$M409&lt;&gt;"Rejected",$M409&lt;&gt;"Withdrawn"),(10-$AG409)*100000+IF(ISNUMBER($C409),$C409,0)+ROW()/10000,"")</f>
        <v/>
      </c>
    </row>
    <row r="410">
      <c r="A410" s="80" t="n"/>
      <c r="B410" s="81" t="n"/>
      <c r="C410" s="81" t="n"/>
      <c r="D410" s="82" t="n"/>
      <c r="E410" s="82" t="n"/>
      <c r="F410" s="82" t="n"/>
      <c r="G410" s="82" t="n"/>
      <c r="H410" s="82" t="n"/>
      <c r="I410" s="83" t="n"/>
      <c r="J410" s="82" t="n"/>
      <c r="K410" s="84" t="n"/>
      <c r="L410" s="85" t="n"/>
      <c r="M410" s="82" t="n"/>
      <c r="N410" s="86" t="n"/>
      <c r="O410" s="81" t="n"/>
      <c r="P410" s="82" t="n"/>
      <c r="Q410" s="83" t="n"/>
      <c r="R410" s="82" t="n"/>
      <c r="S410" s="84" t="n"/>
      <c r="T410" s="84" t="n"/>
      <c r="U410" s="82" t="n"/>
      <c r="V410" s="86" t="n"/>
      <c r="W410" s="86" t="n"/>
      <c r="X410" s="86" t="n"/>
      <c r="Y410" s="81" t="n"/>
      <c r="Z410" s="82" t="n"/>
      <c r="AA410" s="81" t="n"/>
      <c r="AB410" s="82" t="n"/>
      <c r="AC410" s="87">
        <f>IF(OR($D410="",$M410="Rejected",$M410="Withdrawn",$M410="Accepted"),"",IF(ISNUMBER($O410),IF(INT($O410)&lt;TODAY(),"FOLLOW UP REQUIRED",IF(INT($O410)=TODAY(),"ACTION DUE TODAY",IF(INT($O410)-TODAY()&lt;=Set_DueSoonDays,"DUE SOON",""))),IF(AND($M410="Applied",$AA410=""),IF(ISNUMBER($C410),IF(TODAY()-$C410&gt;=Set_FollowUpDays,"NO RESPONSE",""),""),"")))</f>
        <v/>
      </c>
      <c r="AD410" s="87">
        <f>IF(ISNUMBER($L410),IF($L410&gt;=90,"Excellent Match",IF($L410&gt;=75,"Strong Match",IF($L410&gt;=60,"Moderate Match","Low Match"))),"")</f>
        <v/>
      </c>
      <c r="AE410" s="87">
        <f>IF($D410="","",IF(OR($M410="Rejected",$M410="Withdrawn"),IF($AB410&lt;&gt;"",$AB410,IF(OR($M410="Rejected",ISNUMBER($C410)),"Applied","Wishlist")),IF($M410="",IF(ISNUMBER($C410),"Applied","Wishlist"),$M410)))</f>
        <v/>
      </c>
      <c r="AF410" s="88">
        <f>IF(AND(ISNUMBER($C410),ISNUMBER($AA410)),$AA410-$C410,"")</f>
        <v/>
      </c>
      <c r="AG410" s="87">
        <f>IF($AE410="","",IFERROR(MATCH($AE410,{"Wishlist","Applied","Screening","Interview 1","Interview 2","Final","Offer","Accepted"},0)-1,""))</f>
        <v/>
      </c>
      <c r="AH410" s="87">
        <f>IF($AC410="","",MATCH($AC410,{"FOLLOW UP REQUIRED","ACTION DUE TODAY","NO RESPONSE","DUE SOON"},0)*100000+IF(ISNUMBER($O410),$O410,IF(ISNUMBER($C410),$C410,0))+ROW()/10000)</f>
        <v/>
      </c>
      <c r="AI410" s="87">
        <f>IF(AND(ISNUMBER($AG410),$AG410&gt;=1,$AG410&lt;=6,$M410&lt;&gt;"Rejected",$M410&lt;&gt;"Withdrawn"),(10-$AG410)*100000+IF(ISNUMBER($C410),$C410,0)+ROW()/10000,"")</f>
        <v/>
      </c>
    </row>
    <row r="411">
      <c r="A411" s="80" t="n"/>
      <c r="B411" s="81" t="n"/>
      <c r="C411" s="81" t="n"/>
      <c r="D411" s="82" t="n"/>
      <c r="E411" s="82" t="n"/>
      <c r="F411" s="82" t="n"/>
      <c r="G411" s="82" t="n"/>
      <c r="H411" s="82" t="n"/>
      <c r="I411" s="83" t="n"/>
      <c r="J411" s="82" t="n"/>
      <c r="K411" s="84" t="n"/>
      <c r="L411" s="85" t="n"/>
      <c r="M411" s="82" t="n"/>
      <c r="N411" s="86" t="n"/>
      <c r="O411" s="81" t="n"/>
      <c r="P411" s="82" t="n"/>
      <c r="Q411" s="83" t="n"/>
      <c r="R411" s="82" t="n"/>
      <c r="S411" s="84" t="n"/>
      <c r="T411" s="84" t="n"/>
      <c r="U411" s="82" t="n"/>
      <c r="V411" s="86" t="n"/>
      <c r="W411" s="86" t="n"/>
      <c r="X411" s="86" t="n"/>
      <c r="Y411" s="81" t="n"/>
      <c r="Z411" s="82" t="n"/>
      <c r="AA411" s="81" t="n"/>
      <c r="AB411" s="82" t="n"/>
      <c r="AC411" s="87">
        <f>IF(OR($D411="",$M411="Rejected",$M411="Withdrawn",$M411="Accepted"),"",IF(ISNUMBER($O411),IF(INT($O411)&lt;TODAY(),"FOLLOW UP REQUIRED",IF(INT($O411)=TODAY(),"ACTION DUE TODAY",IF(INT($O411)-TODAY()&lt;=Set_DueSoonDays,"DUE SOON",""))),IF(AND($M411="Applied",$AA411=""),IF(ISNUMBER($C411),IF(TODAY()-$C411&gt;=Set_FollowUpDays,"NO RESPONSE",""),""),"")))</f>
        <v/>
      </c>
      <c r="AD411" s="87">
        <f>IF(ISNUMBER($L411),IF($L411&gt;=90,"Excellent Match",IF($L411&gt;=75,"Strong Match",IF($L411&gt;=60,"Moderate Match","Low Match"))),"")</f>
        <v/>
      </c>
      <c r="AE411" s="87">
        <f>IF($D411="","",IF(OR($M411="Rejected",$M411="Withdrawn"),IF($AB411&lt;&gt;"",$AB411,IF(OR($M411="Rejected",ISNUMBER($C411)),"Applied","Wishlist")),IF($M411="",IF(ISNUMBER($C411),"Applied","Wishlist"),$M411)))</f>
        <v/>
      </c>
      <c r="AF411" s="88">
        <f>IF(AND(ISNUMBER($C411),ISNUMBER($AA411)),$AA411-$C411,"")</f>
        <v/>
      </c>
      <c r="AG411" s="87">
        <f>IF($AE411="","",IFERROR(MATCH($AE411,{"Wishlist","Applied","Screening","Interview 1","Interview 2","Final","Offer","Accepted"},0)-1,""))</f>
        <v/>
      </c>
      <c r="AH411" s="87">
        <f>IF($AC411="","",MATCH($AC411,{"FOLLOW UP REQUIRED","ACTION DUE TODAY","NO RESPONSE","DUE SOON"},0)*100000+IF(ISNUMBER($O411),$O411,IF(ISNUMBER($C411),$C411,0))+ROW()/10000)</f>
        <v/>
      </c>
      <c r="AI411" s="87">
        <f>IF(AND(ISNUMBER($AG411),$AG411&gt;=1,$AG411&lt;=6,$M411&lt;&gt;"Rejected",$M411&lt;&gt;"Withdrawn"),(10-$AG411)*100000+IF(ISNUMBER($C411),$C411,0)+ROW()/10000,"")</f>
        <v/>
      </c>
    </row>
    <row r="412">
      <c r="A412" s="80" t="n"/>
      <c r="B412" s="81" t="n"/>
      <c r="C412" s="81" t="n"/>
      <c r="D412" s="82" t="n"/>
      <c r="E412" s="82" t="n"/>
      <c r="F412" s="82" t="n"/>
      <c r="G412" s="82" t="n"/>
      <c r="H412" s="82" t="n"/>
      <c r="I412" s="83" t="n"/>
      <c r="J412" s="82" t="n"/>
      <c r="K412" s="84" t="n"/>
      <c r="L412" s="85" t="n"/>
      <c r="M412" s="82" t="n"/>
      <c r="N412" s="86" t="n"/>
      <c r="O412" s="81" t="n"/>
      <c r="P412" s="82" t="n"/>
      <c r="Q412" s="83" t="n"/>
      <c r="R412" s="82" t="n"/>
      <c r="S412" s="84" t="n"/>
      <c r="T412" s="84" t="n"/>
      <c r="U412" s="82" t="n"/>
      <c r="V412" s="86" t="n"/>
      <c r="W412" s="86" t="n"/>
      <c r="X412" s="86" t="n"/>
      <c r="Y412" s="81" t="n"/>
      <c r="Z412" s="82" t="n"/>
      <c r="AA412" s="81" t="n"/>
      <c r="AB412" s="82" t="n"/>
      <c r="AC412" s="87">
        <f>IF(OR($D412="",$M412="Rejected",$M412="Withdrawn",$M412="Accepted"),"",IF(ISNUMBER($O412),IF(INT($O412)&lt;TODAY(),"FOLLOW UP REQUIRED",IF(INT($O412)=TODAY(),"ACTION DUE TODAY",IF(INT($O412)-TODAY()&lt;=Set_DueSoonDays,"DUE SOON",""))),IF(AND($M412="Applied",$AA412=""),IF(ISNUMBER($C412),IF(TODAY()-$C412&gt;=Set_FollowUpDays,"NO RESPONSE",""),""),"")))</f>
        <v/>
      </c>
      <c r="AD412" s="87">
        <f>IF(ISNUMBER($L412),IF($L412&gt;=90,"Excellent Match",IF($L412&gt;=75,"Strong Match",IF($L412&gt;=60,"Moderate Match","Low Match"))),"")</f>
        <v/>
      </c>
      <c r="AE412" s="87">
        <f>IF($D412="","",IF(OR($M412="Rejected",$M412="Withdrawn"),IF($AB412&lt;&gt;"",$AB412,IF(OR($M412="Rejected",ISNUMBER($C412)),"Applied","Wishlist")),IF($M412="",IF(ISNUMBER($C412),"Applied","Wishlist"),$M412)))</f>
        <v/>
      </c>
      <c r="AF412" s="88">
        <f>IF(AND(ISNUMBER($C412),ISNUMBER($AA412)),$AA412-$C412,"")</f>
        <v/>
      </c>
      <c r="AG412" s="87">
        <f>IF($AE412="","",IFERROR(MATCH($AE412,{"Wishlist","Applied","Screening","Interview 1","Interview 2","Final","Offer","Accepted"},0)-1,""))</f>
        <v/>
      </c>
      <c r="AH412" s="87">
        <f>IF($AC412="","",MATCH($AC412,{"FOLLOW UP REQUIRED","ACTION DUE TODAY","NO RESPONSE","DUE SOON"},0)*100000+IF(ISNUMBER($O412),$O412,IF(ISNUMBER($C412),$C412,0))+ROW()/10000)</f>
        <v/>
      </c>
      <c r="AI412" s="87">
        <f>IF(AND(ISNUMBER($AG412),$AG412&gt;=1,$AG412&lt;=6,$M412&lt;&gt;"Rejected",$M412&lt;&gt;"Withdrawn"),(10-$AG412)*100000+IF(ISNUMBER($C412),$C412,0)+ROW()/10000,"")</f>
        <v/>
      </c>
    </row>
    <row r="413">
      <c r="A413" s="80" t="n"/>
      <c r="B413" s="81" t="n"/>
      <c r="C413" s="81" t="n"/>
      <c r="D413" s="82" t="n"/>
      <c r="E413" s="82" t="n"/>
      <c r="F413" s="82" t="n"/>
      <c r="G413" s="82" t="n"/>
      <c r="H413" s="82" t="n"/>
      <c r="I413" s="83" t="n"/>
      <c r="J413" s="82" t="n"/>
      <c r="K413" s="84" t="n"/>
      <c r="L413" s="85" t="n"/>
      <c r="M413" s="82" t="n"/>
      <c r="N413" s="86" t="n"/>
      <c r="O413" s="81" t="n"/>
      <c r="P413" s="82" t="n"/>
      <c r="Q413" s="83" t="n"/>
      <c r="R413" s="82" t="n"/>
      <c r="S413" s="84" t="n"/>
      <c r="T413" s="84" t="n"/>
      <c r="U413" s="82" t="n"/>
      <c r="V413" s="86" t="n"/>
      <c r="W413" s="86" t="n"/>
      <c r="X413" s="86" t="n"/>
      <c r="Y413" s="81" t="n"/>
      <c r="Z413" s="82" t="n"/>
      <c r="AA413" s="81" t="n"/>
      <c r="AB413" s="82" t="n"/>
      <c r="AC413" s="87">
        <f>IF(OR($D413="",$M413="Rejected",$M413="Withdrawn",$M413="Accepted"),"",IF(ISNUMBER($O413),IF(INT($O413)&lt;TODAY(),"FOLLOW UP REQUIRED",IF(INT($O413)=TODAY(),"ACTION DUE TODAY",IF(INT($O413)-TODAY()&lt;=Set_DueSoonDays,"DUE SOON",""))),IF(AND($M413="Applied",$AA413=""),IF(ISNUMBER($C413),IF(TODAY()-$C413&gt;=Set_FollowUpDays,"NO RESPONSE",""),""),"")))</f>
        <v/>
      </c>
      <c r="AD413" s="87">
        <f>IF(ISNUMBER($L413),IF($L413&gt;=90,"Excellent Match",IF($L413&gt;=75,"Strong Match",IF($L413&gt;=60,"Moderate Match","Low Match"))),"")</f>
        <v/>
      </c>
      <c r="AE413" s="87">
        <f>IF($D413="","",IF(OR($M413="Rejected",$M413="Withdrawn"),IF($AB413&lt;&gt;"",$AB413,IF(OR($M413="Rejected",ISNUMBER($C413)),"Applied","Wishlist")),IF($M413="",IF(ISNUMBER($C413),"Applied","Wishlist"),$M413)))</f>
        <v/>
      </c>
      <c r="AF413" s="88">
        <f>IF(AND(ISNUMBER($C413),ISNUMBER($AA413)),$AA413-$C413,"")</f>
        <v/>
      </c>
      <c r="AG413" s="87">
        <f>IF($AE413="","",IFERROR(MATCH($AE413,{"Wishlist","Applied","Screening","Interview 1","Interview 2","Final","Offer","Accepted"},0)-1,""))</f>
        <v/>
      </c>
      <c r="AH413" s="87">
        <f>IF($AC413="","",MATCH($AC413,{"FOLLOW UP REQUIRED","ACTION DUE TODAY","NO RESPONSE","DUE SOON"},0)*100000+IF(ISNUMBER($O413),$O413,IF(ISNUMBER($C413),$C413,0))+ROW()/10000)</f>
        <v/>
      </c>
      <c r="AI413" s="87">
        <f>IF(AND(ISNUMBER($AG413),$AG413&gt;=1,$AG413&lt;=6,$M413&lt;&gt;"Rejected",$M413&lt;&gt;"Withdrawn"),(10-$AG413)*100000+IF(ISNUMBER($C413),$C413,0)+ROW()/10000,"")</f>
        <v/>
      </c>
    </row>
    <row r="414">
      <c r="A414" s="80" t="n"/>
      <c r="B414" s="81" t="n"/>
      <c r="C414" s="81" t="n"/>
      <c r="D414" s="82" t="n"/>
      <c r="E414" s="82" t="n"/>
      <c r="F414" s="82" t="n"/>
      <c r="G414" s="82" t="n"/>
      <c r="H414" s="82" t="n"/>
      <c r="I414" s="83" t="n"/>
      <c r="J414" s="82" t="n"/>
      <c r="K414" s="84" t="n"/>
      <c r="L414" s="85" t="n"/>
      <c r="M414" s="82" t="n"/>
      <c r="N414" s="86" t="n"/>
      <c r="O414" s="81" t="n"/>
      <c r="P414" s="82" t="n"/>
      <c r="Q414" s="83" t="n"/>
      <c r="R414" s="82" t="n"/>
      <c r="S414" s="84" t="n"/>
      <c r="T414" s="84" t="n"/>
      <c r="U414" s="82" t="n"/>
      <c r="V414" s="86" t="n"/>
      <c r="W414" s="86" t="n"/>
      <c r="X414" s="86" t="n"/>
      <c r="Y414" s="81" t="n"/>
      <c r="Z414" s="82" t="n"/>
      <c r="AA414" s="81" t="n"/>
      <c r="AB414" s="82" t="n"/>
      <c r="AC414" s="87">
        <f>IF(OR($D414="",$M414="Rejected",$M414="Withdrawn",$M414="Accepted"),"",IF(ISNUMBER($O414),IF(INT($O414)&lt;TODAY(),"FOLLOW UP REQUIRED",IF(INT($O414)=TODAY(),"ACTION DUE TODAY",IF(INT($O414)-TODAY()&lt;=Set_DueSoonDays,"DUE SOON",""))),IF(AND($M414="Applied",$AA414=""),IF(ISNUMBER($C414),IF(TODAY()-$C414&gt;=Set_FollowUpDays,"NO RESPONSE",""),""),"")))</f>
        <v/>
      </c>
      <c r="AD414" s="87">
        <f>IF(ISNUMBER($L414),IF($L414&gt;=90,"Excellent Match",IF($L414&gt;=75,"Strong Match",IF($L414&gt;=60,"Moderate Match","Low Match"))),"")</f>
        <v/>
      </c>
      <c r="AE414" s="87">
        <f>IF($D414="","",IF(OR($M414="Rejected",$M414="Withdrawn"),IF($AB414&lt;&gt;"",$AB414,IF(OR($M414="Rejected",ISNUMBER($C414)),"Applied","Wishlist")),IF($M414="",IF(ISNUMBER($C414),"Applied","Wishlist"),$M414)))</f>
        <v/>
      </c>
      <c r="AF414" s="88">
        <f>IF(AND(ISNUMBER($C414),ISNUMBER($AA414)),$AA414-$C414,"")</f>
        <v/>
      </c>
      <c r="AG414" s="87">
        <f>IF($AE414="","",IFERROR(MATCH($AE414,{"Wishlist","Applied","Screening","Interview 1","Interview 2","Final","Offer","Accepted"},0)-1,""))</f>
        <v/>
      </c>
      <c r="AH414" s="87">
        <f>IF($AC414="","",MATCH($AC414,{"FOLLOW UP REQUIRED","ACTION DUE TODAY","NO RESPONSE","DUE SOON"},0)*100000+IF(ISNUMBER($O414),$O414,IF(ISNUMBER($C414),$C414,0))+ROW()/10000)</f>
        <v/>
      </c>
      <c r="AI414" s="87">
        <f>IF(AND(ISNUMBER($AG414),$AG414&gt;=1,$AG414&lt;=6,$M414&lt;&gt;"Rejected",$M414&lt;&gt;"Withdrawn"),(10-$AG414)*100000+IF(ISNUMBER($C414),$C414,0)+ROW()/10000,"")</f>
        <v/>
      </c>
    </row>
    <row r="415">
      <c r="A415" s="80" t="n"/>
      <c r="B415" s="81" t="n"/>
      <c r="C415" s="81" t="n"/>
      <c r="D415" s="82" t="n"/>
      <c r="E415" s="82" t="n"/>
      <c r="F415" s="82" t="n"/>
      <c r="G415" s="82" t="n"/>
      <c r="H415" s="82" t="n"/>
      <c r="I415" s="83" t="n"/>
      <c r="J415" s="82" t="n"/>
      <c r="K415" s="84" t="n"/>
      <c r="L415" s="85" t="n"/>
      <c r="M415" s="82" t="n"/>
      <c r="N415" s="86" t="n"/>
      <c r="O415" s="81" t="n"/>
      <c r="P415" s="82" t="n"/>
      <c r="Q415" s="83" t="n"/>
      <c r="R415" s="82" t="n"/>
      <c r="S415" s="84" t="n"/>
      <c r="T415" s="84" t="n"/>
      <c r="U415" s="82" t="n"/>
      <c r="V415" s="86" t="n"/>
      <c r="W415" s="86" t="n"/>
      <c r="X415" s="86" t="n"/>
      <c r="Y415" s="81" t="n"/>
      <c r="Z415" s="82" t="n"/>
      <c r="AA415" s="81" t="n"/>
      <c r="AB415" s="82" t="n"/>
      <c r="AC415" s="87">
        <f>IF(OR($D415="",$M415="Rejected",$M415="Withdrawn",$M415="Accepted"),"",IF(ISNUMBER($O415),IF(INT($O415)&lt;TODAY(),"FOLLOW UP REQUIRED",IF(INT($O415)=TODAY(),"ACTION DUE TODAY",IF(INT($O415)-TODAY()&lt;=Set_DueSoonDays,"DUE SOON",""))),IF(AND($M415="Applied",$AA415=""),IF(ISNUMBER($C415),IF(TODAY()-$C415&gt;=Set_FollowUpDays,"NO RESPONSE",""),""),"")))</f>
        <v/>
      </c>
      <c r="AD415" s="87">
        <f>IF(ISNUMBER($L415),IF($L415&gt;=90,"Excellent Match",IF($L415&gt;=75,"Strong Match",IF($L415&gt;=60,"Moderate Match","Low Match"))),"")</f>
        <v/>
      </c>
      <c r="AE415" s="87">
        <f>IF($D415="","",IF(OR($M415="Rejected",$M415="Withdrawn"),IF($AB415&lt;&gt;"",$AB415,IF(OR($M415="Rejected",ISNUMBER($C415)),"Applied","Wishlist")),IF($M415="",IF(ISNUMBER($C415),"Applied","Wishlist"),$M415)))</f>
        <v/>
      </c>
      <c r="AF415" s="88">
        <f>IF(AND(ISNUMBER($C415),ISNUMBER($AA415)),$AA415-$C415,"")</f>
        <v/>
      </c>
      <c r="AG415" s="87">
        <f>IF($AE415="","",IFERROR(MATCH($AE415,{"Wishlist","Applied","Screening","Interview 1","Interview 2","Final","Offer","Accepted"},0)-1,""))</f>
        <v/>
      </c>
      <c r="AH415" s="87">
        <f>IF($AC415="","",MATCH($AC415,{"FOLLOW UP REQUIRED","ACTION DUE TODAY","NO RESPONSE","DUE SOON"},0)*100000+IF(ISNUMBER($O415),$O415,IF(ISNUMBER($C415),$C415,0))+ROW()/10000)</f>
        <v/>
      </c>
      <c r="AI415" s="87">
        <f>IF(AND(ISNUMBER($AG415),$AG415&gt;=1,$AG415&lt;=6,$M415&lt;&gt;"Rejected",$M415&lt;&gt;"Withdrawn"),(10-$AG415)*100000+IF(ISNUMBER($C415),$C415,0)+ROW()/10000,"")</f>
        <v/>
      </c>
    </row>
    <row r="416">
      <c r="A416" s="80" t="n"/>
      <c r="B416" s="81" t="n"/>
      <c r="C416" s="81" t="n"/>
      <c r="D416" s="82" t="n"/>
      <c r="E416" s="82" t="n"/>
      <c r="F416" s="82" t="n"/>
      <c r="G416" s="82" t="n"/>
      <c r="H416" s="82" t="n"/>
      <c r="I416" s="83" t="n"/>
      <c r="J416" s="82" t="n"/>
      <c r="K416" s="84" t="n"/>
      <c r="L416" s="85" t="n"/>
      <c r="M416" s="82" t="n"/>
      <c r="N416" s="86" t="n"/>
      <c r="O416" s="81" t="n"/>
      <c r="P416" s="82" t="n"/>
      <c r="Q416" s="83" t="n"/>
      <c r="R416" s="82" t="n"/>
      <c r="S416" s="84" t="n"/>
      <c r="T416" s="84" t="n"/>
      <c r="U416" s="82" t="n"/>
      <c r="V416" s="86" t="n"/>
      <c r="W416" s="86" t="n"/>
      <c r="X416" s="86" t="n"/>
      <c r="Y416" s="81" t="n"/>
      <c r="Z416" s="82" t="n"/>
      <c r="AA416" s="81" t="n"/>
      <c r="AB416" s="82" t="n"/>
      <c r="AC416" s="87">
        <f>IF(OR($D416="",$M416="Rejected",$M416="Withdrawn",$M416="Accepted"),"",IF(ISNUMBER($O416),IF(INT($O416)&lt;TODAY(),"FOLLOW UP REQUIRED",IF(INT($O416)=TODAY(),"ACTION DUE TODAY",IF(INT($O416)-TODAY()&lt;=Set_DueSoonDays,"DUE SOON",""))),IF(AND($M416="Applied",$AA416=""),IF(ISNUMBER($C416),IF(TODAY()-$C416&gt;=Set_FollowUpDays,"NO RESPONSE",""),""),"")))</f>
        <v/>
      </c>
      <c r="AD416" s="87">
        <f>IF(ISNUMBER($L416),IF($L416&gt;=90,"Excellent Match",IF($L416&gt;=75,"Strong Match",IF($L416&gt;=60,"Moderate Match","Low Match"))),"")</f>
        <v/>
      </c>
      <c r="AE416" s="87">
        <f>IF($D416="","",IF(OR($M416="Rejected",$M416="Withdrawn"),IF($AB416&lt;&gt;"",$AB416,IF(OR($M416="Rejected",ISNUMBER($C416)),"Applied","Wishlist")),IF($M416="",IF(ISNUMBER($C416),"Applied","Wishlist"),$M416)))</f>
        <v/>
      </c>
      <c r="AF416" s="88">
        <f>IF(AND(ISNUMBER($C416),ISNUMBER($AA416)),$AA416-$C416,"")</f>
        <v/>
      </c>
      <c r="AG416" s="87">
        <f>IF($AE416="","",IFERROR(MATCH($AE416,{"Wishlist","Applied","Screening","Interview 1","Interview 2","Final","Offer","Accepted"},0)-1,""))</f>
        <v/>
      </c>
      <c r="AH416" s="87">
        <f>IF($AC416="","",MATCH($AC416,{"FOLLOW UP REQUIRED","ACTION DUE TODAY","NO RESPONSE","DUE SOON"},0)*100000+IF(ISNUMBER($O416),$O416,IF(ISNUMBER($C416),$C416,0))+ROW()/10000)</f>
        <v/>
      </c>
      <c r="AI416" s="87">
        <f>IF(AND(ISNUMBER($AG416),$AG416&gt;=1,$AG416&lt;=6,$M416&lt;&gt;"Rejected",$M416&lt;&gt;"Withdrawn"),(10-$AG416)*100000+IF(ISNUMBER($C416),$C416,0)+ROW()/10000,"")</f>
        <v/>
      </c>
    </row>
    <row r="417">
      <c r="A417" s="80" t="n"/>
      <c r="B417" s="81" t="n"/>
      <c r="C417" s="81" t="n"/>
      <c r="D417" s="82" t="n"/>
      <c r="E417" s="82" t="n"/>
      <c r="F417" s="82" t="n"/>
      <c r="G417" s="82" t="n"/>
      <c r="H417" s="82" t="n"/>
      <c r="I417" s="83" t="n"/>
      <c r="J417" s="82" t="n"/>
      <c r="K417" s="84" t="n"/>
      <c r="L417" s="85" t="n"/>
      <c r="M417" s="82" t="n"/>
      <c r="N417" s="86" t="n"/>
      <c r="O417" s="81" t="n"/>
      <c r="P417" s="82" t="n"/>
      <c r="Q417" s="83" t="n"/>
      <c r="R417" s="82" t="n"/>
      <c r="S417" s="84" t="n"/>
      <c r="T417" s="84" t="n"/>
      <c r="U417" s="82" t="n"/>
      <c r="V417" s="86" t="n"/>
      <c r="W417" s="86" t="n"/>
      <c r="X417" s="86" t="n"/>
      <c r="Y417" s="81" t="n"/>
      <c r="Z417" s="82" t="n"/>
      <c r="AA417" s="81" t="n"/>
      <c r="AB417" s="82" t="n"/>
      <c r="AC417" s="87">
        <f>IF(OR($D417="",$M417="Rejected",$M417="Withdrawn",$M417="Accepted"),"",IF(ISNUMBER($O417),IF(INT($O417)&lt;TODAY(),"FOLLOW UP REQUIRED",IF(INT($O417)=TODAY(),"ACTION DUE TODAY",IF(INT($O417)-TODAY()&lt;=Set_DueSoonDays,"DUE SOON",""))),IF(AND($M417="Applied",$AA417=""),IF(ISNUMBER($C417),IF(TODAY()-$C417&gt;=Set_FollowUpDays,"NO RESPONSE",""),""),"")))</f>
        <v/>
      </c>
      <c r="AD417" s="87">
        <f>IF(ISNUMBER($L417),IF($L417&gt;=90,"Excellent Match",IF($L417&gt;=75,"Strong Match",IF($L417&gt;=60,"Moderate Match","Low Match"))),"")</f>
        <v/>
      </c>
      <c r="AE417" s="87">
        <f>IF($D417="","",IF(OR($M417="Rejected",$M417="Withdrawn"),IF($AB417&lt;&gt;"",$AB417,IF(OR($M417="Rejected",ISNUMBER($C417)),"Applied","Wishlist")),IF($M417="",IF(ISNUMBER($C417),"Applied","Wishlist"),$M417)))</f>
        <v/>
      </c>
      <c r="AF417" s="88">
        <f>IF(AND(ISNUMBER($C417),ISNUMBER($AA417)),$AA417-$C417,"")</f>
        <v/>
      </c>
      <c r="AG417" s="87">
        <f>IF($AE417="","",IFERROR(MATCH($AE417,{"Wishlist","Applied","Screening","Interview 1","Interview 2","Final","Offer","Accepted"},0)-1,""))</f>
        <v/>
      </c>
      <c r="AH417" s="87">
        <f>IF($AC417="","",MATCH($AC417,{"FOLLOW UP REQUIRED","ACTION DUE TODAY","NO RESPONSE","DUE SOON"},0)*100000+IF(ISNUMBER($O417),$O417,IF(ISNUMBER($C417),$C417,0))+ROW()/10000)</f>
        <v/>
      </c>
      <c r="AI417" s="87">
        <f>IF(AND(ISNUMBER($AG417),$AG417&gt;=1,$AG417&lt;=6,$M417&lt;&gt;"Rejected",$M417&lt;&gt;"Withdrawn"),(10-$AG417)*100000+IF(ISNUMBER($C417),$C417,0)+ROW()/10000,"")</f>
        <v/>
      </c>
    </row>
    <row r="418">
      <c r="A418" s="80" t="n"/>
      <c r="B418" s="81" t="n"/>
      <c r="C418" s="81" t="n"/>
      <c r="D418" s="82" t="n"/>
      <c r="E418" s="82" t="n"/>
      <c r="F418" s="82" t="n"/>
      <c r="G418" s="82" t="n"/>
      <c r="H418" s="82" t="n"/>
      <c r="I418" s="83" t="n"/>
      <c r="J418" s="82" t="n"/>
      <c r="K418" s="84" t="n"/>
      <c r="L418" s="85" t="n"/>
      <c r="M418" s="82" t="n"/>
      <c r="N418" s="86" t="n"/>
      <c r="O418" s="81" t="n"/>
      <c r="P418" s="82" t="n"/>
      <c r="Q418" s="83" t="n"/>
      <c r="R418" s="82" t="n"/>
      <c r="S418" s="84" t="n"/>
      <c r="T418" s="84" t="n"/>
      <c r="U418" s="82" t="n"/>
      <c r="V418" s="86" t="n"/>
      <c r="W418" s="86" t="n"/>
      <c r="X418" s="86" t="n"/>
      <c r="Y418" s="81" t="n"/>
      <c r="Z418" s="82" t="n"/>
      <c r="AA418" s="81" t="n"/>
      <c r="AB418" s="82" t="n"/>
      <c r="AC418" s="87">
        <f>IF(OR($D418="",$M418="Rejected",$M418="Withdrawn",$M418="Accepted"),"",IF(ISNUMBER($O418),IF(INT($O418)&lt;TODAY(),"FOLLOW UP REQUIRED",IF(INT($O418)=TODAY(),"ACTION DUE TODAY",IF(INT($O418)-TODAY()&lt;=Set_DueSoonDays,"DUE SOON",""))),IF(AND($M418="Applied",$AA418=""),IF(ISNUMBER($C418),IF(TODAY()-$C418&gt;=Set_FollowUpDays,"NO RESPONSE",""),""),"")))</f>
        <v/>
      </c>
      <c r="AD418" s="87">
        <f>IF(ISNUMBER($L418),IF($L418&gt;=90,"Excellent Match",IF($L418&gt;=75,"Strong Match",IF($L418&gt;=60,"Moderate Match","Low Match"))),"")</f>
        <v/>
      </c>
      <c r="AE418" s="87">
        <f>IF($D418="","",IF(OR($M418="Rejected",$M418="Withdrawn"),IF($AB418&lt;&gt;"",$AB418,IF(OR($M418="Rejected",ISNUMBER($C418)),"Applied","Wishlist")),IF($M418="",IF(ISNUMBER($C418),"Applied","Wishlist"),$M418)))</f>
        <v/>
      </c>
      <c r="AF418" s="88">
        <f>IF(AND(ISNUMBER($C418),ISNUMBER($AA418)),$AA418-$C418,"")</f>
        <v/>
      </c>
      <c r="AG418" s="87">
        <f>IF($AE418="","",IFERROR(MATCH($AE418,{"Wishlist","Applied","Screening","Interview 1","Interview 2","Final","Offer","Accepted"},0)-1,""))</f>
        <v/>
      </c>
      <c r="AH418" s="87">
        <f>IF($AC418="","",MATCH($AC418,{"FOLLOW UP REQUIRED","ACTION DUE TODAY","NO RESPONSE","DUE SOON"},0)*100000+IF(ISNUMBER($O418),$O418,IF(ISNUMBER($C418),$C418,0))+ROW()/10000)</f>
        <v/>
      </c>
      <c r="AI418" s="87">
        <f>IF(AND(ISNUMBER($AG418),$AG418&gt;=1,$AG418&lt;=6,$M418&lt;&gt;"Rejected",$M418&lt;&gt;"Withdrawn"),(10-$AG418)*100000+IF(ISNUMBER($C418),$C418,0)+ROW()/10000,"")</f>
        <v/>
      </c>
    </row>
    <row r="419">
      <c r="A419" s="80" t="n"/>
      <c r="B419" s="81" t="n"/>
      <c r="C419" s="81" t="n"/>
      <c r="D419" s="82" t="n"/>
      <c r="E419" s="82" t="n"/>
      <c r="F419" s="82" t="n"/>
      <c r="G419" s="82" t="n"/>
      <c r="H419" s="82" t="n"/>
      <c r="I419" s="83" t="n"/>
      <c r="J419" s="82" t="n"/>
      <c r="K419" s="84" t="n"/>
      <c r="L419" s="85" t="n"/>
      <c r="M419" s="82" t="n"/>
      <c r="N419" s="86" t="n"/>
      <c r="O419" s="81" t="n"/>
      <c r="P419" s="82" t="n"/>
      <c r="Q419" s="83" t="n"/>
      <c r="R419" s="82" t="n"/>
      <c r="S419" s="84" t="n"/>
      <c r="T419" s="84" t="n"/>
      <c r="U419" s="82" t="n"/>
      <c r="V419" s="86" t="n"/>
      <c r="W419" s="86" t="n"/>
      <c r="X419" s="86" t="n"/>
      <c r="Y419" s="81" t="n"/>
      <c r="Z419" s="82" t="n"/>
      <c r="AA419" s="81" t="n"/>
      <c r="AB419" s="82" t="n"/>
      <c r="AC419" s="87">
        <f>IF(OR($D419="",$M419="Rejected",$M419="Withdrawn",$M419="Accepted"),"",IF(ISNUMBER($O419),IF(INT($O419)&lt;TODAY(),"FOLLOW UP REQUIRED",IF(INT($O419)=TODAY(),"ACTION DUE TODAY",IF(INT($O419)-TODAY()&lt;=Set_DueSoonDays,"DUE SOON",""))),IF(AND($M419="Applied",$AA419=""),IF(ISNUMBER($C419),IF(TODAY()-$C419&gt;=Set_FollowUpDays,"NO RESPONSE",""),""),"")))</f>
        <v/>
      </c>
      <c r="AD419" s="87">
        <f>IF(ISNUMBER($L419),IF($L419&gt;=90,"Excellent Match",IF($L419&gt;=75,"Strong Match",IF($L419&gt;=60,"Moderate Match","Low Match"))),"")</f>
        <v/>
      </c>
      <c r="AE419" s="87">
        <f>IF($D419="","",IF(OR($M419="Rejected",$M419="Withdrawn"),IF($AB419&lt;&gt;"",$AB419,IF(OR($M419="Rejected",ISNUMBER($C419)),"Applied","Wishlist")),IF($M419="",IF(ISNUMBER($C419),"Applied","Wishlist"),$M419)))</f>
        <v/>
      </c>
      <c r="AF419" s="88">
        <f>IF(AND(ISNUMBER($C419),ISNUMBER($AA419)),$AA419-$C419,"")</f>
        <v/>
      </c>
      <c r="AG419" s="87">
        <f>IF($AE419="","",IFERROR(MATCH($AE419,{"Wishlist","Applied","Screening","Interview 1","Interview 2","Final","Offer","Accepted"},0)-1,""))</f>
        <v/>
      </c>
      <c r="AH419" s="87">
        <f>IF($AC419="","",MATCH($AC419,{"FOLLOW UP REQUIRED","ACTION DUE TODAY","NO RESPONSE","DUE SOON"},0)*100000+IF(ISNUMBER($O419),$O419,IF(ISNUMBER($C419),$C419,0))+ROW()/10000)</f>
        <v/>
      </c>
      <c r="AI419" s="87">
        <f>IF(AND(ISNUMBER($AG419),$AG419&gt;=1,$AG419&lt;=6,$M419&lt;&gt;"Rejected",$M419&lt;&gt;"Withdrawn"),(10-$AG419)*100000+IF(ISNUMBER($C419),$C419,0)+ROW()/10000,"")</f>
        <v/>
      </c>
    </row>
    <row r="420">
      <c r="A420" s="80" t="n"/>
      <c r="B420" s="81" t="n"/>
      <c r="C420" s="81" t="n"/>
      <c r="D420" s="82" t="n"/>
      <c r="E420" s="82" t="n"/>
      <c r="F420" s="82" t="n"/>
      <c r="G420" s="82" t="n"/>
      <c r="H420" s="82" t="n"/>
      <c r="I420" s="83" t="n"/>
      <c r="J420" s="82" t="n"/>
      <c r="K420" s="84" t="n"/>
      <c r="L420" s="85" t="n"/>
      <c r="M420" s="82" t="n"/>
      <c r="N420" s="86" t="n"/>
      <c r="O420" s="81" t="n"/>
      <c r="P420" s="82" t="n"/>
      <c r="Q420" s="83" t="n"/>
      <c r="R420" s="82" t="n"/>
      <c r="S420" s="84" t="n"/>
      <c r="T420" s="84" t="n"/>
      <c r="U420" s="82" t="n"/>
      <c r="V420" s="86" t="n"/>
      <c r="W420" s="86" t="n"/>
      <c r="X420" s="86" t="n"/>
      <c r="Y420" s="81" t="n"/>
      <c r="Z420" s="82" t="n"/>
      <c r="AA420" s="81" t="n"/>
      <c r="AB420" s="82" t="n"/>
      <c r="AC420" s="87">
        <f>IF(OR($D420="",$M420="Rejected",$M420="Withdrawn",$M420="Accepted"),"",IF(ISNUMBER($O420),IF(INT($O420)&lt;TODAY(),"FOLLOW UP REQUIRED",IF(INT($O420)=TODAY(),"ACTION DUE TODAY",IF(INT($O420)-TODAY()&lt;=Set_DueSoonDays,"DUE SOON",""))),IF(AND($M420="Applied",$AA420=""),IF(ISNUMBER($C420),IF(TODAY()-$C420&gt;=Set_FollowUpDays,"NO RESPONSE",""),""),"")))</f>
        <v/>
      </c>
      <c r="AD420" s="87">
        <f>IF(ISNUMBER($L420),IF($L420&gt;=90,"Excellent Match",IF($L420&gt;=75,"Strong Match",IF($L420&gt;=60,"Moderate Match","Low Match"))),"")</f>
        <v/>
      </c>
      <c r="AE420" s="87">
        <f>IF($D420="","",IF(OR($M420="Rejected",$M420="Withdrawn"),IF($AB420&lt;&gt;"",$AB420,IF(OR($M420="Rejected",ISNUMBER($C420)),"Applied","Wishlist")),IF($M420="",IF(ISNUMBER($C420),"Applied","Wishlist"),$M420)))</f>
        <v/>
      </c>
      <c r="AF420" s="88">
        <f>IF(AND(ISNUMBER($C420),ISNUMBER($AA420)),$AA420-$C420,"")</f>
        <v/>
      </c>
      <c r="AG420" s="87">
        <f>IF($AE420="","",IFERROR(MATCH($AE420,{"Wishlist","Applied","Screening","Interview 1","Interview 2","Final","Offer","Accepted"},0)-1,""))</f>
        <v/>
      </c>
      <c r="AH420" s="87">
        <f>IF($AC420="","",MATCH($AC420,{"FOLLOW UP REQUIRED","ACTION DUE TODAY","NO RESPONSE","DUE SOON"},0)*100000+IF(ISNUMBER($O420),$O420,IF(ISNUMBER($C420),$C420,0))+ROW()/10000)</f>
        <v/>
      </c>
      <c r="AI420" s="87">
        <f>IF(AND(ISNUMBER($AG420),$AG420&gt;=1,$AG420&lt;=6,$M420&lt;&gt;"Rejected",$M420&lt;&gt;"Withdrawn"),(10-$AG420)*100000+IF(ISNUMBER($C420),$C420,0)+ROW()/10000,"")</f>
        <v/>
      </c>
    </row>
    <row r="421">
      <c r="A421" s="80" t="n"/>
      <c r="B421" s="81" t="n"/>
      <c r="C421" s="81" t="n"/>
      <c r="D421" s="82" t="n"/>
      <c r="E421" s="82" t="n"/>
      <c r="F421" s="82" t="n"/>
      <c r="G421" s="82" t="n"/>
      <c r="H421" s="82" t="n"/>
      <c r="I421" s="83" t="n"/>
      <c r="J421" s="82" t="n"/>
      <c r="K421" s="84" t="n"/>
      <c r="L421" s="85" t="n"/>
      <c r="M421" s="82" t="n"/>
      <c r="N421" s="86" t="n"/>
      <c r="O421" s="81" t="n"/>
      <c r="P421" s="82" t="n"/>
      <c r="Q421" s="83" t="n"/>
      <c r="R421" s="82" t="n"/>
      <c r="S421" s="84" t="n"/>
      <c r="T421" s="84" t="n"/>
      <c r="U421" s="82" t="n"/>
      <c r="V421" s="86" t="n"/>
      <c r="W421" s="86" t="n"/>
      <c r="X421" s="86" t="n"/>
      <c r="Y421" s="81" t="n"/>
      <c r="Z421" s="82" t="n"/>
      <c r="AA421" s="81" t="n"/>
      <c r="AB421" s="82" t="n"/>
      <c r="AC421" s="87">
        <f>IF(OR($D421="",$M421="Rejected",$M421="Withdrawn",$M421="Accepted"),"",IF(ISNUMBER($O421),IF(INT($O421)&lt;TODAY(),"FOLLOW UP REQUIRED",IF(INT($O421)=TODAY(),"ACTION DUE TODAY",IF(INT($O421)-TODAY()&lt;=Set_DueSoonDays,"DUE SOON",""))),IF(AND($M421="Applied",$AA421=""),IF(ISNUMBER($C421),IF(TODAY()-$C421&gt;=Set_FollowUpDays,"NO RESPONSE",""),""),"")))</f>
        <v/>
      </c>
      <c r="AD421" s="87">
        <f>IF(ISNUMBER($L421),IF($L421&gt;=90,"Excellent Match",IF($L421&gt;=75,"Strong Match",IF($L421&gt;=60,"Moderate Match","Low Match"))),"")</f>
        <v/>
      </c>
      <c r="AE421" s="87">
        <f>IF($D421="","",IF(OR($M421="Rejected",$M421="Withdrawn"),IF($AB421&lt;&gt;"",$AB421,IF(OR($M421="Rejected",ISNUMBER($C421)),"Applied","Wishlist")),IF($M421="",IF(ISNUMBER($C421),"Applied","Wishlist"),$M421)))</f>
        <v/>
      </c>
      <c r="AF421" s="88">
        <f>IF(AND(ISNUMBER($C421),ISNUMBER($AA421)),$AA421-$C421,"")</f>
        <v/>
      </c>
      <c r="AG421" s="87">
        <f>IF($AE421="","",IFERROR(MATCH($AE421,{"Wishlist","Applied","Screening","Interview 1","Interview 2","Final","Offer","Accepted"},0)-1,""))</f>
        <v/>
      </c>
      <c r="AH421" s="87">
        <f>IF($AC421="","",MATCH($AC421,{"FOLLOW UP REQUIRED","ACTION DUE TODAY","NO RESPONSE","DUE SOON"},0)*100000+IF(ISNUMBER($O421),$O421,IF(ISNUMBER($C421),$C421,0))+ROW()/10000)</f>
        <v/>
      </c>
      <c r="AI421" s="87">
        <f>IF(AND(ISNUMBER($AG421),$AG421&gt;=1,$AG421&lt;=6,$M421&lt;&gt;"Rejected",$M421&lt;&gt;"Withdrawn"),(10-$AG421)*100000+IF(ISNUMBER($C421),$C421,0)+ROW()/10000,"")</f>
        <v/>
      </c>
    </row>
    <row r="422">
      <c r="A422" s="80" t="n"/>
      <c r="B422" s="81" t="n"/>
      <c r="C422" s="81" t="n"/>
      <c r="D422" s="82" t="n"/>
      <c r="E422" s="82" t="n"/>
      <c r="F422" s="82" t="n"/>
      <c r="G422" s="82" t="n"/>
      <c r="H422" s="82" t="n"/>
      <c r="I422" s="83" t="n"/>
      <c r="J422" s="82" t="n"/>
      <c r="K422" s="84" t="n"/>
      <c r="L422" s="85" t="n"/>
      <c r="M422" s="82" t="n"/>
      <c r="N422" s="86" t="n"/>
      <c r="O422" s="81" t="n"/>
      <c r="P422" s="82" t="n"/>
      <c r="Q422" s="83" t="n"/>
      <c r="R422" s="82" t="n"/>
      <c r="S422" s="84" t="n"/>
      <c r="T422" s="84" t="n"/>
      <c r="U422" s="82" t="n"/>
      <c r="V422" s="86" t="n"/>
      <c r="W422" s="86" t="n"/>
      <c r="X422" s="86" t="n"/>
      <c r="Y422" s="81" t="n"/>
      <c r="Z422" s="82" t="n"/>
      <c r="AA422" s="81" t="n"/>
      <c r="AB422" s="82" t="n"/>
      <c r="AC422" s="87">
        <f>IF(OR($D422="",$M422="Rejected",$M422="Withdrawn",$M422="Accepted"),"",IF(ISNUMBER($O422),IF(INT($O422)&lt;TODAY(),"FOLLOW UP REQUIRED",IF(INT($O422)=TODAY(),"ACTION DUE TODAY",IF(INT($O422)-TODAY()&lt;=Set_DueSoonDays,"DUE SOON",""))),IF(AND($M422="Applied",$AA422=""),IF(ISNUMBER($C422),IF(TODAY()-$C422&gt;=Set_FollowUpDays,"NO RESPONSE",""),""),"")))</f>
        <v/>
      </c>
      <c r="AD422" s="87">
        <f>IF(ISNUMBER($L422),IF($L422&gt;=90,"Excellent Match",IF($L422&gt;=75,"Strong Match",IF($L422&gt;=60,"Moderate Match","Low Match"))),"")</f>
        <v/>
      </c>
      <c r="AE422" s="87">
        <f>IF($D422="","",IF(OR($M422="Rejected",$M422="Withdrawn"),IF($AB422&lt;&gt;"",$AB422,IF(OR($M422="Rejected",ISNUMBER($C422)),"Applied","Wishlist")),IF($M422="",IF(ISNUMBER($C422),"Applied","Wishlist"),$M422)))</f>
        <v/>
      </c>
      <c r="AF422" s="88">
        <f>IF(AND(ISNUMBER($C422),ISNUMBER($AA422)),$AA422-$C422,"")</f>
        <v/>
      </c>
      <c r="AG422" s="87">
        <f>IF($AE422="","",IFERROR(MATCH($AE422,{"Wishlist","Applied","Screening","Interview 1","Interview 2","Final","Offer","Accepted"},0)-1,""))</f>
        <v/>
      </c>
      <c r="AH422" s="87">
        <f>IF($AC422="","",MATCH($AC422,{"FOLLOW UP REQUIRED","ACTION DUE TODAY","NO RESPONSE","DUE SOON"},0)*100000+IF(ISNUMBER($O422),$O422,IF(ISNUMBER($C422),$C422,0))+ROW()/10000)</f>
        <v/>
      </c>
      <c r="AI422" s="87">
        <f>IF(AND(ISNUMBER($AG422),$AG422&gt;=1,$AG422&lt;=6,$M422&lt;&gt;"Rejected",$M422&lt;&gt;"Withdrawn"),(10-$AG422)*100000+IF(ISNUMBER($C422),$C422,0)+ROW()/10000,"")</f>
        <v/>
      </c>
    </row>
    <row r="423">
      <c r="A423" s="80" t="n"/>
      <c r="B423" s="81" t="n"/>
      <c r="C423" s="81" t="n"/>
      <c r="D423" s="82" t="n"/>
      <c r="E423" s="82" t="n"/>
      <c r="F423" s="82" t="n"/>
      <c r="G423" s="82" t="n"/>
      <c r="H423" s="82" t="n"/>
      <c r="I423" s="83" t="n"/>
      <c r="J423" s="82" t="n"/>
      <c r="K423" s="84" t="n"/>
      <c r="L423" s="85" t="n"/>
      <c r="M423" s="82" t="n"/>
      <c r="N423" s="86" t="n"/>
      <c r="O423" s="81" t="n"/>
      <c r="P423" s="82" t="n"/>
      <c r="Q423" s="83" t="n"/>
      <c r="R423" s="82" t="n"/>
      <c r="S423" s="84" t="n"/>
      <c r="T423" s="84" t="n"/>
      <c r="U423" s="82" t="n"/>
      <c r="V423" s="86" t="n"/>
      <c r="W423" s="86" t="n"/>
      <c r="X423" s="86" t="n"/>
      <c r="Y423" s="81" t="n"/>
      <c r="Z423" s="82" t="n"/>
      <c r="AA423" s="81" t="n"/>
      <c r="AB423" s="82" t="n"/>
      <c r="AC423" s="87">
        <f>IF(OR($D423="",$M423="Rejected",$M423="Withdrawn",$M423="Accepted"),"",IF(ISNUMBER($O423),IF(INT($O423)&lt;TODAY(),"FOLLOW UP REQUIRED",IF(INT($O423)=TODAY(),"ACTION DUE TODAY",IF(INT($O423)-TODAY()&lt;=Set_DueSoonDays,"DUE SOON",""))),IF(AND($M423="Applied",$AA423=""),IF(ISNUMBER($C423),IF(TODAY()-$C423&gt;=Set_FollowUpDays,"NO RESPONSE",""),""),"")))</f>
        <v/>
      </c>
      <c r="AD423" s="87">
        <f>IF(ISNUMBER($L423),IF($L423&gt;=90,"Excellent Match",IF($L423&gt;=75,"Strong Match",IF($L423&gt;=60,"Moderate Match","Low Match"))),"")</f>
        <v/>
      </c>
      <c r="AE423" s="87">
        <f>IF($D423="","",IF(OR($M423="Rejected",$M423="Withdrawn"),IF($AB423&lt;&gt;"",$AB423,IF(OR($M423="Rejected",ISNUMBER($C423)),"Applied","Wishlist")),IF($M423="",IF(ISNUMBER($C423),"Applied","Wishlist"),$M423)))</f>
        <v/>
      </c>
      <c r="AF423" s="88">
        <f>IF(AND(ISNUMBER($C423),ISNUMBER($AA423)),$AA423-$C423,"")</f>
        <v/>
      </c>
      <c r="AG423" s="87">
        <f>IF($AE423="","",IFERROR(MATCH($AE423,{"Wishlist","Applied","Screening","Interview 1","Interview 2","Final","Offer","Accepted"},0)-1,""))</f>
        <v/>
      </c>
      <c r="AH423" s="87">
        <f>IF($AC423="","",MATCH($AC423,{"FOLLOW UP REQUIRED","ACTION DUE TODAY","NO RESPONSE","DUE SOON"},0)*100000+IF(ISNUMBER($O423),$O423,IF(ISNUMBER($C423),$C423,0))+ROW()/10000)</f>
        <v/>
      </c>
      <c r="AI423" s="87">
        <f>IF(AND(ISNUMBER($AG423),$AG423&gt;=1,$AG423&lt;=6,$M423&lt;&gt;"Rejected",$M423&lt;&gt;"Withdrawn"),(10-$AG423)*100000+IF(ISNUMBER($C423),$C423,0)+ROW()/10000,"")</f>
        <v/>
      </c>
    </row>
    <row r="424">
      <c r="A424" s="80" t="n"/>
      <c r="B424" s="81" t="n"/>
      <c r="C424" s="81" t="n"/>
      <c r="D424" s="82" t="n"/>
      <c r="E424" s="82" t="n"/>
      <c r="F424" s="82" t="n"/>
      <c r="G424" s="82" t="n"/>
      <c r="H424" s="82" t="n"/>
      <c r="I424" s="83" t="n"/>
      <c r="J424" s="82" t="n"/>
      <c r="K424" s="84" t="n"/>
      <c r="L424" s="85" t="n"/>
      <c r="M424" s="82" t="n"/>
      <c r="N424" s="86" t="n"/>
      <c r="O424" s="81" t="n"/>
      <c r="P424" s="82" t="n"/>
      <c r="Q424" s="83" t="n"/>
      <c r="R424" s="82" t="n"/>
      <c r="S424" s="84" t="n"/>
      <c r="T424" s="84" t="n"/>
      <c r="U424" s="82" t="n"/>
      <c r="V424" s="86" t="n"/>
      <c r="W424" s="86" t="n"/>
      <c r="X424" s="86" t="n"/>
      <c r="Y424" s="81" t="n"/>
      <c r="Z424" s="82" t="n"/>
      <c r="AA424" s="81" t="n"/>
      <c r="AB424" s="82" t="n"/>
      <c r="AC424" s="87">
        <f>IF(OR($D424="",$M424="Rejected",$M424="Withdrawn",$M424="Accepted"),"",IF(ISNUMBER($O424),IF(INT($O424)&lt;TODAY(),"FOLLOW UP REQUIRED",IF(INT($O424)=TODAY(),"ACTION DUE TODAY",IF(INT($O424)-TODAY()&lt;=Set_DueSoonDays,"DUE SOON",""))),IF(AND($M424="Applied",$AA424=""),IF(ISNUMBER($C424),IF(TODAY()-$C424&gt;=Set_FollowUpDays,"NO RESPONSE",""),""),"")))</f>
        <v/>
      </c>
      <c r="AD424" s="87">
        <f>IF(ISNUMBER($L424),IF($L424&gt;=90,"Excellent Match",IF($L424&gt;=75,"Strong Match",IF($L424&gt;=60,"Moderate Match","Low Match"))),"")</f>
        <v/>
      </c>
      <c r="AE424" s="87">
        <f>IF($D424="","",IF(OR($M424="Rejected",$M424="Withdrawn"),IF($AB424&lt;&gt;"",$AB424,IF(OR($M424="Rejected",ISNUMBER($C424)),"Applied","Wishlist")),IF($M424="",IF(ISNUMBER($C424),"Applied","Wishlist"),$M424)))</f>
        <v/>
      </c>
      <c r="AF424" s="88">
        <f>IF(AND(ISNUMBER($C424),ISNUMBER($AA424)),$AA424-$C424,"")</f>
        <v/>
      </c>
      <c r="AG424" s="87">
        <f>IF($AE424="","",IFERROR(MATCH($AE424,{"Wishlist","Applied","Screening","Interview 1","Interview 2","Final","Offer","Accepted"},0)-1,""))</f>
        <v/>
      </c>
      <c r="AH424" s="87">
        <f>IF($AC424="","",MATCH($AC424,{"FOLLOW UP REQUIRED","ACTION DUE TODAY","NO RESPONSE","DUE SOON"},0)*100000+IF(ISNUMBER($O424),$O424,IF(ISNUMBER($C424),$C424,0))+ROW()/10000)</f>
        <v/>
      </c>
      <c r="AI424" s="87">
        <f>IF(AND(ISNUMBER($AG424),$AG424&gt;=1,$AG424&lt;=6,$M424&lt;&gt;"Rejected",$M424&lt;&gt;"Withdrawn"),(10-$AG424)*100000+IF(ISNUMBER($C424),$C424,0)+ROW()/10000,"")</f>
        <v/>
      </c>
    </row>
    <row r="425">
      <c r="A425" s="80" t="n"/>
      <c r="B425" s="81" t="n"/>
      <c r="C425" s="81" t="n"/>
      <c r="D425" s="82" t="n"/>
      <c r="E425" s="82" t="n"/>
      <c r="F425" s="82" t="n"/>
      <c r="G425" s="82" t="n"/>
      <c r="H425" s="82" t="n"/>
      <c r="I425" s="83" t="n"/>
      <c r="J425" s="82" t="n"/>
      <c r="K425" s="84" t="n"/>
      <c r="L425" s="85" t="n"/>
      <c r="M425" s="82" t="n"/>
      <c r="N425" s="86" t="n"/>
      <c r="O425" s="81" t="n"/>
      <c r="P425" s="82" t="n"/>
      <c r="Q425" s="83" t="n"/>
      <c r="R425" s="82" t="n"/>
      <c r="S425" s="84" t="n"/>
      <c r="T425" s="84" t="n"/>
      <c r="U425" s="82" t="n"/>
      <c r="V425" s="86" t="n"/>
      <c r="W425" s="86" t="n"/>
      <c r="X425" s="86" t="n"/>
      <c r="Y425" s="81" t="n"/>
      <c r="Z425" s="82" t="n"/>
      <c r="AA425" s="81" t="n"/>
      <c r="AB425" s="82" t="n"/>
      <c r="AC425" s="87">
        <f>IF(OR($D425="",$M425="Rejected",$M425="Withdrawn",$M425="Accepted"),"",IF(ISNUMBER($O425),IF(INT($O425)&lt;TODAY(),"FOLLOW UP REQUIRED",IF(INT($O425)=TODAY(),"ACTION DUE TODAY",IF(INT($O425)-TODAY()&lt;=Set_DueSoonDays,"DUE SOON",""))),IF(AND($M425="Applied",$AA425=""),IF(ISNUMBER($C425),IF(TODAY()-$C425&gt;=Set_FollowUpDays,"NO RESPONSE",""),""),"")))</f>
        <v/>
      </c>
      <c r="AD425" s="87">
        <f>IF(ISNUMBER($L425),IF($L425&gt;=90,"Excellent Match",IF($L425&gt;=75,"Strong Match",IF($L425&gt;=60,"Moderate Match","Low Match"))),"")</f>
        <v/>
      </c>
      <c r="AE425" s="87">
        <f>IF($D425="","",IF(OR($M425="Rejected",$M425="Withdrawn"),IF($AB425&lt;&gt;"",$AB425,IF(OR($M425="Rejected",ISNUMBER($C425)),"Applied","Wishlist")),IF($M425="",IF(ISNUMBER($C425),"Applied","Wishlist"),$M425)))</f>
        <v/>
      </c>
      <c r="AF425" s="88">
        <f>IF(AND(ISNUMBER($C425),ISNUMBER($AA425)),$AA425-$C425,"")</f>
        <v/>
      </c>
      <c r="AG425" s="87">
        <f>IF($AE425="","",IFERROR(MATCH($AE425,{"Wishlist","Applied","Screening","Interview 1","Interview 2","Final","Offer","Accepted"},0)-1,""))</f>
        <v/>
      </c>
      <c r="AH425" s="87">
        <f>IF($AC425="","",MATCH($AC425,{"FOLLOW UP REQUIRED","ACTION DUE TODAY","NO RESPONSE","DUE SOON"},0)*100000+IF(ISNUMBER($O425),$O425,IF(ISNUMBER($C425),$C425,0))+ROW()/10000)</f>
        <v/>
      </c>
      <c r="AI425" s="87">
        <f>IF(AND(ISNUMBER($AG425),$AG425&gt;=1,$AG425&lt;=6,$M425&lt;&gt;"Rejected",$M425&lt;&gt;"Withdrawn"),(10-$AG425)*100000+IF(ISNUMBER($C425),$C425,0)+ROW()/10000,"")</f>
        <v/>
      </c>
    </row>
    <row r="426">
      <c r="A426" s="80" t="n"/>
      <c r="B426" s="81" t="n"/>
      <c r="C426" s="81" t="n"/>
      <c r="D426" s="82" t="n"/>
      <c r="E426" s="82" t="n"/>
      <c r="F426" s="82" t="n"/>
      <c r="G426" s="82" t="n"/>
      <c r="H426" s="82" t="n"/>
      <c r="I426" s="83" t="n"/>
      <c r="J426" s="82" t="n"/>
      <c r="K426" s="84" t="n"/>
      <c r="L426" s="85" t="n"/>
      <c r="M426" s="82" t="n"/>
      <c r="N426" s="86" t="n"/>
      <c r="O426" s="81" t="n"/>
      <c r="P426" s="82" t="n"/>
      <c r="Q426" s="83" t="n"/>
      <c r="R426" s="82" t="n"/>
      <c r="S426" s="84" t="n"/>
      <c r="T426" s="84" t="n"/>
      <c r="U426" s="82" t="n"/>
      <c r="V426" s="86" t="n"/>
      <c r="W426" s="86" t="n"/>
      <c r="X426" s="86" t="n"/>
      <c r="Y426" s="81" t="n"/>
      <c r="Z426" s="82" t="n"/>
      <c r="AA426" s="81" t="n"/>
      <c r="AB426" s="82" t="n"/>
      <c r="AC426" s="87">
        <f>IF(OR($D426="",$M426="Rejected",$M426="Withdrawn",$M426="Accepted"),"",IF(ISNUMBER($O426),IF(INT($O426)&lt;TODAY(),"FOLLOW UP REQUIRED",IF(INT($O426)=TODAY(),"ACTION DUE TODAY",IF(INT($O426)-TODAY()&lt;=Set_DueSoonDays,"DUE SOON",""))),IF(AND($M426="Applied",$AA426=""),IF(ISNUMBER($C426),IF(TODAY()-$C426&gt;=Set_FollowUpDays,"NO RESPONSE",""),""),"")))</f>
        <v/>
      </c>
      <c r="AD426" s="87">
        <f>IF(ISNUMBER($L426),IF($L426&gt;=90,"Excellent Match",IF($L426&gt;=75,"Strong Match",IF($L426&gt;=60,"Moderate Match","Low Match"))),"")</f>
        <v/>
      </c>
      <c r="AE426" s="87">
        <f>IF($D426="","",IF(OR($M426="Rejected",$M426="Withdrawn"),IF($AB426&lt;&gt;"",$AB426,IF(OR($M426="Rejected",ISNUMBER($C426)),"Applied","Wishlist")),IF($M426="",IF(ISNUMBER($C426),"Applied","Wishlist"),$M426)))</f>
        <v/>
      </c>
      <c r="AF426" s="88">
        <f>IF(AND(ISNUMBER($C426),ISNUMBER($AA426)),$AA426-$C426,"")</f>
        <v/>
      </c>
      <c r="AG426" s="87">
        <f>IF($AE426="","",IFERROR(MATCH($AE426,{"Wishlist","Applied","Screening","Interview 1","Interview 2","Final","Offer","Accepted"},0)-1,""))</f>
        <v/>
      </c>
      <c r="AH426" s="87">
        <f>IF($AC426="","",MATCH($AC426,{"FOLLOW UP REQUIRED","ACTION DUE TODAY","NO RESPONSE","DUE SOON"},0)*100000+IF(ISNUMBER($O426),$O426,IF(ISNUMBER($C426),$C426,0))+ROW()/10000)</f>
        <v/>
      </c>
      <c r="AI426" s="87">
        <f>IF(AND(ISNUMBER($AG426),$AG426&gt;=1,$AG426&lt;=6,$M426&lt;&gt;"Rejected",$M426&lt;&gt;"Withdrawn"),(10-$AG426)*100000+IF(ISNUMBER($C426),$C426,0)+ROW()/10000,"")</f>
        <v/>
      </c>
    </row>
    <row r="427">
      <c r="A427" s="80" t="n"/>
      <c r="B427" s="81" t="n"/>
      <c r="C427" s="81" t="n"/>
      <c r="D427" s="82" t="n"/>
      <c r="E427" s="82" t="n"/>
      <c r="F427" s="82" t="n"/>
      <c r="G427" s="82" t="n"/>
      <c r="H427" s="82" t="n"/>
      <c r="I427" s="83" t="n"/>
      <c r="J427" s="82" t="n"/>
      <c r="K427" s="84" t="n"/>
      <c r="L427" s="85" t="n"/>
      <c r="M427" s="82" t="n"/>
      <c r="N427" s="86" t="n"/>
      <c r="O427" s="81" t="n"/>
      <c r="P427" s="82" t="n"/>
      <c r="Q427" s="83" t="n"/>
      <c r="R427" s="82" t="n"/>
      <c r="S427" s="84" t="n"/>
      <c r="T427" s="84" t="n"/>
      <c r="U427" s="82" t="n"/>
      <c r="V427" s="86" t="n"/>
      <c r="W427" s="86" t="n"/>
      <c r="X427" s="86" t="n"/>
      <c r="Y427" s="81" t="n"/>
      <c r="Z427" s="82" t="n"/>
      <c r="AA427" s="81" t="n"/>
      <c r="AB427" s="82" t="n"/>
      <c r="AC427" s="87">
        <f>IF(OR($D427="",$M427="Rejected",$M427="Withdrawn",$M427="Accepted"),"",IF(ISNUMBER($O427),IF(INT($O427)&lt;TODAY(),"FOLLOW UP REQUIRED",IF(INT($O427)=TODAY(),"ACTION DUE TODAY",IF(INT($O427)-TODAY()&lt;=Set_DueSoonDays,"DUE SOON",""))),IF(AND($M427="Applied",$AA427=""),IF(ISNUMBER($C427),IF(TODAY()-$C427&gt;=Set_FollowUpDays,"NO RESPONSE",""),""),"")))</f>
        <v/>
      </c>
      <c r="AD427" s="87">
        <f>IF(ISNUMBER($L427),IF($L427&gt;=90,"Excellent Match",IF($L427&gt;=75,"Strong Match",IF($L427&gt;=60,"Moderate Match","Low Match"))),"")</f>
        <v/>
      </c>
      <c r="AE427" s="87">
        <f>IF($D427="","",IF(OR($M427="Rejected",$M427="Withdrawn"),IF($AB427&lt;&gt;"",$AB427,IF(OR($M427="Rejected",ISNUMBER($C427)),"Applied","Wishlist")),IF($M427="",IF(ISNUMBER($C427),"Applied","Wishlist"),$M427)))</f>
        <v/>
      </c>
      <c r="AF427" s="88">
        <f>IF(AND(ISNUMBER($C427),ISNUMBER($AA427)),$AA427-$C427,"")</f>
        <v/>
      </c>
      <c r="AG427" s="87">
        <f>IF($AE427="","",IFERROR(MATCH($AE427,{"Wishlist","Applied","Screening","Interview 1","Interview 2","Final","Offer","Accepted"},0)-1,""))</f>
        <v/>
      </c>
      <c r="AH427" s="87">
        <f>IF($AC427="","",MATCH($AC427,{"FOLLOW UP REQUIRED","ACTION DUE TODAY","NO RESPONSE","DUE SOON"},0)*100000+IF(ISNUMBER($O427),$O427,IF(ISNUMBER($C427),$C427,0))+ROW()/10000)</f>
        <v/>
      </c>
      <c r="AI427" s="87">
        <f>IF(AND(ISNUMBER($AG427),$AG427&gt;=1,$AG427&lt;=6,$M427&lt;&gt;"Rejected",$M427&lt;&gt;"Withdrawn"),(10-$AG427)*100000+IF(ISNUMBER($C427),$C427,0)+ROW()/10000,"")</f>
        <v/>
      </c>
    </row>
    <row r="428">
      <c r="A428" s="80" t="n"/>
      <c r="B428" s="81" t="n"/>
      <c r="C428" s="81" t="n"/>
      <c r="D428" s="82" t="n"/>
      <c r="E428" s="82" t="n"/>
      <c r="F428" s="82" t="n"/>
      <c r="G428" s="82" t="n"/>
      <c r="H428" s="82" t="n"/>
      <c r="I428" s="83" t="n"/>
      <c r="J428" s="82" t="n"/>
      <c r="K428" s="84" t="n"/>
      <c r="L428" s="85" t="n"/>
      <c r="M428" s="82" t="n"/>
      <c r="N428" s="86" t="n"/>
      <c r="O428" s="81" t="n"/>
      <c r="P428" s="82" t="n"/>
      <c r="Q428" s="83" t="n"/>
      <c r="R428" s="82" t="n"/>
      <c r="S428" s="84" t="n"/>
      <c r="T428" s="84" t="n"/>
      <c r="U428" s="82" t="n"/>
      <c r="V428" s="86" t="n"/>
      <c r="W428" s="86" t="n"/>
      <c r="X428" s="86" t="n"/>
      <c r="Y428" s="81" t="n"/>
      <c r="Z428" s="82" t="n"/>
      <c r="AA428" s="81" t="n"/>
      <c r="AB428" s="82" t="n"/>
      <c r="AC428" s="87">
        <f>IF(OR($D428="",$M428="Rejected",$M428="Withdrawn",$M428="Accepted"),"",IF(ISNUMBER($O428),IF(INT($O428)&lt;TODAY(),"FOLLOW UP REQUIRED",IF(INT($O428)=TODAY(),"ACTION DUE TODAY",IF(INT($O428)-TODAY()&lt;=Set_DueSoonDays,"DUE SOON",""))),IF(AND($M428="Applied",$AA428=""),IF(ISNUMBER($C428),IF(TODAY()-$C428&gt;=Set_FollowUpDays,"NO RESPONSE",""),""),"")))</f>
        <v/>
      </c>
      <c r="AD428" s="87">
        <f>IF(ISNUMBER($L428),IF($L428&gt;=90,"Excellent Match",IF($L428&gt;=75,"Strong Match",IF($L428&gt;=60,"Moderate Match","Low Match"))),"")</f>
        <v/>
      </c>
      <c r="AE428" s="87">
        <f>IF($D428="","",IF(OR($M428="Rejected",$M428="Withdrawn"),IF($AB428&lt;&gt;"",$AB428,IF(OR($M428="Rejected",ISNUMBER($C428)),"Applied","Wishlist")),IF($M428="",IF(ISNUMBER($C428),"Applied","Wishlist"),$M428)))</f>
        <v/>
      </c>
      <c r="AF428" s="88">
        <f>IF(AND(ISNUMBER($C428),ISNUMBER($AA428)),$AA428-$C428,"")</f>
        <v/>
      </c>
      <c r="AG428" s="87">
        <f>IF($AE428="","",IFERROR(MATCH($AE428,{"Wishlist","Applied","Screening","Interview 1","Interview 2","Final","Offer","Accepted"},0)-1,""))</f>
        <v/>
      </c>
      <c r="AH428" s="87">
        <f>IF($AC428="","",MATCH($AC428,{"FOLLOW UP REQUIRED","ACTION DUE TODAY","NO RESPONSE","DUE SOON"},0)*100000+IF(ISNUMBER($O428),$O428,IF(ISNUMBER($C428),$C428,0))+ROW()/10000)</f>
        <v/>
      </c>
      <c r="AI428" s="87">
        <f>IF(AND(ISNUMBER($AG428),$AG428&gt;=1,$AG428&lt;=6,$M428&lt;&gt;"Rejected",$M428&lt;&gt;"Withdrawn"),(10-$AG428)*100000+IF(ISNUMBER($C428),$C428,0)+ROW()/10000,"")</f>
        <v/>
      </c>
    </row>
    <row r="429">
      <c r="A429" s="80" t="n"/>
      <c r="B429" s="81" t="n"/>
      <c r="C429" s="81" t="n"/>
      <c r="D429" s="82" t="n"/>
      <c r="E429" s="82" t="n"/>
      <c r="F429" s="82" t="n"/>
      <c r="G429" s="82" t="n"/>
      <c r="H429" s="82" t="n"/>
      <c r="I429" s="83" t="n"/>
      <c r="J429" s="82" t="n"/>
      <c r="K429" s="84" t="n"/>
      <c r="L429" s="85" t="n"/>
      <c r="M429" s="82" t="n"/>
      <c r="N429" s="86" t="n"/>
      <c r="O429" s="81" t="n"/>
      <c r="P429" s="82" t="n"/>
      <c r="Q429" s="83" t="n"/>
      <c r="R429" s="82" t="n"/>
      <c r="S429" s="84" t="n"/>
      <c r="T429" s="84" t="n"/>
      <c r="U429" s="82" t="n"/>
      <c r="V429" s="86" t="n"/>
      <c r="W429" s="86" t="n"/>
      <c r="X429" s="86" t="n"/>
      <c r="Y429" s="81" t="n"/>
      <c r="Z429" s="82" t="n"/>
      <c r="AA429" s="81" t="n"/>
      <c r="AB429" s="82" t="n"/>
      <c r="AC429" s="87">
        <f>IF(OR($D429="",$M429="Rejected",$M429="Withdrawn",$M429="Accepted"),"",IF(ISNUMBER($O429),IF(INT($O429)&lt;TODAY(),"FOLLOW UP REQUIRED",IF(INT($O429)=TODAY(),"ACTION DUE TODAY",IF(INT($O429)-TODAY()&lt;=Set_DueSoonDays,"DUE SOON",""))),IF(AND($M429="Applied",$AA429=""),IF(ISNUMBER($C429),IF(TODAY()-$C429&gt;=Set_FollowUpDays,"NO RESPONSE",""),""),"")))</f>
        <v/>
      </c>
      <c r="AD429" s="87">
        <f>IF(ISNUMBER($L429),IF($L429&gt;=90,"Excellent Match",IF($L429&gt;=75,"Strong Match",IF($L429&gt;=60,"Moderate Match","Low Match"))),"")</f>
        <v/>
      </c>
      <c r="AE429" s="87">
        <f>IF($D429="","",IF(OR($M429="Rejected",$M429="Withdrawn"),IF($AB429&lt;&gt;"",$AB429,IF(OR($M429="Rejected",ISNUMBER($C429)),"Applied","Wishlist")),IF($M429="",IF(ISNUMBER($C429),"Applied","Wishlist"),$M429)))</f>
        <v/>
      </c>
      <c r="AF429" s="88">
        <f>IF(AND(ISNUMBER($C429),ISNUMBER($AA429)),$AA429-$C429,"")</f>
        <v/>
      </c>
      <c r="AG429" s="87">
        <f>IF($AE429="","",IFERROR(MATCH($AE429,{"Wishlist","Applied","Screening","Interview 1","Interview 2","Final","Offer","Accepted"},0)-1,""))</f>
        <v/>
      </c>
      <c r="AH429" s="87">
        <f>IF($AC429="","",MATCH($AC429,{"FOLLOW UP REQUIRED","ACTION DUE TODAY","NO RESPONSE","DUE SOON"},0)*100000+IF(ISNUMBER($O429),$O429,IF(ISNUMBER($C429),$C429,0))+ROW()/10000)</f>
        <v/>
      </c>
      <c r="AI429" s="87">
        <f>IF(AND(ISNUMBER($AG429),$AG429&gt;=1,$AG429&lt;=6,$M429&lt;&gt;"Rejected",$M429&lt;&gt;"Withdrawn"),(10-$AG429)*100000+IF(ISNUMBER($C429),$C429,0)+ROW()/10000,"")</f>
        <v/>
      </c>
    </row>
    <row r="430">
      <c r="A430" s="80" t="n"/>
      <c r="B430" s="81" t="n"/>
      <c r="C430" s="81" t="n"/>
      <c r="D430" s="82" t="n"/>
      <c r="E430" s="82" t="n"/>
      <c r="F430" s="82" t="n"/>
      <c r="G430" s="82" t="n"/>
      <c r="H430" s="82" t="n"/>
      <c r="I430" s="83" t="n"/>
      <c r="J430" s="82" t="n"/>
      <c r="K430" s="84" t="n"/>
      <c r="L430" s="85" t="n"/>
      <c r="M430" s="82" t="n"/>
      <c r="N430" s="86" t="n"/>
      <c r="O430" s="81" t="n"/>
      <c r="P430" s="82" t="n"/>
      <c r="Q430" s="83" t="n"/>
      <c r="R430" s="82" t="n"/>
      <c r="S430" s="84" t="n"/>
      <c r="T430" s="84" t="n"/>
      <c r="U430" s="82" t="n"/>
      <c r="V430" s="86" t="n"/>
      <c r="W430" s="86" t="n"/>
      <c r="X430" s="86" t="n"/>
      <c r="Y430" s="81" t="n"/>
      <c r="Z430" s="82" t="n"/>
      <c r="AA430" s="81" t="n"/>
      <c r="AB430" s="82" t="n"/>
      <c r="AC430" s="87">
        <f>IF(OR($D430="",$M430="Rejected",$M430="Withdrawn",$M430="Accepted"),"",IF(ISNUMBER($O430),IF(INT($O430)&lt;TODAY(),"FOLLOW UP REQUIRED",IF(INT($O430)=TODAY(),"ACTION DUE TODAY",IF(INT($O430)-TODAY()&lt;=Set_DueSoonDays,"DUE SOON",""))),IF(AND($M430="Applied",$AA430=""),IF(ISNUMBER($C430),IF(TODAY()-$C430&gt;=Set_FollowUpDays,"NO RESPONSE",""),""),"")))</f>
        <v/>
      </c>
      <c r="AD430" s="87">
        <f>IF(ISNUMBER($L430),IF($L430&gt;=90,"Excellent Match",IF($L430&gt;=75,"Strong Match",IF($L430&gt;=60,"Moderate Match","Low Match"))),"")</f>
        <v/>
      </c>
      <c r="AE430" s="87">
        <f>IF($D430="","",IF(OR($M430="Rejected",$M430="Withdrawn"),IF($AB430&lt;&gt;"",$AB430,IF(OR($M430="Rejected",ISNUMBER($C430)),"Applied","Wishlist")),IF($M430="",IF(ISNUMBER($C430),"Applied","Wishlist"),$M430)))</f>
        <v/>
      </c>
      <c r="AF430" s="88">
        <f>IF(AND(ISNUMBER($C430),ISNUMBER($AA430)),$AA430-$C430,"")</f>
        <v/>
      </c>
      <c r="AG430" s="87">
        <f>IF($AE430="","",IFERROR(MATCH($AE430,{"Wishlist","Applied","Screening","Interview 1","Interview 2","Final","Offer","Accepted"},0)-1,""))</f>
        <v/>
      </c>
      <c r="AH430" s="87">
        <f>IF($AC430="","",MATCH($AC430,{"FOLLOW UP REQUIRED","ACTION DUE TODAY","NO RESPONSE","DUE SOON"},0)*100000+IF(ISNUMBER($O430),$O430,IF(ISNUMBER($C430),$C430,0))+ROW()/10000)</f>
        <v/>
      </c>
      <c r="AI430" s="87">
        <f>IF(AND(ISNUMBER($AG430),$AG430&gt;=1,$AG430&lt;=6,$M430&lt;&gt;"Rejected",$M430&lt;&gt;"Withdrawn"),(10-$AG430)*100000+IF(ISNUMBER($C430),$C430,0)+ROW()/10000,"")</f>
        <v/>
      </c>
    </row>
    <row r="431">
      <c r="A431" s="80" t="n"/>
      <c r="B431" s="81" t="n"/>
      <c r="C431" s="81" t="n"/>
      <c r="D431" s="82" t="n"/>
      <c r="E431" s="82" t="n"/>
      <c r="F431" s="82" t="n"/>
      <c r="G431" s="82" t="n"/>
      <c r="H431" s="82" t="n"/>
      <c r="I431" s="83" t="n"/>
      <c r="J431" s="82" t="n"/>
      <c r="K431" s="84" t="n"/>
      <c r="L431" s="85" t="n"/>
      <c r="M431" s="82" t="n"/>
      <c r="N431" s="86" t="n"/>
      <c r="O431" s="81" t="n"/>
      <c r="P431" s="82" t="n"/>
      <c r="Q431" s="83" t="n"/>
      <c r="R431" s="82" t="n"/>
      <c r="S431" s="84" t="n"/>
      <c r="T431" s="84" t="n"/>
      <c r="U431" s="82" t="n"/>
      <c r="V431" s="86" t="n"/>
      <c r="W431" s="86" t="n"/>
      <c r="X431" s="86" t="n"/>
      <c r="Y431" s="81" t="n"/>
      <c r="Z431" s="82" t="n"/>
      <c r="AA431" s="81" t="n"/>
      <c r="AB431" s="82" t="n"/>
      <c r="AC431" s="87">
        <f>IF(OR($D431="",$M431="Rejected",$M431="Withdrawn",$M431="Accepted"),"",IF(ISNUMBER($O431),IF(INT($O431)&lt;TODAY(),"FOLLOW UP REQUIRED",IF(INT($O431)=TODAY(),"ACTION DUE TODAY",IF(INT($O431)-TODAY()&lt;=Set_DueSoonDays,"DUE SOON",""))),IF(AND($M431="Applied",$AA431=""),IF(ISNUMBER($C431),IF(TODAY()-$C431&gt;=Set_FollowUpDays,"NO RESPONSE",""),""),"")))</f>
        <v/>
      </c>
      <c r="AD431" s="87">
        <f>IF(ISNUMBER($L431),IF($L431&gt;=90,"Excellent Match",IF($L431&gt;=75,"Strong Match",IF($L431&gt;=60,"Moderate Match","Low Match"))),"")</f>
        <v/>
      </c>
      <c r="AE431" s="87">
        <f>IF($D431="","",IF(OR($M431="Rejected",$M431="Withdrawn"),IF($AB431&lt;&gt;"",$AB431,IF(OR($M431="Rejected",ISNUMBER($C431)),"Applied","Wishlist")),IF($M431="",IF(ISNUMBER($C431),"Applied","Wishlist"),$M431)))</f>
        <v/>
      </c>
      <c r="AF431" s="88">
        <f>IF(AND(ISNUMBER($C431),ISNUMBER($AA431)),$AA431-$C431,"")</f>
        <v/>
      </c>
      <c r="AG431" s="87">
        <f>IF($AE431="","",IFERROR(MATCH($AE431,{"Wishlist","Applied","Screening","Interview 1","Interview 2","Final","Offer","Accepted"},0)-1,""))</f>
        <v/>
      </c>
      <c r="AH431" s="87">
        <f>IF($AC431="","",MATCH($AC431,{"FOLLOW UP REQUIRED","ACTION DUE TODAY","NO RESPONSE","DUE SOON"},0)*100000+IF(ISNUMBER($O431),$O431,IF(ISNUMBER($C431),$C431,0))+ROW()/10000)</f>
        <v/>
      </c>
      <c r="AI431" s="87">
        <f>IF(AND(ISNUMBER($AG431),$AG431&gt;=1,$AG431&lt;=6,$M431&lt;&gt;"Rejected",$M431&lt;&gt;"Withdrawn"),(10-$AG431)*100000+IF(ISNUMBER($C431),$C431,0)+ROW()/10000,"")</f>
        <v/>
      </c>
    </row>
    <row r="432">
      <c r="A432" s="80" t="n"/>
      <c r="B432" s="81" t="n"/>
      <c r="C432" s="81" t="n"/>
      <c r="D432" s="82" t="n"/>
      <c r="E432" s="82" t="n"/>
      <c r="F432" s="82" t="n"/>
      <c r="G432" s="82" t="n"/>
      <c r="H432" s="82" t="n"/>
      <c r="I432" s="83" t="n"/>
      <c r="J432" s="82" t="n"/>
      <c r="K432" s="84" t="n"/>
      <c r="L432" s="85" t="n"/>
      <c r="M432" s="82" t="n"/>
      <c r="N432" s="86" t="n"/>
      <c r="O432" s="81" t="n"/>
      <c r="P432" s="82" t="n"/>
      <c r="Q432" s="83" t="n"/>
      <c r="R432" s="82" t="n"/>
      <c r="S432" s="84" t="n"/>
      <c r="T432" s="84" t="n"/>
      <c r="U432" s="82" t="n"/>
      <c r="V432" s="86" t="n"/>
      <c r="W432" s="86" t="n"/>
      <c r="X432" s="86" t="n"/>
      <c r="Y432" s="81" t="n"/>
      <c r="Z432" s="82" t="n"/>
      <c r="AA432" s="81" t="n"/>
      <c r="AB432" s="82" t="n"/>
      <c r="AC432" s="87">
        <f>IF(OR($D432="",$M432="Rejected",$M432="Withdrawn",$M432="Accepted"),"",IF(ISNUMBER($O432),IF(INT($O432)&lt;TODAY(),"FOLLOW UP REQUIRED",IF(INT($O432)=TODAY(),"ACTION DUE TODAY",IF(INT($O432)-TODAY()&lt;=Set_DueSoonDays,"DUE SOON",""))),IF(AND($M432="Applied",$AA432=""),IF(ISNUMBER($C432),IF(TODAY()-$C432&gt;=Set_FollowUpDays,"NO RESPONSE",""),""),"")))</f>
        <v/>
      </c>
      <c r="AD432" s="87">
        <f>IF(ISNUMBER($L432),IF($L432&gt;=90,"Excellent Match",IF($L432&gt;=75,"Strong Match",IF($L432&gt;=60,"Moderate Match","Low Match"))),"")</f>
        <v/>
      </c>
      <c r="AE432" s="87">
        <f>IF($D432="","",IF(OR($M432="Rejected",$M432="Withdrawn"),IF($AB432&lt;&gt;"",$AB432,IF(OR($M432="Rejected",ISNUMBER($C432)),"Applied","Wishlist")),IF($M432="",IF(ISNUMBER($C432),"Applied","Wishlist"),$M432)))</f>
        <v/>
      </c>
      <c r="AF432" s="88">
        <f>IF(AND(ISNUMBER($C432),ISNUMBER($AA432)),$AA432-$C432,"")</f>
        <v/>
      </c>
      <c r="AG432" s="87">
        <f>IF($AE432="","",IFERROR(MATCH($AE432,{"Wishlist","Applied","Screening","Interview 1","Interview 2","Final","Offer","Accepted"},0)-1,""))</f>
        <v/>
      </c>
      <c r="AH432" s="87">
        <f>IF($AC432="","",MATCH($AC432,{"FOLLOW UP REQUIRED","ACTION DUE TODAY","NO RESPONSE","DUE SOON"},0)*100000+IF(ISNUMBER($O432),$O432,IF(ISNUMBER($C432),$C432,0))+ROW()/10000)</f>
        <v/>
      </c>
      <c r="AI432" s="87">
        <f>IF(AND(ISNUMBER($AG432),$AG432&gt;=1,$AG432&lt;=6,$M432&lt;&gt;"Rejected",$M432&lt;&gt;"Withdrawn"),(10-$AG432)*100000+IF(ISNUMBER($C432),$C432,0)+ROW()/10000,"")</f>
        <v/>
      </c>
    </row>
    <row r="433">
      <c r="A433" s="80" t="n"/>
      <c r="B433" s="81" t="n"/>
      <c r="C433" s="81" t="n"/>
      <c r="D433" s="82" t="n"/>
      <c r="E433" s="82" t="n"/>
      <c r="F433" s="82" t="n"/>
      <c r="G433" s="82" t="n"/>
      <c r="H433" s="82" t="n"/>
      <c r="I433" s="83" t="n"/>
      <c r="J433" s="82" t="n"/>
      <c r="K433" s="84" t="n"/>
      <c r="L433" s="85" t="n"/>
      <c r="M433" s="82" t="n"/>
      <c r="N433" s="86" t="n"/>
      <c r="O433" s="81" t="n"/>
      <c r="P433" s="82" t="n"/>
      <c r="Q433" s="83" t="n"/>
      <c r="R433" s="82" t="n"/>
      <c r="S433" s="84" t="n"/>
      <c r="T433" s="84" t="n"/>
      <c r="U433" s="82" t="n"/>
      <c r="V433" s="86" t="n"/>
      <c r="W433" s="86" t="n"/>
      <c r="X433" s="86" t="n"/>
      <c r="Y433" s="81" t="n"/>
      <c r="Z433" s="82" t="n"/>
      <c r="AA433" s="81" t="n"/>
      <c r="AB433" s="82" t="n"/>
      <c r="AC433" s="87">
        <f>IF(OR($D433="",$M433="Rejected",$M433="Withdrawn",$M433="Accepted"),"",IF(ISNUMBER($O433),IF(INT($O433)&lt;TODAY(),"FOLLOW UP REQUIRED",IF(INT($O433)=TODAY(),"ACTION DUE TODAY",IF(INT($O433)-TODAY()&lt;=Set_DueSoonDays,"DUE SOON",""))),IF(AND($M433="Applied",$AA433=""),IF(ISNUMBER($C433),IF(TODAY()-$C433&gt;=Set_FollowUpDays,"NO RESPONSE",""),""),"")))</f>
        <v/>
      </c>
      <c r="AD433" s="87">
        <f>IF(ISNUMBER($L433),IF($L433&gt;=90,"Excellent Match",IF($L433&gt;=75,"Strong Match",IF($L433&gt;=60,"Moderate Match","Low Match"))),"")</f>
        <v/>
      </c>
      <c r="AE433" s="87">
        <f>IF($D433="","",IF(OR($M433="Rejected",$M433="Withdrawn"),IF($AB433&lt;&gt;"",$AB433,IF(OR($M433="Rejected",ISNUMBER($C433)),"Applied","Wishlist")),IF($M433="",IF(ISNUMBER($C433),"Applied","Wishlist"),$M433)))</f>
        <v/>
      </c>
      <c r="AF433" s="88">
        <f>IF(AND(ISNUMBER($C433),ISNUMBER($AA433)),$AA433-$C433,"")</f>
        <v/>
      </c>
      <c r="AG433" s="87">
        <f>IF($AE433="","",IFERROR(MATCH($AE433,{"Wishlist","Applied","Screening","Interview 1","Interview 2","Final","Offer","Accepted"},0)-1,""))</f>
        <v/>
      </c>
      <c r="AH433" s="87">
        <f>IF($AC433="","",MATCH($AC433,{"FOLLOW UP REQUIRED","ACTION DUE TODAY","NO RESPONSE","DUE SOON"},0)*100000+IF(ISNUMBER($O433),$O433,IF(ISNUMBER($C433),$C433,0))+ROW()/10000)</f>
        <v/>
      </c>
      <c r="AI433" s="87">
        <f>IF(AND(ISNUMBER($AG433),$AG433&gt;=1,$AG433&lt;=6,$M433&lt;&gt;"Rejected",$M433&lt;&gt;"Withdrawn"),(10-$AG433)*100000+IF(ISNUMBER($C433),$C433,0)+ROW()/10000,"")</f>
        <v/>
      </c>
    </row>
    <row r="434">
      <c r="A434" s="80" t="n"/>
      <c r="B434" s="81" t="n"/>
      <c r="C434" s="81" t="n"/>
      <c r="D434" s="82" t="n"/>
      <c r="E434" s="82" t="n"/>
      <c r="F434" s="82" t="n"/>
      <c r="G434" s="82" t="n"/>
      <c r="H434" s="82" t="n"/>
      <c r="I434" s="83" t="n"/>
      <c r="J434" s="82" t="n"/>
      <c r="K434" s="84" t="n"/>
      <c r="L434" s="85" t="n"/>
      <c r="M434" s="82" t="n"/>
      <c r="N434" s="86" t="n"/>
      <c r="O434" s="81" t="n"/>
      <c r="P434" s="82" t="n"/>
      <c r="Q434" s="83" t="n"/>
      <c r="R434" s="82" t="n"/>
      <c r="S434" s="84" t="n"/>
      <c r="T434" s="84" t="n"/>
      <c r="U434" s="82" t="n"/>
      <c r="V434" s="86" t="n"/>
      <c r="W434" s="86" t="n"/>
      <c r="X434" s="86" t="n"/>
      <c r="Y434" s="81" t="n"/>
      <c r="Z434" s="82" t="n"/>
      <c r="AA434" s="81" t="n"/>
      <c r="AB434" s="82" t="n"/>
      <c r="AC434" s="87">
        <f>IF(OR($D434="",$M434="Rejected",$M434="Withdrawn",$M434="Accepted"),"",IF(ISNUMBER($O434),IF(INT($O434)&lt;TODAY(),"FOLLOW UP REQUIRED",IF(INT($O434)=TODAY(),"ACTION DUE TODAY",IF(INT($O434)-TODAY()&lt;=Set_DueSoonDays,"DUE SOON",""))),IF(AND($M434="Applied",$AA434=""),IF(ISNUMBER($C434),IF(TODAY()-$C434&gt;=Set_FollowUpDays,"NO RESPONSE",""),""),"")))</f>
        <v/>
      </c>
      <c r="AD434" s="87">
        <f>IF(ISNUMBER($L434),IF($L434&gt;=90,"Excellent Match",IF($L434&gt;=75,"Strong Match",IF($L434&gt;=60,"Moderate Match","Low Match"))),"")</f>
        <v/>
      </c>
      <c r="AE434" s="87">
        <f>IF($D434="","",IF(OR($M434="Rejected",$M434="Withdrawn"),IF($AB434&lt;&gt;"",$AB434,IF(OR($M434="Rejected",ISNUMBER($C434)),"Applied","Wishlist")),IF($M434="",IF(ISNUMBER($C434),"Applied","Wishlist"),$M434)))</f>
        <v/>
      </c>
      <c r="AF434" s="88">
        <f>IF(AND(ISNUMBER($C434),ISNUMBER($AA434)),$AA434-$C434,"")</f>
        <v/>
      </c>
      <c r="AG434" s="87">
        <f>IF($AE434="","",IFERROR(MATCH($AE434,{"Wishlist","Applied","Screening","Interview 1","Interview 2","Final","Offer","Accepted"},0)-1,""))</f>
        <v/>
      </c>
      <c r="AH434" s="87">
        <f>IF($AC434="","",MATCH($AC434,{"FOLLOW UP REQUIRED","ACTION DUE TODAY","NO RESPONSE","DUE SOON"},0)*100000+IF(ISNUMBER($O434),$O434,IF(ISNUMBER($C434),$C434,0))+ROW()/10000)</f>
        <v/>
      </c>
      <c r="AI434" s="87">
        <f>IF(AND(ISNUMBER($AG434),$AG434&gt;=1,$AG434&lt;=6,$M434&lt;&gt;"Rejected",$M434&lt;&gt;"Withdrawn"),(10-$AG434)*100000+IF(ISNUMBER($C434),$C434,0)+ROW()/10000,"")</f>
        <v/>
      </c>
    </row>
    <row r="435">
      <c r="A435" s="80" t="n"/>
      <c r="B435" s="81" t="n"/>
      <c r="C435" s="81" t="n"/>
      <c r="D435" s="82" t="n"/>
      <c r="E435" s="82" t="n"/>
      <c r="F435" s="82" t="n"/>
      <c r="G435" s="82" t="n"/>
      <c r="H435" s="82" t="n"/>
      <c r="I435" s="83" t="n"/>
      <c r="J435" s="82" t="n"/>
      <c r="K435" s="84" t="n"/>
      <c r="L435" s="85" t="n"/>
      <c r="M435" s="82" t="n"/>
      <c r="N435" s="86" t="n"/>
      <c r="O435" s="81" t="n"/>
      <c r="P435" s="82" t="n"/>
      <c r="Q435" s="83" t="n"/>
      <c r="R435" s="82" t="n"/>
      <c r="S435" s="84" t="n"/>
      <c r="T435" s="84" t="n"/>
      <c r="U435" s="82" t="n"/>
      <c r="V435" s="86" t="n"/>
      <c r="W435" s="86" t="n"/>
      <c r="X435" s="86" t="n"/>
      <c r="Y435" s="81" t="n"/>
      <c r="Z435" s="82" t="n"/>
      <c r="AA435" s="81" t="n"/>
      <c r="AB435" s="82" t="n"/>
      <c r="AC435" s="87">
        <f>IF(OR($D435="",$M435="Rejected",$M435="Withdrawn",$M435="Accepted"),"",IF(ISNUMBER($O435),IF(INT($O435)&lt;TODAY(),"FOLLOW UP REQUIRED",IF(INT($O435)=TODAY(),"ACTION DUE TODAY",IF(INT($O435)-TODAY()&lt;=Set_DueSoonDays,"DUE SOON",""))),IF(AND($M435="Applied",$AA435=""),IF(ISNUMBER($C435),IF(TODAY()-$C435&gt;=Set_FollowUpDays,"NO RESPONSE",""),""),"")))</f>
        <v/>
      </c>
      <c r="AD435" s="87">
        <f>IF(ISNUMBER($L435),IF($L435&gt;=90,"Excellent Match",IF($L435&gt;=75,"Strong Match",IF($L435&gt;=60,"Moderate Match","Low Match"))),"")</f>
        <v/>
      </c>
      <c r="AE435" s="87">
        <f>IF($D435="","",IF(OR($M435="Rejected",$M435="Withdrawn"),IF($AB435&lt;&gt;"",$AB435,IF(OR($M435="Rejected",ISNUMBER($C435)),"Applied","Wishlist")),IF($M435="",IF(ISNUMBER($C435),"Applied","Wishlist"),$M435)))</f>
        <v/>
      </c>
      <c r="AF435" s="88">
        <f>IF(AND(ISNUMBER($C435),ISNUMBER($AA435)),$AA435-$C435,"")</f>
        <v/>
      </c>
      <c r="AG435" s="87">
        <f>IF($AE435="","",IFERROR(MATCH($AE435,{"Wishlist","Applied","Screening","Interview 1","Interview 2","Final","Offer","Accepted"},0)-1,""))</f>
        <v/>
      </c>
      <c r="AH435" s="87">
        <f>IF($AC435="","",MATCH($AC435,{"FOLLOW UP REQUIRED","ACTION DUE TODAY","NO RESPONSE","DUE SOON"},0)*100000+IF(ISNUMBER($O435),$O435,IF(ISNUMBER($C435),$C435,0))+ROW()/10000)</f>
        <v/>
      </c>
      <c r="AI435" s="87">
        <f>IF(AND(ISNUMBER($AG435),$AG435&gt;=1,$AG435&lt;=6,$M435&lt;&gt;"Rejected",$M435&lt;&gt;"Withdrawn"),(10-$AG435)*100000+IF(ISNUMBER($C435),$C435,0)+ROW()/10000,"")</f>
        <v/>
      </c>
    </row>
    <row r="436">
      <c r="A436" s="80" t="n"/>
      <c r="B436" s="81" t="n"/>
      <c r="C436" s="81" t="n"/>
      <c r="D436" s="82" t="n"/>
      <c r="E436" s="82" t="n"/>
      <c r="F436" s="82" t="n"/>
      <c r="G436" s="82" t="n"/>
      <c r="H436" s="82" t="n"/>
      <c r="I436" s="83" t="n"/>
      <c r="J436" s="82" t="n"/>
      <c r="K436" s="84" t="n"/>
      <c r="L436" s="85" t="n"/>
      <c r="M436" s="82" t="n"/>
      <c r="N436" s="86" t="n"/>
      <c r="O436" s="81" t="n"/>
      <c r="P436" s="82" t="n"/>
      <c r="Q436" s="83" t="n"/>
      <c r="R436" s="82" t="n"/>
      <c r="S436" s="84" t="n"/>
      <c r="T436" s="84" t="n"/>
      <c r="U436" s="82" t="n"/>
      <c r="V436" s="86" t="n"/>
      <c r="W436" s="86" t="n"/>
      <c r="X436" s="86" t="n"/>
      <c r="Y436" s="81" t="n"/>
      <c r="Z436" s="82" t="n"/>
      <c r="AA436" s="81" t="n"/>
      <c r="AB436" s="82" t="n"/>
      <c r="AC436" s="87">
        <f>IF(OR($D436="",$M436="Rejected",$M436="Withdrawn",$M436="Accepted"),"",IF(ISNUMBER($O436),IF(INT($O436)&lt;TODAY(),"FOLLOW UP REQUIRED",IF(INT($O436)=TODAY(),"ACTION DUE TODAY",IF(INT($O436)-TODAY()&lt;=Set_DueSoonDays,"DUE SOON",""))),IF(AND($M436="Applied",$AA436=""),IF(ISNUMBER($C436),IF(TODAY()-$C436&gt;=Set_FollowUpDays,"NO RESPONSE",""),""),"")))</f>
        <v/>
      </c>
      <c r="AD436" s="87">
        <f>IF(ISNUMBER($L436),IF($L436&gt;=90,"Excellent Match",IF($L436&gt;=75,"Strong Match",IF($L436&gt;=60,"Moderate Match","Low Match"))),"")</f>
        <v/>
      </c>
      <c r="AE436" s="87">
        <f>IF($D436="","",IF(OR($M436="Rejected",$M436="Withdrawn"),IF($AB436&lt;&gt;"",$AB436,IF(OR($M436="Rejected",ISNUMBER($C436)),"Applied","Wishlist")),IF($M436="",IF(ISNUMBER($C436),"Applied","Wishlist"),$M436)))</f>
        <v/>
      </c>
      <c r="AF436" s="88">
        <f>IF(AND(ISNUMBER($C436),ISNUMBER($AA436)),$AA436-$C436,"")</f>
        <v/>
      </c>
      <c r="AG436" s="87">
        <f>IF($AE436="","",IFERROR(MATCH($AE436,{"Wishlist","Applied","Screening","Interview 1","Interview 2","Final","Offer","Accepted"},0)-1,""))</f>
        <v/>
      </c>
      <c r="AH436" s="87">
        <f>IF($AC436="","",MATCH($AC436,{"FOLLOW UP REQUIRED","ACTION DUE TODAY","NO RESPONSE","DUE SOON"},0)*100000+IF(ISNUMBER($O436),$O436,IF(ISNUMBER($C436),$C436,0))+ROW()/10000)</f>
        <v/>
      </c>
      <c r="AI436" s="87">
        <f>IF(AND(ISNUMBER($AG436),$AG436&gt;=1,$AG436&lt;=6,$M436&lt;&gt;"Rejected",$M436&lt;&gt;"Withdrawn"),(10-$AG436)*100000+IF(ISNUMBER($C436),$C436,0)+ROW()/10000,"")</f>
        <v/>
      </c>
    </row>
    <row r="437">
      <c r="A437" s="80" t="n"/>
      <c r="B437" s="81" t="n"/>
      <c r="C437" s="81" t="n"/>
      <c r="D437" s="82" t="n"/>
      <c r="E437" s="82" t="n"/>
      <c r="F437" s="82" t="n"/>
      <c r="G437" s="82" t="n"/>
      <c r="H437" s="82" t="n"/>
      <c r="I437" s="83" t="n"/>
      <c r="J437" s="82" t="n"/>
      <c r="K437" s="84" t="n"/>
      <c r="L437" s="85" t="n"/>
      <c r="M437" s="82" t="n"/>
      <c r="N437" s="86" t="n"/>
      <c r="O437" s="81" t="n"/>
      <c r="P437" s="82" t="n"/>
      <c r="Q437" s="83" t="n"/>
      <c r="R437" s="82" t="n"/>
      <c r="S437" s="84" t="n"/>
      <c r="T437" s="84" t="n"/>
      <c r="U437" s="82" t="n"/>
      <c r="V437" s="86" t="n"/>
      <c r="W437" s="86" t="n"/>
      <c r="X437" s="86" t="n"/>
      <c r="Y437" s="81" t="n"/>
      <c r="Z437" s="82" t="n"/>
      <c r="AA437" s="81" t="n"/>
      <c r="AB437" s="82" t="n"/>
      <c r="AC437" s="87">
        <f>IF(OR($D437="",$M437="Rejected",$M437="Withdrawn",$M437="Accepted"),"",IF(ISNUMBER($O437),IF(INT($O437)&lt;TODAY(),"FOLLOW UP REQUIRED",IF(INT($O437)=TODAY(),"ACTION DUE TODAY",IF(INT($O437)-TODAY()&lt;=Set_DueSoonDays,"DUE SOON",""))),IF(AND($M437="Applied",$AA437=""),IF(ISNUMBER($C437),IF(TODAY()-$C437&gt;=Set_FollowUpDays,"NO RESPONSE",""),""),"")))</f>
        <v/>
      </c>
      <c r="AD437" s="87">
        <f>IF(ISNUMBER($L437),IF($L437&gt;=90,"Excellent Match",IF($L437&gt;=75,"Strong Match",IF($L437&gt;=60,"Moderate Match","Low Match"))),"")</f>
        <v/>
      </c>
      <c r="AE437" s="87">
        <f>IF($D437="","",IF(OR($M437="Rejected",$M437="Withdrawn"),IF($AB437&lt;&gt;"",$AB437,IF(OR($M437="Rejected",ISNUMBER($C437)),"Applied","Wishlist")),IF($M437="",IF(ISNUMBER($C437),"Applied","Wishlist"),$M437)))</f>
        <v/>
      </c>
      <c r="AF437" s="88">
        <f>IF(AND(ISNUMBER($C437),ISNUMBER($AA437)),$AA437-$C437,"")</f>
        <v/>
      </c>
      <c r="AG437" s="87">
        <f>IF($AE437="","",IFERROR(MATCH($AE437,{"Wishlist","Applied","Screening","Interview 1","Interview 2","Final","Offer","Accepted"},0)-1,""))</f>
        <v/>
      </c>
      <c r="AH437" s="87">
        <f>IF($AC437="","",MATCH($AC437,{"FOLLOW UP REQUIRED","ACTION DUE TODAY","NO RESPONSE","DUE SOON"},0)*100000+IF(ISNUMBER($O437),$O437,IF(ISNUMBER($C437),$C437,0))+ROW()/10000)</f>
        <v/>
      </c>
      <c r="AI437" s="87">
        <f>IF(AND(ISNUMBER($AG437),$AG437&gt;=1,$AG437&lt;=6,$M437&lt;&gt;"Rejected",$M437&lt;&gt;"Withdrawn"),(10-$AG437)*100000+IF(ISNUMBER($C437),$C437,0)+ROW()/10000,"")</f>
        <v/>
      </c>
    </row>
    <row r="438">
      <c r="A438" s="80" t="n"/>
      <c r="B438" s="81" t="n"/>
      <c r="C438" s="81" t="n"/>
      <c r="D438" s="82" t="n"/>
      <c r="E438" s="82" t="n"/>
      <c r="F438" s="82" t="n"/>
      <c r="G438" s="82" t="n"/>
      <c r="H438" s="82" t="n"/>
      <c r="I438" s="83" t="n"/>
      <c r="J438" s="82" t="n"/>
      <c r="K438" s="84" t="n"/>
      <c r="L438" s="85" t="n"/>
      <c r="M438" s="82" t="n"/>
      <c r="N438" s="86" t="n"/>
      <c r="O438" s="81" t="n"/>
      <c r="P438" s="82" t="n"/>
      <c r="Q438" s="83" t="n"/>
      <c r="R438" s="82" t="n"/>
      <c r="S438" s="84" t="n"/>
      <c r="T438" s="84" t="n"/>
      <c r="U438" s="82" t="n"/>
      <c r="V438" s="86" t="n"/>
      <c r="W438" s="86" t="n"/>
      <c r="X438" s="86" t="n"/>
      <c r="Y438" s="81" t="n"/>
      <c r="Z438" s="82" t="n"/>
      <c r="AA438" s="81" t="n"/>
      <c r="AB438" s="82" t="n"/>
      <c r="AC438" s="87">
        <f>IF(OR($D438="",$M438="Rejected",$M438="Withdrawn",$M438="Accepted"),"",IF(ISNUMBER($O438),IF(INT($O438)&lt;TODAY(),"FOLLOW UP REQUIRED",IF(INT($O438)=TODAY(),"ACTION DUE TODAY",IF(INT($O438)-TODAY()&lt;=Set_DueSoonDays,"DUE SOON",""))),IF(AND($M438="Applied",$AA438=""),IF(ISNUMBER($C438),IF(TODAY()-$C438&gt;=Set_FollowUpDays,"NO RESPONSE",""),""),"")))</f>
        <v/>
      </c>
      <c r="AD438" s="87">
        <f>IF(ISNUMBER($L438),IF($L438&gt;=90,"Excellent Match",IF($L438&gt;=75,"Strong Match",IF($L438&gt;=60,"Moderate Match","Low Match"))),"")</f>
        <v/>
      </c>
      <c r="AE438" s="87">
        <f>IF($D438="","",IF(OR($M438="Rejected",$M438="Withdrawn"),IF($AB438&lt;&gt;"",$AB438,IF(OR($M438="Rejected",ISNUMBER($C438)),"Applied","Wishlist")),IF($M438="",IF(ISNUMBER($C438),"Applied","Wishlist"),$M438)))</f>
        <v/>
      </c>
      <c r="AF438" s="88">
        <f>IF(AND(ISNUMBER($C438),ISNUMBER($AA438)),$AA438-$C438,"")</f>
        <v/>
      </c>
      <c r="AG438" s="87">
        <f>IF($AE438="","",IFERROR(MATCH($AE438,{"Wishlist","Applied","Screening","Interview 1","Interview 2","Final","Offer","Accepted"},0)-1,""))</f>
        <v/>
      </c>
      <c r="AH438" s="87">
        <f>IF($AC438="","",MATCH($AC438,{"FOLLOW UP REQUIRED","ACTION DUE TODAY","NO RESPONSE","DUE SOON"},0)*100000+IF(ISNUMBER($O438),$O438,IF(ISNUMBER($C438),$C438,0))+ROW()/10000)</f>
        <v/>
      </c>
      <c r="AI438" s="87">
        <f>IF(AND(ISNUMBER($AG438),$AG438&gt;=1,$AG438&lt;=6,$M438&lt;&gt;"Rejected",$M438&lt;&gt;"Withdrawn"),(10-$AG438)*100000+IF(ISNUMBER($C438),$C438,0)+ROW()/10000,"")</f>
        <v/>
      </c>
    </row>
    <row r="439">
      <c r="A439" s="80" t="n"/>
      <c r="B439" s="81" t="n"/>
      <c r="C439" s="81" t="n"/>
      <c r="D439" s="82" t="n"/>
      <c r="E439" s="82" t="n"/>
      <c r="F439" s="82" t="n"/>
      <c r="G439" s="82" t="n"/>
      <c r="H439" s="82" t="n"/>
      <c r="I439" s="83" t="n"/>
      <c r="J439" s="82" t="n"/>
      <c r="K439" s="84" t="n"/>
      <c r="L439" s="85" t="n"/>
      <c r="M439" s="82" t="n"/>
      <c r="N439" s="86" t="n"/>
      <c r="O439" s="81" t="n"/>
      <c r="P439" s="82" t="n"/>
      <c r="Q439" s="83" t="n"/>
      <c r="R439" s="82" t="n"/>
      <c r="S439" s="84" t="n"/>
      <c r="T439" s="84" t="n"/>
      <c r="U439" s="82" t="n"/>
      <c r="V439" s="86" t="n"/>
      <c r="W439" s="86" t="n"/>
      <c r="X439" s="86" t="n"/>
      <c r="Y439" s="81" t="n"/>
      <c r="Z439" s="82" t="n"/>
      <c r="AA439" s="81" t="n"/>
      <c r="AB439" s="82" t="n"/>
      <c r="AC439" s="87">
        <f>IF(OR($D439="",$M439="Rejected",$M439="Withdrawn",$M439="Accepted"),"",IF(ISNUMBER($O439),IF(INT($O439)&lt;TODAY(),"FOLLOW UP REQUIRED",IF(INT($O439)=TODAY(),"ACTION DUE TODAY",IF(INT($O439)-TODAY()&lt;=Set_DueSoonDays,"DUE SOON",""))),IF(AND($M439="Applied",$AA439=""),IF(ISNUMBER($C439),IF(TODAY()-$C439&gt;=Set_FollowUpDays,"NO RESPONSE",""),""),"")))</f>
        <v/>
      </c>
      <c r="AD439" s="87">
        <f>IF(ISNUMBER($L439),IF($L439&gt;=90,"Excellent Match",IF($L439&gt;=75,"Strong Match",IF($L439&gt;=60,"Moderate Match","Low Match"))),"")</f>
        <v/>
      </c>
      <c r="AE439" s="87">
        <f>IF($D439="","",IF(OR($M439="Rejected",$M439="Withdrawn"),IF($AB439&lt;&gt;"",$AB439,IF(OR($M439="Rejected",ISNUMBER($C439)),"Applied","Wishlist")),IF($M439="",IF(ISNUMBER($C439),"Applied","Wishlist"),$M439)))</f>
        <v/>
      </c>
      <c r="AF439" s="88">
        <f>IF(AND(ISNUMBER($C439),ISNUMBER($AA439)),$AA439-$C439,"")</f>
        <v/>
      </c>
      <c r="AG439" s="87">
        <f>IF($AE439="","",IFERROR(MATCH($AE439,{"Wishlist","Applied","Screening","Interview 1","Interview 2","Final","Offer","Accepted"},0)-1,""))</f>
        <v/>
      </c>
      <c r="AH439" s="87">
        <f>IF($AC439="","",MATCH($AC439,{"FOLLOW UP REQUIRED","ACTION DUE TODAY","NO RESPONSE","DUE SOON"},0)*100000+IF(ISNUMBER($O439),$O439,IF(ISNUMBER($C439),$C439,0))+ROW()/10000)</f>
        <v/>
      </c>
      <c r="AI439" s="87">
        <f>IF(AND(ISNUMBER($AG439),$AG439&gt;=1,$AG439&lt;=6,$M439&lt;&gt;"Rejected",$M439&lt;&gt;"Withdrawn"),(10-$AG439)*100000+IF(ISNUMBER($C439),$C439,0)+ROW()/10000,"")</f>
        <v/>
      </c>
    </row>
    <row r="440">
      <c r="A440" s="80" t="n"/>
      <c r="B440" s="81" t="n"/>
      <c r="C440" s="81" t="n"/>
      <c r="D440" s="82" t="n"/>
      <c r="E440" s="82" t="n"/>
      <c r="F440" s="82" t="n"/>
      <c r="G440" s="82" t="n"/>
      <c r="H440" s="82" t="n"/>
      <c r="I440" s="83" t="n"/>
      <c r="J440" s="82" t="n"/>
      <c r="K440" s="84" t="n"/>
      <c r="L440" s="85" t="n"/>
      <c r="M440" s="82" t="n"/>
      <c r="N440" s="86" t="n"/>
      <c r="O440" s="81" t="n"/>
      <c r="P440" s="82" t="n"/>
      <c r="Q440" s="83" t="n"/>
      <c r="R440" s="82" t="n"/>
      <c r="S440" s="84" t="n"/>
      <c r="T440" s="84" t="n"/>
      <c r="U440" s="82" t="n"/>
      <c r="V440" s="86" t="n"/>
      <c r="W440" s="86" t="n"/>
      <c r="X440" s="86" t="n"/>
      <c r="Y440" s="81" t="n"/>
      <c r="Z440" s="82" t="n"/>
      <c r="AA440" s="81" t="n"/>
      <c r="AB440" s="82" t="n"/>
      <c r="AC440" s="87">
        <f>IF(OR($D440="",$M440="Rejected",$M440="Withdrawn",$M440="Accepted"),"",IF(ISNUMBER($O440),IF(INT($O440)&lt;TODAY(),"FOLLOW UP REQUIRED",IF(INT($O440)=TODAY(),"ACTION DUE TODAY",IF(INT($O440)-TODAY()&lt;=Set_DueSoonDays,"DUE SOON",""))),IF(AND($M440="Applied",$AA440=""),IF(ISNUMBER($C440),IF(TODAY()-$C440&gt;=Set_FollowUpDays,"NO RESPONSE",""),""),"")))</f>
        <v/>
      </c>
      <c r="AD440" s="87">
        <f>IF(ISNUMBER($L440),IF($L440&gt;=90,"Excellent Match",IF($L440&gt;=75,"Strong Match",IF($L440&gt;=60,"Moderate Match","Low Match"))),"")</f>
        <v/>
      </c>
      <c r="AE440" s="87">
        <f>IF($D440="","",IF(OR($M440="Rejected",$M440="Withdrawn"),IF($AB440&lt;&gt;"",$AB440,IF(OR($M440="Rejected",ISNUMBER($C440)),"Applied","Wishlist")),IF($M440="",IF(ISNUMBER($C440),"Applied","Wishlist"),$M440)))</f>
        <v/>
      </c>
      <c r="AF440" s="88">
        <f>IF(AND(ISNUMBER($C440),ISNUMBER($AA440)),$AA440-$C440,"")</f>
        <v/>
      </c>
      <c r="AG440" s="87">
        <f>IF($AE440="","",IFERROR(MATCH($AE440,{"Wishlist","Applied","Screening","Interview 1","Interview 2","Final","Offer","Accepted"},0)-1,""))</f>
        <v/>
      </c>
      <c r="AH440" s="87">
        <f>IF($AC440="","",MATCH($AC440,{"FOLLOW UP REQUIRED","ACTION DUE TODAY","NO RESPONSE","DUE SOON"},0)*100000+IF(ISNUMBER($O440),$O440,IF(ISNUMBER($C440),$C440,0))+ROW()/10000)</f>
        <v/>
      </c>
      <c r="AI440" s="87">
        <f>IF(AND(ISNUMBER($AG440),$AG440&gt;=1,$AG440&lt;=6,$M440&lt;&gt;"Rejected",$M440&lt;&gt;"Withdrawn"),(10-$AG440)*100000+IF(ISNUMBER($C440),$C440,0)+ROW()/10000,"")</f>
        <v/>
      </c>
    </row>
    <row r="441">
      <c r="A441" s="80" t="n"/>
      <c r="B441" s="81" t="n"/>
      <c r="C441" s="81" t="n"/>
      <c r="D441" s="82" t="n"/>
      <c r="E441" s="82" t="n"/>
      <c r="F441" s="82" t="n"/>
      <c r="G441" s="82" t="n"/>
      <c r="H441" s="82" t="n"/>
      <c r="I441" s="83" t="n"/>
      <c r="J441" s="82" t="n"/>
      <c r="K441" s="84" t="n"/>
      <c r="L441" s="85" t="n"/>
      <c r="M441" s="82" t="n"/>
      <c r="N441" s="86" t="n"/>
      <c r="O441" s="81" t="n"/>
      <c r="P441" s="82" t="n"/>
      <c r="Q441" s="83" t="n"/>
      <c r="R441" s="82" t="n"/>
      <c r="S441" s="84" t="n"/>
      <c r="T441" s="84" t="n"/>
      <c r="U441" s="82" t="n"/>
      <c r="V441" s="86" t="n"/>
      <c r="W441" s="86" t="n"/>
      <c r="X441" s="86" t="n"/>
      <c r="Y441" s="81" t="n"/>
      <c r="Z441" s="82" t="n"/>
      <c r="AA441" s="81" t="n"/>
      <c r="AB441" s="82" t="n"/>
      <c r="AC441" s="87">
        <f>IF(OR($D441="",$M441="Rejected",$M441="Withdrawn",$M441="Accepted"),"",IF(ISNUMBER($O441),IF(INT($O441)&lt;TODAY(),"FOLLOW UP REQUIRED",IF(INT($O441)=TODAY(),"ACTION DUE TODAY",IF(INT($O441)-TODAY()&lt;=Set_DueSoonDays,"DUE SOON",""))),IF(AND($M441="Applied",$AA441=""),IF(ISNUMBER($C441),IF(TODAY()-$C441&gt;=Set_FollowUpDays,"NO RESPONSE",""),""),"")))</f>
        <v/>
      </c>
      <c r="AD441" s="87">
        <f>IF(ISNUMBER($L441),IF($L441&gt;=90,"Excellent Match",IF($L441&gt;=75,"Strong Match",IF($L441&gt;=60,"Moderate Match","Low Match"))),"")</f>
        <v/>
      </c>
      <c r="AE441" s="87">
        <f>IF($D441="","",IF(OR($M441="Rejected",$M441="Withdrawn"),IF($AB441&lt;&gt;"",$AB441,IF(OR($M441="Rejected",ISNUMBER($C441)),"Applied","Wishlist")),IF($M441="",IF(ISNUMBER($C441),"Applied","Wishlist"),$M441)))</f>
        <v/>
      </c>
      <c r="AF441" s="88">
        <f>IF(AND(ISNUMBER($C441),ISNUMBER($AA441)),$AA441-$C441,"")</f>
        <v/>
      </c>
      <c r="AG441" s="87">
        <f>IF($AE441="","",IFERROR(MATCH($AE441,{"Wishlist","Applied","Screening","Interview 1","Interview 2","Final","Offer","Accepted"},0)-1,""))</f>
        <v/>
      </c>
      <c r="AH441" s="87">
        <f>IF($AC441="","",MATCH($AC441,{"FOLLOW UP REQUIRED","ACTION DUE TODAY","NO RESPONSE","DUE SOON"},0)*100000+IF(ISNUMBER($O441),$O441,IF(ISNUMBER($C441),$C441,0))+ROW()/10000)</f>
        <v/>
      </c>
      <c r="AI441" s="87">
        <f>IF(AND(ISNUMBER($AG441),$AG441&gt;=1,$AG441&lt;=6,$M441&lt;&gt;"Rejected",$M441&lt;&gt;"Withdrawn"),(10-$AG441)*100000+IF(ISNUMBER($C441),$C441,0)+ROW()/10000,"")</f>
        <v/>
      </c>
    </row>
    <row r="442">
      <c r="A442" s="80" t="n"/>
      <c r="B442" s="81" t="n"/>
      <c r="C442" s="81" t="n"/>
      <c r="D442" s="82" t="n"/>
      <c r="E442" s="82" t="n"/>
      <c r="F442" s="82" t="n"/>
      <c r="G442" s="82" t="n"/>
      <c r="H442" s="82" t="n"/>
      <c r="I442" s="83" t="n"/>
      <c r="J442" s="82" t="n"/>
      <c r="K442" s="84" t="n"/>
      <c r="L442" s="85" t="n"/>
      <c r="M442" s="82" t="n"/>
      <c r="N442" s="86" t="n"/>
      <c r="O442" s="81" t="n"/>
      <c r="P442" s="82" t="n"/>
      <c r="Q442" s="83" t="n"/>
      <c r="R442" s="82" t="n"/>
      <c r="S442" s="84" t="n"/>
      <c r="T442" s="84" t="n"/>
      <c r="U442" s="82" t="n"/>
      <c r="V442" s="86" t="n"/>
      <c r="W442" s="86" t="n"/>
      <c r="X442" s="86" t="n"/>
      <c r="Y442" s="81" t="n"/>
      <c r="Z442" s="82" t="n"/>
      <c r="AA442" s="81" t="n"/>
      <c r="AB442" s="82" t="n"/>
      <c r="AC442" s="87">
        <f>IF(OR($D442="",$M442="Rejected",$M442="Withdrawn",$M442="Accepted"),"",IF(ISNUMBER($O442),IF(INT($O442)&lt;TODAY(),"FOLLOW UP REQUIRED",IF(INT($O442)=TODAY(),"ACTION DUE TODAY",IF(INT($O442)-TODAY()&lt;=Set_DueSoonDays,"DUE SOON",""))),IF(AND($M442="Applied",$AA442=""),IF(ISNUMBER($C442),IF(TODAY()-$C442&gt;=Set_FollowUpDays,"NO RESPONSE",""),""),"")))</f>
        <v/>
      </c>
      <c r="AD442" s="87">
        <f>IF(ISNUMBER($L442),IF($L442&gt;=90,"Excellent Match",IF($L442&gt;=75,"Strong Match",IF($L442&gt;=60,"Moderate Match","Low Match"))),"")</f>
        <v/>
      </c>
      <c r="AE442" s="87">
        <f>IF($D442="","",IF(OR($M442="Rejected",$M442="Withdrawn"),IF($AB442&lt;&gt;"",$AB442,IF(OR($M442="Rejected",ISNUMBER($C442)),"Applied","Wishlist")),IF($M442="",IF(ISNUMBER($C442),"Applied","Wishlist"),$M442)))</f>
        <v/>
      </c>
      <c r="AF442" s="88">
        <f>IF(AND(ISNUMBER($C442),ISNUMBER($AA442)),$AA442-$C442,"")</f>
        <v/>
      </c>
      <c r="AG442" s="87">
        <f>IF($AE442="","",IFERROR(MATCH($AE442,{"Wishlist","Applied","Screening","Interview 1","Interview 2","Final","Offer","Accepted"},0)-1,""))</f>
        <v/>
      </c>
      <c r="AH442" s="87">
        <f>IF($AC442="","",MATCH($AC442,{"FOLLOW UP REQUIRED","ACTION DUE TODAY","NO RESPONSE","DUE SOON"},0)*100000+IF(ISNUMBER($O442),$O442,IF(ISNUMBER($C442),$C442,0))+ROW()/10000)</f>
        <v/>
      </c>
      <c r="AI442" s="87">
        <f>IF(AND(ISNUMBER($AG442),$AG442&gt;=1,$AG442&lt;=6,$M442&lt;&gt;"Rejected",$M442&lt;&gt;"Withdrawn"),(10-$AG442)*100000+IF(ISNUMBER($C442),$C442,0)+ROW()/10000,"")</f>
        <v/>
      </c>
    </row>
    <row r="443">
      <c r="A443" s="80" t="n"/>
      <c r="B443" s="81" t="n"/>
      <c r="C443" s="81" t="n"/>
      <c r="D443" s="82" t="n"/>
      <c r="E443" s="82" t="n"/>
      <c r="F443" s="82" t="n"/>
      <c r="G443" s="82" t="n"/>
      <c r="H443" s="82" t="n"/>
      <c r="I443" s="83" t="n"/>
      <c r="J443" s="82" t="n"/>
      <c r="K443" s="84" t="n"/>
      <c r="L443" s="85" t="n"/>
      <c r="M443" s="82" t="n"/>
      <c r="N443" s="86" t="n"/>
      <c r="O443" s="81" t="n"/>
      <c r="P443" s="82" t="n"/>
      <c r="Q443" s="83" t="n"/>
      <c r="R443" s="82" t="n"/>
      <c r="S443" s="84" t="n"/>
      <c r="T443" s="84" t="n"/>
      <c r="U443" s="82" t="n"/>
      <c r="V443" s="86" t="n"/>
      <c r="W443" s="86" t="n"/>
      <c r="X443" s="86" t="n"/>
      <c r="Y443" s="81" t="n"/>
      <c r="Z443" s="82" t="n"/>
      <c r="AA443" s="81" t="n"/>
      <c r="AB443" s="82" t="n"/>
      <c r="AC443" s="87">
        <f>IF(OR($D443="",$M443="Rejected",$M443="Withdrawn",$M443="Accepted"),"",IF(ISNUMBER($O443),IF(INT($O443)&lt;TODAY(),"FOLLOW UP REQUIRED",IF(INT($O443)=TODAY(),"ACTION DUE TODAY",IF(INT($O443)-TODAY()&lt;=Set_DueSoonDays,"DUE SOON",""))),IF(AND($M443="Applied",$AA443=""),IF(ISNUMBER($C443),IF(TODAY()-$C443&gt;=Set_FollowUpDays,"NO RESPONSE",""),""),"")))</f>
        <v/>
      </c>
      <c r="AD443" s="87">
        <f>IF(ISNUMBER($L443),IF($L443&gt;=90,"Excellent Match",IF($L443&gt;=75,"Strong Match",IF($L443&gt;=60,"Moderate Match","Low Match"))),"")</f>
        <v/>
      </c>
      <c r="AE443" s="87">
        <f>IF($D443="","",IF(OR($M443="Rejected",$M443="Withdrawn"),IF($AB443&lt;&gt;"",$AB443,IF(OR($M443="Rejected",ISNUMBER($C443)),"Applied","Wishlist")),IF($M443="",IF(ISNUMBER($C443),"Applied","Wishlist"),$M443)))</f>
        <v/>
      </c>
      <c r="AF443" s="88">
        <f>IF(AND(ISNUMBER($C443),ISNUMBER($AA443)),$AA443-$C443,"")</f>
        <v/>
      </c>
      <c r="AG443" s="87">
        <f>IF($AE443="","",IFERROR(MATCH($AE443,{"Wishlist","Applied","Screening","Interview 1","Interview 2","Final","Offer","Accepted"},0)-1,""))</f>
        <v/>
      </c>
      <c r="AH443" s="87">
        <f>IF($AC443="","",MATCH($AC443,{"FOLLOW UP REQUIRED","ACTION DUE TODAY","NO RESPONSE","DUE SOON"},0)*100000+IF(ISNUMBER($O443),$O443,IF(ISNUMBER($C443),$C443,0))+ROW()/10000)</f>
        <v/>
      </c>
      <c r="AI443" s="87">
        <f>IF(AND(ISNUMBER($AG443),$AG443&gt;=1,$AG443&lt;=6,$M443&lt;&gt;"Rejected",$M443&lt;&gt;"Withdrawn"),(10-$AG443)*100000+IF(ISNUMBER($C443),$C443,0)+ROW()/10000,"")</f>
        <v/>
      </c>
    </row>
    <row r="444">
      <c r="A444" s="80" t="n"/>
      <c r="B444" s="81" t="n"/>
      <c r="C444" s="81" t="n"/>
      <c r="D444" s="82" t="n"/>
      <c r="E444" s="82" t="n"/>
      <c r="F444" s="82" t="n"/>
      <c r="G444" s="82" t="n"/>
      <c r="H444" s="82" t="n"/>
      <c r="I444" s="83" t="n"/>
      <c r="J444" s="82" t="n"/>
      <c r="K444" s="84" t="n"/>
      <c r="L444" s="85" t="n"/>
      <c r="M444" s="82" t="n"/>
      <c r="N444" s="86" t="n"/>
      <c r="O444" s="81" t="n"/>
      <c r="P444" s="82" t="n"/>
      <c r="Q444" s="83" t="n"/>
      <c r="R444" s="82" t="n"/>
      <c r="S444" s="84" t="n"/>
      <c r="T444" s="84" t="n"/>
      <c r="U444" s="82" t="n"/>
      <c r="V444" s="86" t="n"/>
      <c r="W444" s="86" t="n"/>
      <c r="X444" s="86" t="n"/>
      <c r="Y444" s="81" t="n"/>
      <c r="Z444" s="82" t="n"/>
      <c r="AA444" s="81" t="n"/>
      <c r="AB444" s="82" t="n"/>
      <c r="AC444" s="87">
        <f>IF(OR($D444="",$M444="Rejected",$M444="Withdrawn",$M444="Accepted"),"",IF(ISNUMBER($O444),IF(INT($O444)&lt;TODAY(),"FOLLOW UP REQUIRED",IF(INT($O444)=TODAY(),"ACTION DUE TODAY",IF(INT($O444)-TODAY()&lt;=Set_DueSoonDays,"DUE SOON",""))),IF(AND($M444="Applied",$AA444=""),IF(ISNUMBER($C444),IF(TODAY()-$C444&gt;=Set_FollowUpDays,"NO RESPONSE",""),""),"")))</f>
        <v/>
      </c>
      <c r="AD444" s="87">
        <f>IF(ISNUMBER($L444),IF($L444&gt;=90,"Excellent Match",IF($L444&gt;=75,"Strong Match",IF($L444&gt;=60,"Moderate Match","Low Match"))),"")</f>
        <v/>
      </c>
      <c r="AE444" s="87">
        <f>IF($D444="","",IF(OR($M444="Rejected",$M444="Withdrawn"),IF($AB444&lt;&gt;"",$AB444,IF(OR($M444="Rejected",ISNUMBER($C444)),"Applied","Wishlist")),IF($M444="",IF(ISNUMBER($C444),"Applied","Wishlist"),$M444)))</f>
        <v/>
      </c>
      <c r="AF444" s="88">
        <f>IF(AND(ISNUMBER($C444),ISNUMBER($AA444)),$AA444-$C444,"")</f>
        <v/>
      </c>
      <c r="AG444" s="87">
        <f>IF($AE444="","",IFERROR(MATCH($AE444,{"Wishlist","Applied","Screening","Interview 1","Interview 2","Final","Offer","Accepted"},0)-1,""))</f>
        <v/>
      </c>
      <c r="AH444" s="87">
        <f>IF($AC444="","",MATCH($AC444,{"FOLLOW UP REQUIRED","ACTION DUE TODAY","NO RESPONSE","DUE SOON"},0)*100000+IF(ISNUMBER($O444),$O444,IF(ISNUMBER($C444),$C444,0))+ROW()/10000)</f>
        <v/>
      </c>
      <c r="AI444" s="87">
        <f>IF(AND(ISNUMBER($AG444),$AG444&gt;=1,$AG444&lt;=6,$M444&lt;&gt;"Rejected",$M444&lt;&gt;"Withdrawn"),(10-$AG444)*100000+IF(ISNUMBER($C444),$C444,0)+ROW()/10000,"")</f>
        <v/>
      </c>
    </row>
    <row r="445">
      <c r="A445" s="80" t="n"/>
      <c r="B445" s="81" t="n"/>
      <c r="C445" s="81" t="n"/>
      <c r="D445" s="82" t="n"/>
      <c r="E445" s="82" t="n"/>
      <c r="F445" s="82" t="n"/>
      <c r="G445" s="82" t="n"/>
      <c r="H445" s="82" t="n"/>
      <c r="I445" s="83" t="n"/>
      <c r="J445" s="82" t="n"/>
      <c r="K445" s="84" t="n"/>
      <c r="L445" s="85" t="n"/>
      <c r="M445" s="82" t="n"/>
      <c r="N445" s="86" t="n"/>
      <c r="O445" s="81" t="n"/>
      <c r="P445" s="82" t="n"/>
      <c r="Q445" s="83" t="n"/>
      <c r="R445" s="82" t="n"/>
      <c r="S445" s="84" t="n"/>
      <c r="T445" s="84" t="n"/>
      <c r="U445" s="82" t="n"/>
      <c r="V445" s="86" t="n"/>
      <c r="W445" s="86" t="n"/>
      <c r="X445" s="86" t="n"/>
      <c r="Y445" s="81" t="n"/>
      <c r="Z445" s="82" t="n"/>
      <c r="AA445" s="81" t="n"/>
      <c r="AB445" s="82" t="n"/>
      <c r="AC445" s="87">
        <f>IF(OR($D445="",$M445="Rejected",$M445="Withdrawn",$M445="Accepted"),"",IF(ISNUMBER($O445),IF(INT($O445)&lt;TODAY(),"FOLLOW UP REQUIRED",IF(INT($O445)=TODAY(),"ACTION DUE TODAY",IF(INT($O445)-TODAY()&lt;=Set_DueSoonDays,"DUE SOON",""))),IF(AND($M445="Applied",$AA445=""),IF(ISNUMBER($C445),IF(TODAY()-$C445&gt;=Set_FollowUpDays,"NO RESPONSE",""),""),"")))</f>
        <v/>
      </c>
      <c r="AD445" s="87">
        <f>IF(ISNUMBER($L445),IF($L445&gt;=90,"Excellent Match",IF($L445&gt;=75,"Strong Match",IF($L445&gt;=60,"Moderate Match","Low Match"))),"")</f>
        <v/>
      </c>
      <c r="AE445" s="87">
        <f>IF($D445="","",IF(OR($M445="Rejected",$M445="Withdrawn"),IF($AB445&lt;&gt;"",$AB445,IF(OR($M445="Rejected",ISNUMBER($C445)),"Applied","Wishlist")),IF($M445="",IF(ISNUMBER($C445),"Applied","Wishlist"),$M445)))</f>
        <v/>
      </c>
      <c r="AF445" s="88">
        <f>IF(AND(ISNUMBER($C445),ISNUMBER($AA445)),$AA445-$C445,"")</f>
        <v/>
      </c>
      <c r="AG445" s="87">
        <f>IF($AE445="","",IFERROR(MATCH($AE445,{"Wishlist","Applied","Screening","Interview 1","Interview 2","Final","Offer","Accepted"},0)-1,""))</f>
        <v/>
      </c>
      <c r="AH445" s="87">
        <f>IF($AC445="","",MATCH($AC445,{"FOLLOW UP REQUIRED","ACTION DUE TODAY","NO RESPONSE","DUE SOON"},0)*100000+IF(ISNUMBER($O445),$O445,IF(ISNUMBER($C445),$C445,0))+ROW()/10000)</f>
        <v/>
      </c>
      <c r="AI445" s="87">
        <f>IF(AND(ISNUMBER($AG445),$AG445&gt;=1,$AG445&lt;=6,$M445&lt;&gt;"Rejected",$M445&lt;&gt;"Withdrawn"),(10-$AG445)*100000+IF(ISNUMBER($C445),$C445,0)+ROW()/10000,"")</f>
        <v/>
      </c>
    </row>
    <row r="446">
      <c r="A446" s="80" t="n"/>
      <c r="B446" s="81" t="n"/>
      <c r="C446" s="81" t="n"/>
      <c r="D446" s="82" t="n"/>
      <c r="E446" s="82" t="n"/>
      <c r="F446" s="82" t="n"/>
      <c r="G446" s="82" t="n"/>
      <c r="H446" s="82" t="n"/>
      <c r="I446" s="83" t="n"/>
      <c r="J446" s="82" t="n"/>
      <c r="K446" s="84" t="n"/>
      <c r="L446" s="85" t="n"/>
      <c r="M446" s="82" t="n"/>
      <c r="N446" s="86" t="n"/>
      <c r="O446" s="81" t="n"/>
      <c r="P446" s="82" t="n"/>
      <c r="Q446" s="83" t="n"/>
      <c r="R446" s="82" t="n"/>
      <c r="S446" s="84" t="n"/>
      <c r="T446" s="84" t="n"/>
      <c r="U446" s="82" t="n"/>
      <c r="V446" s="86" t="n"/>
      <c r="W446" s="86" t="n"/>
      <c r="X446" s="86" t="n"/>
      <c r="Y446" s="81" t="n"/>
      <c r="Z446" s="82" t="n"/>
      <c r="AA446" s="81" t="n"/>
      <c r="AB446" s="82" t="n"/>
      <c r="AC446" s="87">
        <f>IF(OR($D446="",$M446="Rejected",$M446="Withdrawn",$M446="Accepted"),"",IF(ISNUMBER($O446),IF(INT($O446)&lt;TODAY(),"FOLLOW UP REQUIRED",IF(INT($O446)=TODAY(),"ACTION DUE TODAY",IF(INT($O446)-TODAY()&lt;=Set_DueSoonDays,"DUE SOON",""))),IF(AND($M446="Applied",$AA446=""),IF(ISNUMBER($C446),IF(TODAY()-$C446&gt;=Set_FollowUpDays,"NO RESPONSE",""),""),"")))</f>
        <v/>
      </c>
      <c r="AD446" s="87">
        <f>IF(ISNUMBER($L446),IF($L446&gt;=90,"Excellent Match",IF($L446&gt;=75,"Strong Match",IF($L446&gt;=60,"Moderate Match","Low Match"))),"")</f>
        <v/>
      </c>
      <c r="AE446" s="87">
        <f>IF($D446="","",IF(OR($M446="Rejected",$M446="Withdrawn"),IF($AB446&lt;&gt;"",$AB446,IF(OR($M446="Rejected",ISNUMBER($C446)),"Applied","Wishlist")),IF($M446="",IF(ISNUMBER($C446),"Applied","Wishlist"),$M446)))</f>
        <v/>
      </c>
      <c r="AF446" s="88">
        <f>IF(AND(ISNUMBER($C446),ISNUMBER($AA446)),$AA446-$C446,"")</f>
        <v/>
      </c>
      <c r="AG446" s="87">
        <f>IF($AE446="","",IFERROR(MATCH($AE446,{"Wishlist","Applied","Screening","Interview 1","Interview 2","Final","Offer","Accepted"},0)-1,""))</f>
        <v/>
      </c>
      <c r="AH446" s="87">
        <f>IF($AC446="","",MATCH($AC446,{"FOLLOW UP REQUIRED","ACTION DUE TODAY","NO RESPONSE","DUE SOON"},0)*100000+IF(ISNUMBER($O446),$O446,IF(ISNUMBER($C446),$C446,0))+ROW()/10000)</f>
        <v/>
      </c>
      <c r="AI446" s="87">
        <f>IF(AND(ISNUMBER($AG446),$AG446&gt;=1,$AG446&lt;=6,$M446&lt;&gt;"Rejected",$M446&lt;&gt;"Withdrawn"),(10-$AG446)*100000+IF(ISNUMBER($C446),$C446,0)+ROW()/10000,"")</f>
        <v/>
      </c>
    </row>
    <row r="447">
      <c r="A447" s="80" t="n"/>
      <c r="B447" s="81" t="n"/>
      <c r="C447" s="81" t="n"/>
      <c r="D447" s="82" t="n"/>
      <c r="E447" s="82" t="n"/>
      <c r="F447" s="82" t="n"/>
      <c r="G447" s="82" t="n"/>
      <c r="H447" s="82" t="n"/>
      <c r="I447" s="83" t="n"/>
      <c r="J447" s="82" t="n"/>
      <c r="K447" s="84" t="n"/>
      <c r="L447" s="85" t="n"/>
      <c r="M447" s="82" t="n"/>
      <c r="N447" s="86" t="n"/>
      <c r="O447" s="81" t="n"/>
      <c r="P447" s="82" t="n"/>
      <c r="Q447" s="83" t="n"/>
      <c r="R447" s="82" t="n"/>
      <c r="S447" s="84" t="n"/>
      <c r="T447" s="84" t="n"/>
      <c r="U447" s="82" t="n"/>
      <c r="V447" s="86" t="n"/>
      <c r="W447" s="86" t="n"/>
      <c r="X447" s="86" t="n"/>
      <c r="Y447" s="81" t="n"/>
      <c r="Z447" s="82" t="n"/>
      <c r="AA447" s="81" t="n"/>
      <c r="AB447" s="82" t="n"/>
      <c r="AC447" s="87">
        <f>IF(OR($D447="",$M447="Rejected",$M447="Withdrawn",$M447="Accepted"),"",IF(ISNUMBER($O447),IF(INT($O447)&lt;TODAY(),"FOLLOW UP REQUIRED",IF(INT($O447)=TODAY(),"ACTION DUE TODAY",IF(INT($O447)-TODAY()&lt;=Set_DueSoonDays,"DUE SOON",""))),IF(AND($M447="Applied",$AA447=""),IF(ISNUMBER($C447),IF(TODAY()-$C447&gt;=Set_FollowUpDays,"NO RESPONSE",""),""),"")))</f>
        <v/>
      </c>
      <c r="AD447" s="87">
        <f>IF(ISNUMBER($L447),IF($L447&gt;=90,"Excellent Match",IF($L447&gt;=75,"Strong Match",IF($L447&gt;=60,"Moderate Match","Low Match"))),"")</f>
        <v/>
      </c>
      <c r="AE447" s="87">
        <f>IF($D447="","",IF(OR($M447="Rejected",$M447="Withdrawn"),IF($AB447&lt;&gt;"",$AB447,IF(OR($M447="Rejected",ISNUMBER($C447)),"Applied","Wishlist")),IF($M447="",IF(ISNUMBER($C447),"Applied","Wishlist"),$M447)))</f>
        <v/>
      </c>
      <c r="AF447" s="88">
        <f>IF(AND(ISNUMBER($C447),ISNUMBER($AA447)),$AA447-$C447,"")</f>
        <v/>
      </c>
      <c r="AG447" s="87">
        <f>IF($AE447="","",IFERROR(MATCH($AE447,{"Wishlist","Applied","Screening","Interview 1","Interview 2","Final","Offer","Accepted"},0)-1,""))</f>
        <v/>
      </c>
      <c r="AH447" s="87">
        <f>IF($AC447="","",MATCH($AC447,{"FOLLOW UP REQUIRED","ACTION DUE TODAY","NO RESPONSE","DUE SOON"},0)*100000+IF(ISNUMBER($O447),$O447,IF(ISNUMBER($C447),$C447,0))+ROW()/10000)</f>
        <v/>
      </c>
      <c r="AI447" s="87">
        <f>IF(AND(ISNUMBER($AG447),$AG447&gt;=1,$AG447&lt;=6,$M447&lt;&gt;"Rejected",$M447&lt;&gt;"Withdrawn"),(10-$AG447)*100000+IF(ISNUMBER($C447),$C447,0)+ROW()/10000,"")</f>
        <v/>
      </c>
    </row>
    <row r="448">
      <c r="A448" s="80" t="n"/>
      <c r="B448" s="81" t="n"/>
      <c r="C448" s="81" t="n"/>
      <c r="D448" s="82" t="n"/>
      <c r="E448" s="82" t="n"/>
      <c r="F448" s="82" t="n"/>
      <c r="G448" s="82" t="n"/>
      <c r="H448" s="82" t="n"/>
      <c r="I448" s="83" t="n"/>
      <c r="J448" s="82" t="n"/>
      <c r="K448" s="84" t="n"/>
      <c r="L448" s="85" t="n"/>
      <c r="M448" s="82" t="n"/>
      <c r="N448" s="86" t="n"/>
      <c r="O448" s="81" t="n"/>
      <c r="P448" s="82" t="n"/>
      <c r="Q448" s="83" t="n"/>
      <c r="R448" s="82" t="n"/>
      <c r="S448" s="84" t="n"/>
      <c r="T448" s="84" t="n"/>
      <c r="U448" s="82" t="n"/>
      <c r="V448" s="86" t="n"/>
      <c r="W448" s="86" t="n"/>
      <c r="X448" s="86" t="n"/>
      <c r="Y448" s="81" t="n"/>
      <c r="Z448" s="82" t="n"/>
      <c r="AA448" s="81" t="n"/>
      <c r="AB448" s="82" t="n"/>
      <c r="AC448" s="87">
        <f>IF(OR($D448="",$M448="Rejected",$M448="Withdrawn",$M448="Accepted"),"",IF(ISNUMBER($O448),IF(INT($O448)&lt;TODAY(),"FOLLOW UP REQUIRED",IF(INT($O448)=TODAY(),"ACTION DUE TODAY",IF(INT($O448)-TODAY()&lt;=Set_DueSoonDays,"DUE SOON",""))),IF(AND($M448="Applied",$AA448=""),IF(ISNUMBER($C448),IF(TODAY()-$C448&gt;=Set_FollowUpDays,"NO RESPONSE",""),""),"")))</f>
        <v/>
      </c>
      <c r="AD448" s="87">
        <f>IF(ISNUMBER($L448),IF($L448&gt;=90,"Excellent Match",IF($L448&gt;=75,"Strong Match",IF($L448&gt;=60,"Moderate Match","Low Match"))),"")</f>
        <v/>
      </c>
      <c r="AE448" s="87">
        <f>IF($D448="","",IF(OR($M448="Rejected",$M448="Withdrawn"),IF($AB448&lt;&gt;"",$AB448,IF(OR($M448="Rejected",ISNUMBER($C448)),"Applied","Wishlist")),IF($M448="",IF(ISNUMBER($C448),"Applied","Wishlist"),$M448)))</f>
        <v/>
      </c>
      <c r="AF448" s="88">
        <f>IF(AND(ISNUMBER($C448),ISNUMBER($AA448)),$AA448-$C448,"")</f>
        <v/>
      </c>
      <c r="AG448" s="87">
        <f>IF($AE448="","",IFERROR(MATCH($AE448,{"Wishlist","Applied","Screening","Interview 1","Interview 2","Final","Offer","Accepted"},0)-1,""))</f>
        <v/>
      </c>
      <c r="AH448" s="87">
        <f>IF($AC448="","",MATCH($AC448,{"FOLLOW UP REQUIRED","ACTION DUE TODAY","NO RESPONSE","DUE SOON"},0)*100000+IF(ISNUMBER($O448),$O448,IF(ISNUMBER($C448),$C448,0))+ROW()/10000)</f>
        <v/>
      </c>
      <c r="AI448" s="87">
        <f>IF(AND(ISNUMBER($AG448),$AG448&gt;=1,$AG448&lt;=6,$M448&lt;&gt;"Rejected",$M448&lt;&gt;"Withdrawn"),(10-$AG448)*100000+IF(ISNUMBER($C448),$C448,0)+ROW()/10000,"")</f>
        <v/>
      </c>
    </row>
    <row r="449">
      <c r="A449" s="80" t="n"/>
      <c r="B449" s="81" t="n"/>
      <c r="C449" s="81" t="n"/>
      <c r="D449" s="82" t="n"/>
      <c r="E449" s="82" t="n"/>
      <c r="F449" s="82" t="n"/>
      <c r="G449" s="82" t="n"/>
      <c r="H449" s="82" t="n"/>
      <c r="I449" s="83" t="n"/>
      <c r="J449" s="82" t="n"/>
      <c r="K449" s="84" t="n"/>
      <c r="L449" s="85" t="n"/>
      <c r="M449" s="82" t="n"/>
      <c r="N449" s="86" t="n"/>
      <c r="O449" s="81" t="n"/>
      <c r="P449" s="82" t="n"/>
      <c r="Q449" s="83" t="n"/>
      <c r="R449" s="82" t="n"/>
      <c r="S449" s="84" t="n"/>
      <c r="T449" s="84" t="n"/>
      <c r="U449" s="82" t="n"/>
      <c r="V449" s="86" t="n"/>
      <c r="W449" s="86" t="n"/>
      <c r="X449" s="86" t="n"/>
      <c r="Y449" s="81" t="n"/>
      <c r="Z449" s="82" t="n"/>
      <c r="AA449" s="81" t="n"/>
      <c r="AB449" s="82" t="n"/>
      <c r="AC449" s="87">
        <f>IF(OR($D449="",$M449="Rejected",$M449="Withdrawn",$M449="Accepted"),"",IF(ISNUMBER($O449),IF(INT($O449)&lt;TODAY(),"FOLLOW UP REQUIRED",IF(INT($O449)=TODAY(),"ACTION DUE TODAY",IF(INT($O449)-TODAY()&lt;=Set_DueSoonDays,"DUE SOON",""))),IF(AND($M449="Applied",$AA449=""),IF(ISNUMBER($C449),IF(TODAY()-$C449&gt;=Set_FollowUpDays,"NO RESPONSE",""),""),"")))</f>
        <v/>
      </c>
      <c r="AD449" s="87">
        <f>IF(ISNUMBER($L449),IF($L449&gt;=90,"Excellent Match",IF($L449&gt;=75,"Strong Match",IF($L449&gt;=60,"Moderate Match","Low Match"))),"")</f>
        <v/>
      </c>
      <c r="AE449" s="87">
        <f>IF($D449="","",IF(OR($M449="Rejected",$M449="Withdrawn"),IF($AB449&lt;&gt;"",$AB449,IF(OR($M449="Rejected",ISNUMBER($C449)),"Applied","Wishlist")),IF($M449="",IF(ISNUMBER($C449),"Applied","Wishlist"),$M449)))</f>
        <v/>
      </c>
      <c r="AF449" s="88">
        <f>IF(AND(ISNUMBER($C449),ISNUMBER($AA449)),$AA449-$C449,"")</f>
        <v/>
      </c>
      <c r="AG449" s="87">
        <f>IF($AE449="","",IFERROR(MATCH($AE449,{"Wishlist","Applied","Screening","Interview 1","Interview 2","Final","Offer","Accepted"},0)-1,""))</f>
        <v/>
      </c>
      <c r="AH449" s="87">
        <f>IF($AC449="","",MATCH($AC449,{"FOLLOW UP REQUIRED","ACTION DUE TODAY","NO RESPONSE","DUE SOON"},0)*100000+IF(ISNUMBER($O449),$O449,IF(ISNUMBER($C449),$C449,0))+ROW()/10000)</f>
        <v/>
      </c>
      <c r="AI449" s="87">
        <f>IF(AND(ISNUMBER($AG449),$AG449&gt;=1,$AG449&lt;=6,$M449&lt;&gt;"Rejected",$M449&lt;&gt;"Withdrawn"),(10-$AG449)*100000+IF(ISNUMBER($C449),$C449,0)+ROW()/10000,"")</f>
        <v/>
      </c>
    </row>
    <row r="450">
      <c r="A450" s="80" t="n"/>
      <c r="B450" s="81" t="n"/>
      <c r="C450" s="81" t="n"/>
      <c r="D450" s="82" t="n"/>
      <c r="E450" s="82" t="n"/>
      <c r="F450" s="82" t="n"/>
      <c r="G450" s="82" t="n"/>
      <c r="H450" s="82" t="n"/>
      <c r="I450" s="83" t="n"/>
      <c r="J450" s="82" t="n"/>
      <c r="K450" s="84" t="n"/>
      <c r="L450" s="85" t="n"/>
      <c r="M450" s="82" t="n"/>
      <c r="N450" s="86" t="n"/>
      <c r="O450" s="81" t="n"/>
      <c r="P450" s="82" t="n"/>
      <c r="Q450" s="83" t="n"/>
      <c r="R450" s="82" t="n"/>
      <c r="S450" s="84" t="n"/>
      <c r="T450" s="84" t="n"/>
      <c r="U450" s="82" t="n"/>
      <c r="V450" s="86" t="n"/>
      <c r="W450" s="86" t="n"/>
      <c r="X450" s="86" t="n"/>
      <c r="Y450" s="81" t="n"/>
      <c r="Z450" s="82" t="n"/>
      <c r="AA450" s="81" t="n"/>
      <c r="AB450" s="82" t="n"/>
      <c r="AC450" s="87">
        <f>IF(OR($D450="",$M450="Rejected",$M450="Withdrawn",$M450="Accepted"),"",IF(ISNUMBER($O450),IF(INT($O450)&lt;TODAY(),"FOLLOW UP REQUIRED",IF(INT($O450)=TODAY(),"ACTION DUE TODAY",IF(INT($O450)-TODAY()&lt;=Set_DueSoonDays,"DUE SOON",""))),IF(AND($M450="Applied",$AA450=""),IF(ISNUMBER($C450),IF(TODAY()-$C450&gt;=Set_FollowUpDays,"NO RESPONSE",""),""),"")))</f>
        <v/>
      </c>
      <c r="AD450" s="87">
        <f>IF(ISNUMBER($L450),IF($L450&gt;=90,"Excellent Match",IF($L450&gt;=75,"Strong Match",IF($L450&gt;=60,"Moderate Match","Low Match"))),"")</f>
        <v/>
      </c>
      <c r="AE450" s="87">
        <f>IF($D450="","",IF(OR($M450="Rejected",$M450="Withdrawn"),IF($AB450&lt;&gt;"",$AB450,IF(OR($M450="Rejected",ISNUMBER($C450)),"Applied","Wishlist")),IF($M450="",IF(ISNUMBER($C450),"Applied","Wishlist"),$M450)))</f>
        <v/>
      </c>
      <c r="AF450" s="88">
        <f>IF(AND(ISNUMBER($C450),ISNUMBER($AA450)),$AA450-$C450,"")</f>
        <v/>
      </c>
      <c r="AG450" s="87">
        <f>IF($AE450="","",IFERROR(MATCH($AE450,{"Wishlist","Applied","Screening","Interview 1","Interview 2","Final","Offer","Accepted"},0)-1,""))</f>
        <v/>
      </c>
      <c r="AH450" s="87">
        <f>IF($AC450="","",MATCH($AC450,{"FOLLOW UP REQUIRED","ACTION DUE TODAY","NO RESPONSE","DUE SOON"},0)*100000+IF(ISNUMBER($O450),$O450,IF(ISNUMBER($C450),$C450,0))+ROW()/10000)</f>
        <v/>
      </c>
      <c r="AI450" s="87">
        <f>IF(AND(ISNUMBER($AG450),$AG450&gt;=1,$AG450&lt;=6,$M450&lt;&gt;"Rejected",$M450&lt;&gt;"Withdrawn"),(10-$AG450)*100000+IF(ISNUMBER($C450),$C450,0)+ROW()/10000,"")</f>
        <v/>
      </c>
    </row>
    <row r="451">
      <c r="A451" s="80" t="n"/>
      <c r="B451" s="81" t="n"/>
      <c r="C451" s="81" t="n"/>
      <c r="D451" s="82" t="n"/>
      <c r="E451" s="82" t="n"/>
      <c r="F451" s="82" t="n"/>
      <c r="G451" s="82" t="n"/>
      <c r="H451" s="82" t="n"/>
      <c r="I451" s="83" t="n"/>
      <c r="J451" s="82" t="n"/>
      <c r="K451" s="84" t="n"/>
      <c r="L451" s="85" t="n"/>
      <c r="M451" s="82" t="n"/>
      <c r="N451" s="86" t="n"/>
      <c r="O451" s="81" t="n"/>
      <c r="P451" s="82" t="n"/>
      <c r="Q451" s="83" t="n"/>
      <c r="R451" s="82" t="n"/>
      <c r="S451" s="84" t="n"/>
      <c r="T451" s="84" t="n"/>
      <c r="U451" s="82" t="n"/>
      <c r="V451" s="86" t="n"/>
      <c r="W451" s="86" t="n"/>
      <c r="X451" s="86" t="n"/>
      <c r="Y451" s="81" t="n"/>
      <c r="Z451" s="82" t="n"/>
      <c r="AA451" s="81" t="n"/>
      <c r="AB451" s="82" t="n"/>
      <c r="AC451" s="87">
        <f>IF(OR($D451="",$M451="Rejected",$M451="Withdrawn",$M451="Accepted"),"",IF(ISNUMBER($O451),IF(INT($O451)&lt;TODAY(),"FOLLOW UP REQUIRED",IF(INT($O451)=TODAY(),"ACTION DUE TODAY",IF(INT($O451)-TODAY()&lt;=Set_DueSoonDays,"DUE SOON",""))),IF(AND($M451="Applied",$AA451=""),IF(ISNUMBER($C451),IF(TODAY()-$C451&gt;=Set_FollowUpDays,"NO RESPONSE",""),""),"")))</f>
        <v/>
      </c>
      <c r="AD451" s="87">
        <f>IF(ISNUMBER($L451),IF($L451&gt;=90,"Excellent Match",IF($L451&gt;=75,"Strong Match",IF($L451&gt;=60,"Moderate Match","Low Match"))),"")</f>
        <v/>
      </c>
      <c r="AE451" s="87">
        <f>IF($D451="","",IF(OR($M451="Rejected",$M451="Withdrawn"),IF($AB451&lt;&gt;"",$AB451,IF(OR($M451="Rejected",ISNUMBER($C451)),"Applied","Wishlist")),IF($M451="",IF(ISNUMBER($C451),"Applied","Wishlist"),$M451)))</f>
        <v/>
      </c>
      <c r="AF451" s="88">
        <f>IF(AND(ISNUMBER($C451),ISNUMBER($AA451)),$AA451-$C451,"")</f>
        <v/>
      </c>
      <c r="AG451" s="87">
        <f>IF($AE451="","",IFERROR(MATCH($AE451,{"Wishlist","Applied","Screening","Interview 1","Interview 2","Final","Offer","Accepted"},0)-1,""))</f>
        <v/>
      </c>
      <c r="AH451" s="87">
        <f>IF($AC451="","",MATCH($AC451,{"FOLLOW UP REQUIRED","ACTION DUE TODAY","NO RESPONSE","DUE SOON"},0)*100000+IF(ISNUMBER($O451),$O451,IF(ISNUMBER($C451),$C451,0))+ROW()/10000)</f>
        <v/>
      </c>
      <c r="AI451" s="87">
        <f>IF(AND(ISNUMBER($AG451),$AG451&gt;=1,$AG451&lt;=6,$M451&lt;&gt;"Rejected",$M451&lt;&gt;"Withdrawn"),(10-$AG451)*100000+IF(ISNUMBER($C451),$C451,0)+ROW()/10000,"")</f>
        <v/>
      </c>
    </row>
    <row r="452">
      <c r="A452" s="80" t="n"/>
      <c r="B452" s="81" t="n"/>
      <c r="C452" s="81" t="n"/>
      <c r="D452" s="82" t="n"/>
      <c r="E452" s="82" t="n"/>
      <c r="F452" s="82" t="n"/>
      <c r="G452" s="82" t="n"/>
      <c r="H452" s="82" t="n"/>
      <c r="I452" s="83" t="n"/>
      <c r="J452" s="82" t="n"/>
      <c r="K452" s="84" t="n"/>
      <c r="L452" s="85" t="n"/>
      <c r="M452" s="82" t="n"/>
      <c r="N452" s="86" t="n"/>
      <c r="O452" s="81" t="n"/>
      <c r="P452" s="82" t="n"/>
      <c r="Q452" s="83" t="n"/>
      <c r="R452" s="82" t="n"/>
      <c r="S452" s="84" t="n"/>
      <c r="T452" s="84" t="n"/>
      <c r="U452" s="82" t="n"/>
      <c r="V452" s="86" t="n"/>
      <c r="W452" s="86" t="n"/>
      <c r="X452" s="86" t="n"/>
      <c r="Y452" s="81" t="n"/>
      <c r="Z452" s="82" t="n"/>
      <c r="AA452" s="81" t="n"/>
      <c r="AB452" s="82" t="n"/>
      <c r="AC452" s="87">
        <f>IF(OR($D452="",$M452="Rejected",$M452="Withdrawn",$M452="Accepted"),"",IF(ISNUMBER($O452),IF(INT($O452)&lt;TODAY(),"FOLLOW UP REQUIRED",IF(INT($O452)=TODAY(),"ACTION DUE TODAY",IF(INT($O452)-TODAY()&lt;=Set_DueSoonDays,"DUE SOON",""))),IF(AND($M452="Applied",$AA452=""),IF(ISNUMBER($C452),IF(TODAY()-$C452&gt;=Set_FollowUpDays,"NO RESPONSE",""),""),"")))</f>
        <v/>
      </c>
      <c r="AD452" s="87">
        <f>IF(ISNUMBER($L452),IF($L452&gt;=90,"Excellent Match",IF($L452&gt;=75,"Strong Match",IF($L452&gt;=60,"Moderate Match","Low Match"))),"")</f>
        <v/>
      </c>
      <c r="AE452" s="87">
        <f>IF($D452="","",IF(OR($M452="Rejected",$M452="Withdrawn"),IF($AB452&lt;&gt;"",$AB452,IF(OR($M452="Rejected",ISNUMBER($C452)),"Applied","Wishlist")),IF($M452="",IF(ISNUMBER($C452),"Applied","Wishlist"),$M452)))</f>
        <v/>
      </c>
      <c r="AF452" s="88">
        <f>IF(AND(ISNUMBER($C452),ISNUMBER($AA452)),$AA452-$C452,"")</f>
        <v/>
      </c>
      <c r="AG452" s="87">
        <f>IF($AE452="","",IFERROR(MATCH($AE452,{"Wishlist","Applied","Screening","Interview 1","Interview 2","Final","Offer","Accepted"},0)-1,""))</f>
        <v/>
      </c>
      <c r="AH452" s="87">
        <f>IF($AC452="","",MATCH($AC452,{"FOLLOW UP REQUIRED","ACTION DUE TODAY","NO RESPONSE","DUE SOON"},0)*100000+IF(ISNUMBER($O452),$O452,IF(ISNUMBER($C452),$C452,0))+ROW()/10000)</f>
        <v/>
      </c>
      <c r="AI452" s="87">
        <f>IF(AND(ISNUMBER($AG452),$AG452&gt;=1,$AG452&lt;=6,$M452&lt;&gt;"Rejected",$M452&lt;&gt;"Withdrawn"),(10-$AG452)*100000+IF(ISNUMBER($C452),$C452,0)+ROW()/10000,"")</f>
        <v/>
      </c>
    </row>
    <row r="453">
      <c r="A453" s="80" t="n"/>
      <c r="B453" s="81" t="n"/>
      <c r="C453" s="81" t="n"/>
      <c r="D453" s="82" t="n"/>
      <c r="E453" s="82" t="n"/>
      <c r="F453" s="82" t="n"/>
      <c r="G453" s="82" t="n"/>
      <c r="H453" s="82" t="n"/>
      <c r="I453" s="83" t="n"/>
      <c r="J453" s="82" t="n"/>
      <c r="K453" s="84" t="n"/>
      <c r="L453" s="85" t="n"/>
      <c r="M453" s="82" t="n"/>
      <c r="N453" s="86" t="n"/>
      <c r="O453" s="81" t="n"/>
      <c r="P453" s="82" t="n"/>
      <c r="Q453" s="83" t="n"/>
      <c r="R453" s="82" t="n"/>
      <c r="S453" s="84" t="n"/>
      <c r="T453" s="84" t="n"/>
      <c r="U453" s="82" t="n"/>
      <c r="V453" s="86" t="n"/>
      <c r="W453" s="86" t="n"/>
      <c r="X453" s="86" t="n"/>
      <c r="Y453" s="81" t="n"/>
      <c r="Z453" s="82" t="n"/>
      <c r="AA453" s="81" t="n"/>
      <c r="AB453" s="82" t="n"/>
      <c r="AC453" s="87">
        <f>IF(OR($D453="",$M453="Rejected",$M453="Withdrawn",$M453="Accepted"),"",IF(ISNUMBER($O453),IF(INT($O453)&lt;TODAY(),"FOLLOW UP REQUIRED",IF(INT($O453)=TODAY(),"ACTION DUE TODAY",IF(INT($O453)-TODAY()&lt;=Set_DueSoonDays,"DUE SOON",""))),IF(AND($M453="Applied",$AA453=""),IF(ISNUMBER($C453),IF(TODAY()-$C453&gt;=Set_FollowUpDays,"NO RESPONSE",""),""),"")))</f>
        <v/>
      </c>
      <c r="AD453" s="87">
        <f>IF(ISNUMBER($L453),IF($L453&gt;=90,"Excellent Match",IF($L453&gt;=75,"Strong Match",IF($L453&gt;=60,"Moderate Match","Low Match"))),"")</f>
        <v/>
      </c>
      <c r="AE453" s="87">
        <f>IF($D453="","",IF(OR($M453="Rejected",$M453="Withdrawn"),IF($AB453&lt;&gt;"",$AB453,IF(OR($M453="Rejected",ISNUMBER($C453)),"Applied","Wishlist")),IF($M453="",IF(ISNUMBER($C453),"Applied","Wishlist"),$M453)))</f>
        <v/>
      </c>
      <c r="AF453" s="88">
        <f>IF(AND(ISNUMBER($C453),ISNUMBER($AA453)),$AA453-$C453,"")</f>
        <v/>
      </c>
      <c r="AG453" s="87">
        <f>IF($AE453="","",IFERROR(MATCH($AE453,{"Wishlist","Applied","Screening","Interview 1","Interview 2","Final","Offer","Accepted"},0)-1,""))</f>
        <v/>
      </c>
      <c r="AH453" s="87">
        <f>IF($AC453="","",MATCH($AC453,{"FOLLOW UP REQUIRED","ACTION DUE TODAY","NO RESPONSE","DUE SOON"},0)*100000+IF(ISNUMBER($O453),$O453,IF(ISNUMBER($C453),$C453,0))+ROW()/10000)</f>
        <v/>
      </c>
      <c r="AI453" s="87">
        <f>IF(AND(ISNUMBER($AG453),$AG453&gt;=1,$AG453&lt;=6,$M453&lt;&gt;"Rejected",$M453&lt;&gt;"Withdrawn"),(10-$AG453)*100000+IF(ISNUMBER($C453),$C453,0)+ROW()/10000,"")</f>
        <v/>
      </c>
    </row>
    <row r="454">
      <c r="A454" s="80" t="n"/>
      <c r="B454" s="81" t="n"/>
      <c r="C454" s="81" t="n"/>
      <c r="D454" s="82" t="n"/>
      <c r="E454" s="82" t="n"/>
      <c r="F454" s="82" t="n"/>
      <c r="G454" s="82" t="n"/>
      <c r="H454" s="82" t="n"/>
      <c r="I454" s="83" t="n"/>
      <c r="J454" s="82" t="n"/>
      <c r="K454" s="84" t="n"/>
      <c r="L454" s="85" t="n"/>
      <c r="M454" s="82" t="n"/>
      <c r="N454" s="86" t="n"/>
      <c r="O454" s="81" t="n"/>
      <c r="P454" s="82" t="n"/>
      <c r="Q454" s="83" t="n"/>
      <c r="R454" s="82" t="n"/>
      <c r="S454" s="84" t="n"/>
      <c r="T454" s="84" t="n"/>
      <c r="U454" s="82" t="n"/>
      <c r="V454" s="86" t="n"/>
      <c r="W454" s="86" t="n"/>
      <c r="X454" s="86" t="n"/>
      <c r="Y454" s="81" t="n"/>
      <c r="Z454" s="82" t="n"/>
      <c r="AA454" s="81" t="n"/>
      <c r="AB454" s="82" t="n"/>
      <c r="AC454" s="87">
        <f>IF(OR($D454="",$M454="Rejected",$M454="Withdrawn",$M454="Accepted"),"",IF(ISNUMBER($O454),IF(INT($O454)&lt;TODAY(),"FOLLOW UP REQUIRED",IF(INT($O454)=TODAY(),"ACTION DUE TODAY",IF(INT($O454)-TODAY()&lt;=Set_DueSoonDays,"DUE SOON",""))),IF(AND($M454="Applied",$AA454=""),IF(ISNUMBER($C454),IF(TODAY()-$C454&gt;=Set_FollowUpDays,"NO RESPONSE",""),""),"")))</f>
        <v/>
      </c>
      <c r="AD454" s="87">
        <f>IF(ISNUMBER($L454),IF($L454&gt;=90,"Excellent Match",IF($L454&gt;=75,"Strong Match",IF($L454&gt;=60,"Moderate Match","Low Match"))),"")</f>
        <v/>
      </c>
      <c r="AE454" s="87">
        <f>IF($D454="","",IF(OR($M454="Rejected",$M454="Withdrawn"),IF($AB454&lt;&gt;"",$AB454,IF(OR($M454="Rejected",ISNUMBER($C454)),"Applied","Wishlist")),IF($M454="",IF(ISNUMBER($C454),"Applied","Wishlist"),$M454)))</f>
        <v/>
      </c>
      <c r="AF454" s="88">
        <f>IF(AND(ISNUMBER($C454),ISNUMBER($AA454)),$AA454-$C454,"")</f>
        <v/>
      </c>
      <c r="AG454" s="87">
        <f>IF($AE454="","",IFERROR(MATCH($AE454,{"Wishlist","Applied","Screening","Interview 1","Interview 2","Final","Offer","Accepted"},0)-1,""))</f>
        <v/>
      </c>
      <c r="AH454" s="87">
        <f>IF($AC454="","",MATCH($AC454,{"FOLLOW UP REQUIRED","ACTION DUE TODAY","NO RESPONSE","DUE SOON"},0)*100000+IF(ISNUMBER($O454),$O454,IF(ISNUMBER($C454),$C454,0))+ROW()/10000)</f>
        <v/>
      </c>
      <c r="AI454" s="87">
        <f>IF(AND(ISNUMBER($AG454),$AG454&gt;=1,$AG454&lt;=6,$M454&lt;&gt;"Rejected",$M454&lt;&gt;"Withdrawn"),(10-$AG454)*100000+IF(ISNUMBER($C454),$C454,0)+ROW()/10000,"")</f>
        <v/>
      </c>
    </row>
    <row r="455">
      <c r="A455" s="80" t="n"/>
      <c r="B455" s="81" t="n"/>
      <c r="C455" s="81" t="n"/>
      <c r="D455" s="82" t="n"/>
      <c r="E455" s="82" t="n"/>
      <c r="F455" s="82" t="n"/>
      <c r="G455" s="82" t="n"/>
      <c r="H455" s="82" t="n"/>
      <c r="I455" s="83" t="n"/>
      <c r="J455" s="82" t="n"/>
      <c r="K455" s="84" t="n"/>
      <c r="L455" s="85" t="n"/>
      <c r="M455" s="82" t="n"/>
      <c r="N455" s="86" t="n"/>
      <c r="O455" s="81" t="n"/>
      <c r="P455" s="82" t="n"/>
      <c r="Q455" s="83" t="n"/>
      <c r="R455" s="82" t="n"/>
      <c r="S455" s="84" t="n"/>
      <c r="T455" s="84" t="n"/>
      <c r="U455" s="82" t="n"/>
      <c r="V455" s="86" t="n"/>
      <c r="W455" s="86" t="n"/>
      <c r="X455" s="86" t="n"/>
      <c r="Y455" s="81" t="n"/>
      <c r="Z455" s="82" t="n"/>
      <c r="AA455" s="81" t="n"/>
      <c r="AB455" s="82" t="n"/>
      <c r="AC455" s="87">
        <f>IF(OR($D455="",$M455="Rejected",$M455="Withdrawn",$M455="Accepted"),"",IF(ISNUMBER($O455),IF(INT($O455)&lt;TODAY(),"FOLLOW UP REQUIRED",IF(INT($O455)=TODAY(),"ACTION DUE TODAY",IF(INT($O455)-TODAY()&lt;=Set_DueSoonDays,"DUE SOON",""))),IF(AND($M455="Applied",$AA455=""),IF(ISNUMBER($C455),IF(TODAY()-$C455&gt;=Set_FollowUpDays,"NO RESPONSE",""),""),"")))</f>
        <v/>
      </c>
      <c r="AD455" s="87">
        <f>IF(ISNUMBER($L455),IF($L455&gt;=90,"Excellent Match",IF($L455&gt;=75,"Strong Match",IF($L455&gt;=60,"Moderate Match","Low Match"))),"")</f>
        <v/>
      </c>
      <c r="AE455" s="87">
        <f>IF($D455="","",IF(OR($M455="Rejected",$M455="Withdrawn"),IF($AB455&lt;&gt;"",$AB455,IF(OR($M455="Rejected",ISNUMBER($C455)),"Applied","Wishlist")),IF($M455="",IF(ISNUMBER($C455),"Applied","Wishlist"),$M455)))</f>
        <v/>
      </c>
      <c r="AF455" s="88">
        <f>IF(AND(ISNUMBER($C455),ISNUMBER($AA455)),$AA455-$C455,"")</f>
        <v/>
      </c>
      <c r="AG455" s="87">
        <f>IF($AE455="","",IFERROR(MATCH($AE455,{"Wishlist","Applied","Screening","Interview 1","Interview 2","Final","Offer","Accepted"},0)-1,""))</f>
        <v/>
      </c>
      <c r="AH455" s="87">
        <f>IF($AC455="","",MATCH($AC455,{"FOLLOW UP REQUIRED","ACTION DUE TODAY","NO RESPONSE","DUE SOON"},0)*100000+IF(ISNUMBER($O455),$O455,IF(ISNUMBER($C455),$C455,0))+ROW()/10000)</f>
        <v/>
      </c>
      <c r="AI455" s="87">
        <f>IF(AND(ISNUMBER($AG455),$AG455&gt;=1,$AG455&lt;=6,$M455&lt;&gt;"Rejected",$M455&lt;&gt;"Withdrawn"),(10-$AG455)*100000+IF(ISNUMBER($C455),$C455,0)+ROW()/10000,"")</f>
        <v/>
      </c>
    </row>
    <row r="456">
      <c r="A456" s="80" t="n"/>
      <c r="B456" s="81" t="n"/>
      <c r="C456" s="81" t="n"/>
      <c r="D456" s="82" t="n"/>
      <c r="E456" s="82" t="n"/>
      <c r="F456" s="82" t="n"/>
      <c r="G456" s="82" t="n"/>
      <c r="H456" s="82" t="n"/>
      <c r="I456" s="83" t="n"/>
      <c r="J456" s="82" t="n"/>
      <c r="K456" s="84" t="n"/>
      <c r="L456" s="85" t="n"/>
      <c r="M456" s="82" t="n"/>
      <c r="N456" s="86" t="n"/>
      <c r="O456" s="81" t="n"/>
      <c r="P456" s="82" t="n"/>
      <c r="Q456" s="83" t="n"/>
      <c r="R456" s="82" t="n"/>
      <c r="S456" s="84" t="n"/>
      <c r="T456" s="84" t="n"/>
      <c r="U456" s="82" t="n"/>
      <c r="V456" s="86" t="n"/>
      <c r="W456" s="86" t="n"/>
      <c r="X456" s="86" t="n"/>
      <c r="Y456" s="81" t="n"/>
      <c r="Z456" s="82" t="n"/>
      <c r="AA456" s="81" t="n"/>
      <c r="AB456" s="82" t="n"/>
      <c r="AC456" s="87">
        <f>IF(OR($D456="",$M456="Rejected",$M456="Withdrawn",$M456="Accepted"),"",IF(ISNUMBER($O456),IF(INT($O456)&lt;TODAY(),"FOLLOW UP REQUIRED",IF(INT($O456)=TODAY(),"ACTION DUE TODAY",IF(INT($O456)-TODAY()&lt;=Set_DueSoonDays,"DUE SOON",""))),IF(AND($M456="Applied",$AA456=""),IF(ISNUMBER($C456),IF(TODAY()-$C456&gt;=Set_FollowUpDays,"NO RESPONSE",""),""),"")))</f>
        <v/>
      </c>
      <c r="AD456" s="87">
        <f>IF(ISNUMBER($L456),IF($L456&gt;=90,"Excellent Match",IF($L456&gt;=75,"Strong Match",IF($L456&gt;=60,"Moderate Match","Low Match"))),"")</f>
        <v/>
      </c>
      <c r="AE456" s="87">
        <f>IF($D456="","",IF(OR($M456="Rejected",$M456="Withdrawn"),IF($AB456&lt;&gt;"",$AB456,IF(OR($M456="Rejected",ISNUMBER($C456)),"Applied","Wishlist")),IF($M456="",IF(ISNUMBER($C456),"Applied","Wishlist"),$M456)))</f>
        <v/>
      </c>
      <c r="AF456" s="88">
        <f>IF(AND(ISNUMBER($C456),ISNUMBER($AA456)),$AA456-$C456,"")</f>
        <v/>
      </c>
      <c r="AG456" s="87">
        <f>IF($AE456="","",IFERROR(MATCH($AE456,{"Wishlist","Applied","Screening","Interview 1","Interview 2","Final","Offer","Accepted"},0)-1,""))</f>
        <v/>
      </c>
      <c r="AH456" s="87">
        <f>IF($AC456="","",MATCH($AC456,{"FOLLOW UP REQUIRED","ACTION DUE TODAY","NO RESPONSE","DUE SOON"},0)*100000+IF(ISNUMBER($O456),$O456,IF(ISNUMBER($C456),$C456,0))+ROW()/10000)</f>
        <v/>
      </c>
      <c r="AI456" s="87">
        <f>IF(AND(ISNUMBER($AG456),$AG456&gt;=1,$AG456&lt;=6,$M456&lt;&gt;"Rejected",$M456&lt;&gt;"Withdrawn"),(10-$AG456)*100000+IF(ISNUMBER($C456),$C456,0)+ROW()/10000,"")</f>
        <v/>
      </c>
    </row>
    <row r="457">
      <c r="A457" s="80" t="n"/>
      <c r="B457" s="81" t="n"/>
      <c r="C457" s="81" t="n"/>
      <c r="D457" s="82" t="n"/>
      <c r="E457" s="82" t="n"/>
      <c r="F457" s="82" t="n"/>
      <c r="G457" s="82" t="n"/>
      <c r="H457" s="82" t="n"/>
      <c r="I457" s="83" t="n"/>
      <c r="J457" s="82" t="n"/>
      <c r="K457" s="84" t="n"/>
      <c r="L457" s="85" t="n"/>
      <c r="M457" s="82" t="n"/>
      <c r="N457" s="86" t="n"/>
      <c r="O457" s="81" t="n"/>
      <c r="P457" s="82" t="n"/>
      <c r="Q457" s="83" t="n"/>
      <c r="R457" s="82" t="n"/>
      <c r="S457" s="84" t="n"/>
      <c r="T457" s="84" t="n"/>
      <c r="U457" s="82" t="n"/>
      <c r="V457" s="86" t="n"/>
      <c r="W457" s="86" t="n"/>
      <c r="X457" s="86" t="n"/>
      <c r="Y457" s="81" t="n"/>
      <c r="Z457" s="82" t="n"/>
      <c r="AA457" s="81" t="n"/>
      <c r="AB457" s="82" t="n"/>
      <c r="AC457" s="87">
        <f>IF(OR($D457="",$M457="Rejected",$M457="Withdrawn",$M457="Accepted"),"",IF(ISNUMBER($O457),IF(INT($O457)&lt;TODAY(),"FOLLOW UP REQUIRED",IF(INT($O457)=TODAY(),"ACTION DUE TODAY",IF(INT($O457)-TODAY()&lt;=Set_DueSoonDays,"DUE SOON",""))),IF(AND($M457="Applied",$AA457=""),IF(ISNUMBER($C457),IF(TODAY()-$C457&gt;=Set_FollowUpDays,"NO RESPONSE",""),""),"")))</f>
        <v/>
      </c>
      <c r="AD457" s="87">
        <f>IF(ISNUMBER($L457),IF($L457&gt;=90,"Excellent Match",IF($L457&gt;=75,"Strong Match",IF($L457&gt;=60,"Moderate Match","Low Match"))),"")</f>
        <v/>
      </c>
      <c r="AE457" s="87">
        <f>IF($D457="","",IF(OR($M457="Rejected",$M457="Withdrawn"),IF($AB457&lt;&gt;"",$AB457,IF(OR($M457="Rejected",ISNUMBER($C457)),"Applied","Wishlist")),IF($M457="",IF(ISNUMBER($C457),"Applied","Wishlist"),$M457)))</f>
        <v/>
      </c>
      <c r="AF457" s="88">
        <f>IF(AND(ISNUMBER($C457),ISNUMBER($AA457)),$AA457-$C457,"")</f>
        <v/>
      </c>
      <c r="AG457" s="87">
        <f>IF($AE457="","",IFERROR(MATCH($AE457,{"Wishlist","Applied","Screening","Interview 1","Interview 2","Final","Offer","Accepted"},0)-1,""))</f>
        <v/>
      </c>
      <c r="AH457" s="87">
        <f>IF($AC457="","",MATCH($AC457,{"FOLLOW UP REQUIRED","ACTION DUE TODAY","NO RESPONSE","DUE SOON"},0)*100000+IF(ISNUMBER($O457),$O457,IF(ISNUMBER($C457),$C457,0))+ROW()/10000)</f>
        <v/>
      </c>
      <c r="AI457" s="87">
        <f>IF(AND(ISNUMBER($AG457),$AG457&gt;=1,$AG457&lt;=6,$M457&lt;&gt;"Rejected",$M457&lt;&gt;"Withdrawn"),(10-$AG457)*100000+IF(ISNUMBER($C457),$C457,0)+ROW()/10000,"")</f>
        <v/>
      </c>
    </row>
    <row r="458">
      <c r="A458" s="80" t="n"/>
      <c r="B458" s="81" t="n"/>
      <c r="C458" s="81" t="n"/>
      <c r="D458" s="82" t="n"/>
      <c r="E458" s="82" t="n"/>
      <c r="F458" s="82" t="n"/>
      <c r="G458" s="82" t="n"/>
      <c r="H458" s="82" t="n"/>
      <c r="I458" s="83" t="n"/>
      <c r="J458" s="82" t="n"/>
      <c r="K458" s="84" t="n"/>
      <c r="L458" s="85" t="n"/>
      <c r="M458" s="82" t="n"/>
      <c r="N458" s="86" t="n"/>
      <c r="O458" s="81" t="n"/>
      <c r="P458" s="82" t="n"/>
      <c r="Q458" s="83" t="n"/>
      <c r="R458" s="82" t="n"/>
      <c r="S458" s="84" t="n"/>
      <c r="T458" s="84" t="n"/>
      <c r="U458" s="82" t="n"/>
      <c r="V458" s="86" t="n"/>
      <c r="W458" s="86" t="n"/>
      <c r="X458" s="86" t="n"/>
      <c r="Y458" s="81" t="n"/>
      <c r="Z458" s="82" t="n"/>
      <c r="AA458" s="81" t="n"/>
      <c r="AB458" s="82" t="n"/>
      <c r="AC458" s="87">
        <f>IF(OR($D458="",$M458="Rejected",$M458="Withdrawn",$M458="Accepted"),"",IF(ISNUMBER($O458),IF(INT($O458)&lt;TODAY(),"FOLLOW UP REQUIRED",IF(INT($O458)=TODAY(),"ACTION DUE TODAY",IF(INT($O458)-TODAY()&lt;=Set_DueSoonDays,"DUE SOON",""))),IF(AND($M458="Applied",$AA458=""),IF(ISNUMBER($C458),IF(TODAY()-$C458&gt;=Set_FollowUpDays,"NO RESPONSE",""),""),"")))</f>
        <v/>
      </c>
      <c r="AD458" s="87">
        <f>IF(ISNUMBER($L458),IF($L458&gt;=90,"Excellent Match",IF($L458&gt;=75,"Strong Match",IF($L458&gt;=60,"Moderate Match","Low Match"))),"")</f>
        <v/>
      </c>
      <c r="AE458" s="87">
        <f>IF($D458="","",IF(OR($M458="Rejected",$M458="Withdrawn"),IF($AB458&lt;&gt;"",$AB458,IF(OR($M458="Rejected",ISNUMBER($C458)),"Applied","Wishlist")),IF($M458="",IF(ISNUMBER($C458),"Applied","Wishlist"),$M458)))</f>
        <v/>
      </c>
      <c r="AF458" s="88">
        <f>IF(AND(ISNUMBER($C458),ISNUMBER($AA458)),$AA458-$C458,"")</f>
        <v/>
      </c>
      <c r="AG458" s="87">
        <f>IF($AE458="","",IFERROR(MATCH($AE458,{"Wishlist","Applied","Screening","Interview 1","Interview 2","Final","Offer","Accepted"},0)-1,""))</f>
        <v/>
      </c>
      <c r="AH458" s="87">
        <f>IF($AC458="","",MATCH($AC458,{"FOLLOW UP REQUIRED","ACTION DUE TODAY","NO RESPONSE","DUE SOON"},0)*100000+IF(ISNUMBER($O458),$O458,IF(ISNUMBER($C458),$C458,0))+ROW()/10000)</f>
        <v/>
      </c>
      <c r="AI458" s="87">
        <f>IF(AND(ISNUMBER($AG458),$AG458&gt;=1,$AG458&lt;=6,$M458&lt;&gt;"Rejected",$M458&lt;&gt;"Withdrawn"),(10-$AG458)*100000+IF(ISNUMBER($C458),$C458,0)+ROW()/10000,"")</f>
        <v/>
      </c>
    </row>
    <row r="459">
      <c r="A459" s="80" t="n"/>
      <c r="B459" s="81" t="n"/>
      <c r="C459" s="81" t="n"/>
      <c r="D459" s="82" t="n"/>
      <c r="E459" s="82" t="n"/>
      <c r="F459" s="82" t="n"/>
      <c r="G459" s="82" t="n"/>
      <c r="H459" s="82" t="n"/>
      <c r="I459" s="83" t="n"/>
      <c r="J459" s="82" t="n"/>
      <c r="K459" s="84" t="n"/>
      <c r="L459" s="85" t="n"/>
      <c r="M459" s="82" t="n"/>
      <c r="N459" s="86" t="n"/>
      <c r="O459" s="81" t="n"/>
      <c r="P459" s="82" t="n"/>
      <c r="Q459" s="83" t="n"/>
      <c r="R459" s="82" t="n"/>
      <c r="S459" s="84" t="n"/>
      <c r="T459" s="84" t="n"/>
      <c r="U459" s="82" t="n"/>
      <c r="V459" s="86" t="n"/>
      <c r="W459" s="86" t="n"/>
      <c r="X459" s="86" t="n"/>
      <c r="Y459" s="81" t="n"/>
      <c r="Z459" s="82" t="n"/>
      <c r="AA459" s="81" t="n"/>
      <c r="AB459" s="82" t="n"/>
      <c r="AC459" s="87">
        <f>IF(OR($D459="",$M459="Rejected",$M459="Withdrawn",$M459="Accepted"),"",IF(ISNUMBER($O459),IF(INT($O459)&lt;TODAY(),"FOLLOW UP REQUIRED",IF(INT($O459)=TODAY(),"ACTION DUE TODAY",IF(INT($O459)-TODAY()&lt;=Set_DueSoonDays,"DUE SOON",""))),IF(AND($M459="Applied",$AA459=""),IF(ISNUMBER($C459),IF(TODAY()-$C459&gt;=Set_FollowUpDays,"NO RESPONSE",""),""),"")))</f>
        <v/>
      </c>
      <c r="AD459" s="87">
        <f>IF(ISNUMBER($L459),IF($L459&gt;=90,"Excellent Match",IF($L459&gt;=75,"Strong Match",IF($L459&gt;=60,"Moderate Match","Low Match"))),"")</f>
        <v/>
      </c>
      <c r="AE459" s="87">
        <f>IF($D459="","",IF(OR($M459="Rejected",$M459="Withdrawn"),IF($AB459&lt;&gt;"",$AB459,IF(OR($M459="Rejected",ISNUMBER($C459)),"Applied","Wishlist")),IF($M459="",IF(ISNUMBER($C459),"Applied","Wishlist"),$M459)))</f>
        <v/>
      </c>
      <c r="AF459" s="88">
        <f>IF(AND(ISNUMBER($C459),ISNUMBER($AA459)),$AA459-$C459,"")</f>
        <v/>
      </c>
      <c r="AG459" s="87">
        <f>IF($AE459="","",IFERROR(MATCH($AE459,{"Wishlist","Applied","Screening","Interview 1","Interview 2","Final","Offer","Accepted"},0)-1,""))</f>
        <v/>
      </c>
      <c r="AH459" s="87">
        <f>IF($AC459="","",MATCH($AC459,{"FOLLOW UP REQUIRED","ACTION DUE TODAY","NO RESPONSE","DUE SOON"},0)*100000+IF(ISNUMBER($O459),$O459,IF(ISNUMBER($C459),$C459,0))+ROW()/10000)</f>
        <v/>
      </c>
      <c r="AI459" s="87">
        <f>IF(AND(ISNUMBER($AG459),$AG459&gt;=1,$AG459&lt;=6,$M459&lt;&gt;"Rejected",$M459&lt;&gt;"Withdrawn"),(10-$AG459)*100000+IF(ISNUMBER($C459),$C459,0)+ROW()/10000,"")</f>
        <v/>
      </c>
    </row>
    <row r="460">
      <c r="A460" s="80" t="n"/>
      <c r="B460" s="81" t="n"/>
      <c r="C460" s="81" t="n"/>
      <c r="D460" s="82" t="n"/>
      <c r="E460" s="82" t="n"/>
      <c r="F460" s="82" t="n"/>
      <c r="G460" s="82" t="n"/>
      <c r="H460" s="82" t="n"/>
      <c r="I460" s="83" t="n"/>
      <c r="J460" s="82" t="n"/>
      <c r="K460" s="84" t="n"/>
      <c r="L460" s="85" t="n"/>
      <c r="M460" s="82" t="n"/>
      <c r="N460" s="86" t="n"/>
      <c r="O460" s="81" t="n"/>
      <c r="P460" s="82" t="n"/>
      <c r="Q460" s="83" t="n"/>
      <c r="R460" s="82" t="n"/>
      <c r="S460" s="84" t="n"/>
      <c r="T460" s="84" t="n"/>
      <c r="U460" s="82" t="n"/>
      <c r="V460" s="86" t="n"/>
      <c r="W460" s="86" t="n"/>
      <c r="X460" s="86" t="n"/>
      <c r="Y460" s="81" t="n"/>
      <c r="Z460" s="82" t="n"/>
      <c r="AA460" s="81" t="n"/>
      <c r="AB460" s="82" t="n"/>
      <c r="AC460" s="87">
        <f>IF(OR($D460="",$M460="Rejected",$M460="Withdrawn",$M460="Accepted"),"",IF(ISNUMBER($O460),IF(INT($O460)&lt;TODAY(),"FOLLOW UP REQUIRED",IF(INT($O460)=TODAY(),"ACTION DUE TODAY",IF(INT($O460)-TODAY()&lt;=Set_DueSoonDays,"DUE SOON",""))),IF(AND($M460="Applied",$AA460=""),IF(ISNUMBER($C460),IF(TODAY()-$C460&gt;=Set_FollowUpDays,"NO RESPONSE",""),""),"")))</f>
        <v/>
      </c>
      <c r="AD460" s="87">
        <f>IF(ISNUMBER($L460),IF($L460&gt;=90,"Excellent Match",IF($L460&gt;=75,"Strong Match",IF($L460&gt;=60,"Moderate Match","Low Match"))),"")</f>
        <v/>
      </c>
      <c r="AE460" s="87">
        <f>IF($D460="","",IF(OR($M460="Rejected",$M460="Withdrawn"),IF($AB460&lt;&gt;"",$AB460,IF(OR($M460="Rejected",ISNUMBER($C460)),"Applied","Wishlist")),IF($M460="",IF(ISNUMBER($C460),"Applied","Wishlist"),$M460)))</f>
        <v/>
      </c>
      <c r="AF460" s="88">
        <f>IF(AND(ISNUMBER($C460),ISNUMBER($AA460)),$AA460-$C460,"")</f>
        <v/>
      </c>
      <c r="AG460" s="87">
        <f>IF($AE460="","",IFERROR(MATCH($AE460,{"Wishlist","Applied","Screening","Interview 1","Interview 2","Final","Offer","Accepted"},0)-1,""))</f>
        <v/>
      </c>
      <c r="AH460" s="87">
        <f>IF($AC460="","",MATCH($AC460,{"FOLLOW UP REQUIRED","ACTION DUE TODAY","NO RESPONSE","DUE SOON"},0)*100000+IF(ISNUMBER($O460),$O460,IF(ISNUMBER($C460),$C460,0))+ROW()/10000)</f>
        <v/>
      </c>
      <c r="AI460" s="87">
        <f>IF(AND(ISNUMBER($AG460),$AG460&gt;=1,$AG460&lt;=6,$M460&lt;&gt;"Rejected",$M460&lt;&gt;"Withdrawn"),(10-$AG460)*100000+IF(ISNUMBER($C460),$C460,0)+ROW()/10000,"")</f>
        <v/>
      </c>
    </row>
    <row r="461">
      <c r="A461" s="80" t="n"/>
      <c r="B461" s="81" t="n"/>
      <c r="C461" s="81" t="n"/>
      <c r="D461" s="82" t="n"/>
      <c r="E461" s="82" t="n"/>
      <c r="F461" s="82" t="n"/>
      <c r="G461" s="82" t="n"/>
      <c r="H461" s="82" t="n"/>
      <c r="I461" s="83" t="n"/>
      <c r="J461" s="82" t="n"/>
      <c r="K461" s="84" t="n"/>
      <c r="L461" s="85" t="n"/>
      <c r="M461" s="82" t="n"/>
      <c r="N461" s="86" t="n"/>
      <c r="O461" s="81" t="n"/>
      <c r="P461" s="82" t="n"/>
      <c r="Q461" s="83" t="n"/>
      <c r="R461" s="82" t="n"/>
      <c r="S461" s="84" t="n"/>
      <c r="T461" s="84" t="n"/>
      <c r="U461" s="82" t="n"/>
      <c r="V461" s="86" t="n"/>
      <c r="W461" s="86" t="n"/>
      <c r="X461" s="86" t="n"/>
      <c r="Y461" s="81" t="n"/>
      <c r="Z461" s="82" t="n"/>
      <c r="AA461" s="81" t="n"/>
      <c r="AB461" s="82" t="n"/>
      <c r="AC461" s="87">
        <f>IF(OR($D461="",$M461="Rejected",$M461="Withdrawn",$M461="Accepted"),"",IF(ISNUMBER($O461),IF(INT($O461)&lt;TODAY(),"FOLLOW UP REQUIRED",IF(INT($O461)=TODAY(),"ACTION DUE TODAY",IF(INT($O461)-TODAY()&lt;=Set_DueSoonDays,"DUE SOON",""))),IF(AND($M461="Applied",$AA461=""),IF(ISNUMBER($C461),IF(TODAY()-$C461&gt;=Set_FollowUpDays,"NO RESPONSE",""),""),"")))</f>
        <v/>
      </c>
      <c r="AD461" s="87">
        <f>IF(ISNUMBER($L461),IF($L461&gt;=90,"Excellent Match",IF($L461&gt;=75,"Strong Match",IF($L461&gt;=60,"Moderate Match","Low Match"))),"")</f>
        <v/>
      </c>
      <c r="AE461" s="87">
        <f>IF($D461="","",IF(OR($M461="Rejected",$M461="Withdrawn"),IF($AB461&lt;&gt;"",$AB461,IF(OR($M461="Rejected",ISNUMBER($C461)),"Applied","Wishlist")),IF($M461="",IF(ISNUMBER($C461),"Applied","Wishlist"),$M461)))</f>
        <v/>
      </c>
      <c r="AF461" s="88">
        <f>IF(AND(ISNUMBER($C461),ISNUMBER($AA461)),$AA461-$C461,"")</f>
        <v/>
      </c>
      <c r="AG461" s="87">
        <f>IF($AE461="","",IFERROR(MATCH($AE461,{"Wishlist","Applied","Screening","Interview 1","Interview 2","Final","Offer","Accepted"},0)-1,""))</f>
        <v/>
      </c>
      <c r="AH461" s="87">
        <f>IF($AC461="","",MATCH($AC461,{"FOLLOW UP REQUIRED","ACTION DUE TODAY","NO RESPONSE","DUE SOON"},0)*100000+IF(ISNUMBER($O461),$O461,IF(ISNUMBER($C461),$C461,0))+ROW()/10000)</f>
        <v/>
      </c>
      <c r="AI461" s="87">
        <f>IF(AND(ISNUMBER($AG461),$AG461&gt;=1,$AG461&lt;=6,$M461&lt;&gt;"Rejected",$M461&lt;&gt;"Withdrawn"),(10-$AG461)*100000+IF(ISNUMBER($C461),$C461,0)+ROW()/10000,"")</f>
        <v/>
      </c>
    </row>
    <row r="462">
      <c r="A462" s="80" t="n"/>
      <c r="B462" s="81" t="n"/>
      <c r="C462" s="81" t="n"/>
      <c r="D462" s="82" t="n"/>
      <c r="E462" s="82" t="n"/>
      <c r="F462" s="82" t="n"/>
      <c r="G462" s="82" t="n"/>
      <c r="H462" s="82" t="n"/>
      <c r="I462" s="83" t="n"/>
      <c r="J462" s="82" t="n"/>
      <c r="K462" s="84" t="n"/>
      <c r="L462" s="85" t="n"/>
      <c r="M462" s="82" t="n"/>
      <c r="N462" s="86" t="n"/>
      <c r="O462" s="81" t="n"/>
      <c r="P462" s="82" t="n"/>
      <c r="Q462" s="83" t="n"/>
      <c r="R462" s="82" t="n"/>
      <c r="S462" s="84" t="n"/>
      <c r="T462" s="84" t="n"/>
      <c r="U462" s="82" t="n"/>
      <c r="V462" s="86" t="n"/>
      <c r="W462" s="86" t="n"/>
      <c r="X462" s="86" t="n"/>
      <c r="Y462" s="81" t="n"/>
      <c r="Z462" s="82" t="n"/>
      <c r="AA462" s="81" t="n"/>
      <c r="AB462" s="82" t="n"/>
      <c r="AC462" s="87">
        <f>IF(OR($D462="",$M462="Rejected",$M462="Withdrawn",$M462="Accepted"),"",IF(ISNUMBER($O462),IF(INT($O462)&lt;TODAY(),"FOLLOW UP REQUIRED",IF(INT($O462)=TODAY(),"ACTION DUE TODAY",IF(INT($O462)-TODAY()&lt;=Set_DueSoonDays,"DUE SOON",""))),IF(AND($M462="Applied",$AA462=""),IF(ISNUMBER($C462),IF(TODAY()-$C462&gt;=Set_FollowUpDays,"NO RESPONSE",""),""),"")))</f>
        <v/>
      </c>
      <c r="AD462" s="87">
        <f>IF(ISNUMBER($L462),IF($L462&gt;=90,"Excellent Match",IF($L462&gt;=75,"Strong Match",IF($L462&gt;=60,"Moderate Match","Low Match"))),"")</f>
        <v/>
      </c>
      <c r="AE462" s="87">
        <f>IF($D462="","",IF(OR($M462="Rejected",$M462="Withdrawn"),IF($AB462&lt;&gt;"",$AB462,IF(OR($M462="Rejected",ISNUMBER($C462)),"Applied","Wishlist")),IF($M462="",IF(ISNUMBER($C462),"Applied","Wishlist"),$M462)))</f>
        <v/>
      </c>
      <c r="AF462" s="88">
        <f>IF(AND(ISNUMBER($C462),ISNUMBER($AA462)),$AA462-$C462,"")</f>
        <v/>
      </c>
      <c r="AG462" s="87">
        <f>IF($AE462="","",IFERROR(MATCH($AE462,{"Wishlist","Applied","Screening","Interview 1","Interview 2","Final","Offer","Accepted"},0)-1,""))</f>
        <v/>
      </c>
      <c r="AH462" s="87">
        <f>IF($AC462="","",MATCH($AC462,{"FOLLOW UP REQUIRED","ACTION DUE TODAY","NO RESPONSE","DUE SOON"},0)*100000+IF(ISNUMBER($O462),$O462,IF(ISNUMBER($C462),$C462,0))+ROW()/10000)</f>
        <v/>
      </c>
      <c r="AI462" s="87">
        <f>IF(AND(ISNUMBER($AG462),$AG462&gt;=1,$AG462&lt;=6,$M462&lt;&gt;"Rejected",$M462&lt;&gt;"Withdrawn"),(10-$AG462)*100000+IF(ISNUMBER($C462),$C462,0)+ROW()/10000,"")</f>
        <v/>
      </c>
    </row>
    <row r="463">
      <c r="A463" s="80" t="n"/>
      <c r="B463" s="81" t="n"/>
      <c r="C463" s="81" t="n"/>
      <c r="D463" s="82" t="n"/>
      <c r="E463" s="82" t="n"/>
      <c r="F463" s="82" t="n"/>
      <c r="G463" s="82" t="n"/>
      <c r="H463" s="82" t="n"/>
      <c r="I463" s="83" t="n"/>
      <c r="J463" s="82" t="n"/>
      <c r="K463" s="84" t="n"/>
      <c r="L463" s="85" t="n"/>
      <c r="M463" s="82" t="n"/>
      <c r="N463" s="86" t="n"/>
      <c r="O463" s="81" t="n"/>
      <c r="P463" s="82" t="n"/>
      <c r="Q463" s="83" t="n"/>
      <c r="R463" s="82" t="n"/>
      <c r="S463" s="84" t="n"/>
      <c r="T463" s="84" t="n"/>
      <c r="U463" s="82" t="n"/>
      <c r="V463" s="86" t="n"/>
      <c r="W463" s="86" t="n"/>
      <c r="X463" s="86" t="n"/>
      <c r="Y463" s="81" t="n"/>
      <c r="Z463" s="82" t="n"/>
      <c r="AA463" s="81" t="n"/>
      <c r="AB463" s="82" t="n"/>
      <c r="AC463" s="87">
        <f>IF(OR($D463="",$M463="Rejected",$M463="Withdrawn",$M463="Accepted"),"",IF(ISNUMBER($O463),IF(INT($O463)&lt;TODAY(),"FOLLOW UP REQUIRED",IF(INT($O463)=TODAY(),"ACTION DUE TODAY",IF(INT($O463)-TODAY()&lt;=Set_DueSoonDays,"DUE SOON",""))),IF(AND($M463="Applied",$AA463=""),IF(ISNUMBER($C463),IF(TODAY()-$C463&gt;=Set_FollowUpDays,"NO RESPONSE",""),""),"")))</f>
        <v/>
      </c>
      <c r="AD463" s="87">
        <f>IF(ISNUMBER($L463),IF($L463&gt;=90,"Excellent Match",IF($L463&gt;=75,"Strong Match",IF($L463&gt;=60,"Moderate Match","Low Match"))),"")</f>
        <v/>
      </c>
      <c r="AE463" s="87">
        <f>IF($D463="","",IF(OR($M463="Rejected",$M463="Withdrawn"),IF($AB463&lt;&gt;"",$AB463,IF(OR($M463="Rejected",ISNUMBER($C463)),"Applied","Wishlist")),IF($M463="",IF(ISNUMBER($C463),"Applied","Wishlist"),$M463)))</f>
        <v/>
      </c>
      <c r="AF463" s="88">
        <f>IF(AND(ISNUMBER($C463),ISNUMBER($AA463)),$AA463-$C463,"")</f>
        <v/>
      </c>
      <c r="AG463" s="87">
        <f>IF($AE463="","",IFERROR(MATCH($AE463,{"Wishlist","Applied","Screening","Interview 1","Interview 2","Final","Offer","Accepted"},0)-1,""))</f>
        <v/>
      </c>
      <c r="AH463" s="87">
        <f>IF($AC463="","",MATCH($AC463,{"FOLLOW UP REQUIRED","ACTION DUE TODAY","NO RESPONSE","DUE SOON"},0)*100000+IF(ISNUMBER($O463),$O463,IF(ISNUMBER($C463),$C463,0))+ROW()/10000)</f>
        <v/>
      </c>
      <c r="AI463" s="87">
        <f>IF(AND(ISNUMBER($AG463),$AG463&gt;=1,$AG463&lt;=6,$M463&lt;&gt;"Rejected",$M463&lt;&gt;"Withdrawn"),(10-$AG463)*100000+IF(ISNUMBER($C463),$C463,0)+ROW()/10000,"")</f>
        <v/>
      </c>
    </row>
    <row r="464">
      <c r="A464" s="80" t="n"/>
      <c r="B464" s="81" t="n"/>
      <c r="C464" s="81" t="n"/>
      <c r="D464" s="82" t="n"/>
      <c r="E464" s="82" t="n"/>
      <c r="F464" s="82" t="n"/>
      <c r="G464" s="82" t="n"/>
      <c r="H464" s="82" t="n"/>
      <c r="I464" s="83" t="n"/>
      <c r="J464" s="82" t="n"/>
      <c r="K464" s="84" t="n"/>
      <c r="L464" s="85" t="n"/>
      <c r="M464" s="82" t="n"/>
      <c r="N464" s="86" t="n"/>
      <c r="O464" s="81" t="n"/>
      <c r="P464" s="82" t="n"/>
      <c r="Q464" s="83" t="n"/>
      <c r="R464" s="82" t="n"/>
      <c r="S464" s="84" t="n"/>
      <c r="T464" s="84" t="n"/>
      <c r="U464" s="82" t="n"/>
      <c r="V464" s="86" t="n"/>
      <c r="W464" s="86" t="n"/>
      <c r="X464" s="86" t="n"/>
      <c r="Y464" s="81" t="n"/>
      <c r="Z464" s="82" t="n"/>
      <c r="AA464" s="81" t="n"/>
      <c r="AB464" s="82" t="n"/>
      <c r="AC464" s="87">
        <f>IF(OR($D464="",$M464="Rejected",$M464="Withdrawn",$M464="Accepted"),"",IF(ISNUMBER($O464),IF(INT($O464)&lt;TODAY(),"FOLLOW UP REQUIRED",IF(INT($O464)=TODAY(),"ACTION DUE TODAY",IF(INT($O464)-TODAY()&lt;=Set_DueSoonDays,"DUE SOON",""))),IF(AND($M464="Applied",$AA464=""),IF(ISNUMBER($C464),IF(TODAY()-$C464&gt;=Set_FollowUpDays,"NO RESPONSE",""),""),"")))</f>
        <v/>
      </c>
      <c r="AD464" s="87">
        <f>IF(ISNUMBER($L464),IF($L464&gt;=90,"Excellent Match",IF($L464&gt;=75,"Strong Match",IF($L464&gt;=60,"Moderate Match","Low Match"))),"")</f>
        <v/>
      </c>
      <c r="AE464" s="87">
        <f>IF($D464="","",IF(OR($M464="Rejected",$M464="Withdrawn"),IF($AB464&lt;&gt;"",$AB464,IF(OR($M464="Rejected",ISNUMBER($C464)),"Applied","Wishlist")),IF($M464="",IF(ISNUMBER($C464),"Applied","Wishlist"),$M464)))</f>
        <v/>
      </c>
      <c r="AF464" s="88">
        <f>IF(AND(ISNUMBER($C464),ISNUMBER($AA464)),$AA464-$C464,"")</f>
        <v/>
      </c>
      <c r="AG464" s="87">
        <f>IF($AE464="","",IFERROR(MATCH($AE464,{"Wishlist","Applied","Screening","Interview 1","Interview 2","Final","Offer","Accepted"},0)-1,""))</f>
        <v/>
      </c>
      <c r="AH464" s="87">
        <f>IF($AC464="","",MATCH($AC464,{"FOLLOW UP REQUIRED","ACTION DUE TODAY","NO RESPONSE","DUE SOON"},0)*100000+IF(ISNUMBER($O464),$O464,IF(ISNUMBER($C464),$C464,0))+ROW()/10000)</f>
        <v/>
      </c>
      <c r="AI464" s="87">
        <f>IF(AND(ISNUMBER($AG464),$AG464&gt;=1,$AG464&lt;=6,$M464&lt;&gt;"Rejected",$M464&lt;&gt;"Withdrawn"),(10-$AG464)*100000+IF(ISNUMBER($C464),$C464,0)+ROW()/10000,"")</f>
        <v/>
      </c>
    </row>
    <row r="465">
      <c r="A465" s="80" t="n"/>
      <c r="B465" s="81" t="n"/>
      <c r="C465" s="81" t="n"/>
      <c r="D465" s="82" t="n"/>
      <c r="E465" s="82" t="n"/>
      <c r="F465" s="82" t="n"/>
      <c r="G465" s="82" t="n"/>
      <c r="H465" s="82" t="n"/>
      <c r="I465" s="83" t="n"/>
      <c r="J465" s="82" t="n"/>
      <c r="K465" s="84" t="n"/>
      <c r="L465" s="85" t="n"/>
      <c r="M465" s="82" t="n"/>
      <c r="N465" s="86" t="n"/>
      <c r="O465" s="81" t="n"/>
      <c r="P465" s="82" t="n"/>
      <c r="Q465" s="83" t="n"/>
      <c r="R465" s="82" t="n"/>
      <c r="S465" s="84" t="n"/>
      <c r="T465" s="84" t="n"/>
      <c r="U465" s="82" t="n"/>
      <c r="V465" s="86" t="n"/>
      <c r="W465" s="86" t="n"/>
      <c r="X465" s="86" t="n"/>
      <c r="Y465" s="81" t="n"/>
      <c r="Z465" s="82" t="n"/>
      <c r="AA465" s="81" t="n"/>
      <c r="AB465" s="82" t="n"/>
      <c r="AC465" s="87">
        <f>IF(OR($D465="",$M465="Rejected",$M465="Withdrawn",$M465="Accepted"),"",IF(ISNUMBER($O465),IF(INT($O465)&lt;TODAY(),"FOLLOW UP REQUIRED",IF(INT($O465)=TODAY(),"ACTION DUE TODAY",IF(INT($O465)-TODAY()&lt;=Set_DueSoonDays,"DUE SOON",""))),IF(AND($M465="Applied",$AA465=""),IF(ISNUMBER($C465),IF(TODAY()-$C465&gt;=Set_FollowUpDays,"NO RESPONSE",""),""),"")))</f>
        <v/>
      </c>
      <c r="AD465" s="87">
        <f>IF(ISNUMBER($L465),IF($L465&gt;=90,"Excellent Match",IF($L465&gt;=75,"Strong Match",IF($L465&gt;=60,"Moderate Match","Low Match"))),"")</f>
        <v/>
      </c>
      <c r="AE465" s="87">
        <f>IF($D465="","",IF(OR($M465="Rejected",$M465="Withdrawn"),IF($AB465&lt;&gt;"",$AB465,IF(OR($M465="Rejected",ISNUMBER($C465)),"Applied","Wishlist")),IF($M465="",IF(ISNUMBER($C465),"Applied","Wishlist"),$M465)))</f>
        <v/>
      </c>
      <c r="AF465" s="88">
        <f>IF(AND(ISNUMBER($C465),ISNUMBER($AA465)),$AA465-$C465,"")</f>
        <v/>
      </c>
      <c r="AG465" s="87">
        <f>IF($AE465="","",IFERROR(MATCH($AE465,{"Wishlist","Applied","Screening","Interview 1","Interview 2","Final","Offer","Accepted"},0)-1,""))</f>
        <v/>
      </c>
      <c r="AH465" s="87">
        <f>IF($AC465="","",MATCH($AC465,{"FOLLOW UP REQUIRED","ACTION DUE TODAY","NO RESPONSE","DUE SOON"},0)*100000+IF(ISNUMBER($O465),$O465,IF(ISNUMBER($C465),$C465,0))+ROW()/10000)</f>
        <v/>
      </c>
      <c r="AI465" s="87">
        <f>IF(AND(ISNUMBER($AG465),$AG465&gt;=1,$AG465&lt;=6,$M465&lt;&gt;"Rejected",$M465&lt;&gt;"Withdrawn"),(10-$AG465)*100000+IF(ISNUMBER($C465),$C465,0)+ROW()/10000,"")</f>
        <v/>
      </c>
    </row>
    <row r="466">
      <c r="A466" s="80" t="n"/>
      <c r="B466" s="81" t="n"/>
      <c r="C466" s="81" t="n"/>
      <c r="D466" s="82" t="n"/>
      <c r="E466" s="82" t="n"/>
      <c r="F466" s="82" t="n"/>
      <c r="G466" s="82" t="n"/>
      <c r="H466" s="82" t="n"/>
      <c r="I466" s="83" t="n"/>
      <c r="J466" s="82" t="n"/>
      <c r="K466" s="84" t="n"/>
      <c r="L466" s="85" t="n"/>
      <c r="M466" s="82" t="n"/>
      <c r="N466" s="86" t="n"/>
      <c r="O466" s="81" t="n"/>
      <c r="P466" s="82" t="n"/>
      <c r="Q466" s="83" t="n"/>
      <c r="R466" s="82" t="n"/>
      <c r="S466" s="84" t="n"/>
      <c r="T466" s="84" t="n"/>
      <c r="U466" s="82" t="n"/>
      <c r="V466" s="86" t="n"/>
      <c r="W466" s="86" t="n"/>
      <c r="X466" s="86" t="n"/>
      <c r="Y466" s="81" t="n"/>
      <c r="Z466" s="82" t="n"/>
      <c r="AA466" s="81" t="n"/>
      <c r="AB466" s="82" t="n"/>
      <c r="AC466" s="87">
        <f>IF(OR($D466="",$M466="Rejected",$M466="Withdrawn",$M466="Accepted"),"",IF(ISNUMBER($O466),IF(INT($O466)&lt;TODAY(),"FOLLOW UP REQUIRED",IF(INT($O466)=TODAY(),"ACTION DUE TODAY",IF(INT($O466)-TODAY()&lt;=Set_DueSoonDays,"DUE SOON",""))),IF(AND($M466="Applied",$AA466=""),IF(ISNUMBER($C466),IF(TODAY()-$C466&gt;=Set_FollowUpDays,"NO RESPONSE",""),""),"")))</f>
        <v/>
      </c>
      <c r="AD466" s="87">
        <f>IF(ISNUMBER($L466),IF($L466&gt;=90,"Excellent Match",IF($L466&gt;=75,"Strong Match",IF($L466&gt;=60,"Moderate Match","Low Match"))),"")</f>
        <v/>
      </c>
      <c r="AE466" s="87">
        <f>IF($D466="","",IF(OR($M466="Rejected",$M466="Withdrawn"),IF($AB466&lt;&gt;"",$AB466,IF(OR($M466="Rejected",ISNUMBER($C466)),"Applied","Wishlist")),IF($M466="",IF(ISNUMBER($C466),"Applied","Wishlist"),$M466)))</f>
        <v/>
      </c>
      <c r="AF466" s="88">
        <f>IF(AND(ISNUMBER($C466),ISNUMBER($AA466)),$AA466-$C466,"")</f>
        <v/>
      </c>
      <c r="AG466" s="87">
        <f>IF($AE466="","",IFERROR(MATCH($AE466,{"Wishlist","Applied","Screening","Interview 1","Interview 2","Final","Offer","Accepted"},0)-1,""))</f>
        <v/>
      </c>
      <c r="AH466" s="87">
        <f>IF($AC466="","",MATCH($AC466,{"FOLLOW UP REQUIRED","ACTION DUE TODAY","NO RESPONSE","DUE SOON"},0)*100000+IF(ISNUMBER($O466),$O466,IF(ISNUMBER($C466),$C466,0))+ROW()/10000)</f>
        <v/>
      </c>
      <c r="AI466" s="87">
        <f>IF(AND(ISNUMBER($AG466),$AG466&gt;=1,$AG466&lt;=6,$M466&lt;&gt;"Rejected",$M466&lt;&gt;"Withdrawn"),(10-$AG466)*100000+IF(ISNUMBER($C466),$C466,0)+ROW()/10000,"")</f>
        <v/>
      </c>
    </row>
    <row r="467">
      <c r="A467" s="80" t="n"/>
      <c r="B467" s="81" t="n"/>
      <c r="C467" s="81" t="n"/>
      <c r="D467" s="82" t="n"/>
      <c r="E467" s="82" t="n"/>
      <c r="F467" s="82" t="n"/>
      <c r="G467" s="82" t="n"/>
      <c r="H467" s="82" t="n"/>
      <c r="I467" s="83" t="n"/>
      <c r="J467" s="82" t="n"/>
      <c r="K467" s="84" t="n"/>
      <c r="L467" s="85" t="n"/>
      <c r="M467" s="82" t="n"/>
      <c r="N467" s="86" t="n"/>
      <c r="O467" s="81" t="n"/>
      <c r="P467" s="82" t="n"/>
      <c r="Q467" s="83" t="n"/>
      <c r="R467" s="82" t="n"/>
      <c r="S467" s="84" t="n"/>
      <c r="T467" s="84" t="n"/>
      <c r="U467" s="82" t="n"/>
      <c r="V467" s="86" t="n"/>
      <c r="W467" s="86" t="n"/>
      <c r="X467" s="86" t="n"/>
      <c r="Y467" s="81" t="n"/>
      <c r="Z467" s="82" t="n"/>
      <c r="AA467" s="81" t="n"/>
      <c r="AB467" s="82" t="n"/>
      <c r="AC467" s="87">
        <f>IF(OR($D467="",$M467="Rejected",$M467="Withdrawn",$M467="Accepted"),"",IF(ISNUMBER($O467),IF(INT($O467)&lt;TODAY(),"FOLLOW UP REQUIRED",IF(INT($O467)=TODAY(),"ACTION DUE TODAY",IF(INT($O467)-TODAY()&lt;=Set_DueSoonDays,"DUE SOON",""))),IF(AND($M467="Applied",$AA467=""),IF(ISNUMBER($C467),IF(TODAY()-$C467&gt;=Set_FollowUpDays,"NO RESPONSE",""),""),"")))</f>
        <v/>
      </c>
      <c r="AD467" s="87">
        <f>IF(ISNUMBER($L467),IF($L467&gt;=90,"Excellent Match",IF($L467&gt;=75,"Strong Match",IF($L467&gt;=60,"Moderate Match","Low Match"))),"")</f>
        <v/>
      </c>
      <c r="AE467" s="87">
        <f>IF($D467="","",IF(OR($M467="Rejected",$M467="Withdrawn"),IF($AB467&lt;&gt;"",$AB467,IF(OR($M467="Rejected",ISNUMBER($C467)),"Applied","Wishlist")),IF($M467="",IF(ISNUMBER($C467),"Applied","Wishlist"),$M467)))</f>
        <v/>
      </c>
      <c r="AF467" s="88">
        <f>IF(AND(ISNUMBER($C467),ISNUMBER($AA467)),$AA467-$C467,"")</f>
        <v/>
      </c>
      <c r="AG467" s="87">
        <f>IF($AE467="","",IFERROR(MATCH($AE467,{"Wishlist","Applied","Screening","Interview 1","Interview 2","Final","Offer","Accepted"},0)-1,""))</f>
        <v/>
      </c>
      <c r="AH467" s="87">
        <f>IF($AC467="","",MATCH($AC467,{"FOLLOW UP REQUIRED","ACTION DUE TODAY","NO RESPONSE","DUE SOON"},0)*100000+IF(ISNUMBER($O467),$O467,IF(ISNUMBER($C467),$C467,0))+ROW()/10000)</f>
        <v/>
      </c>
      <c r="AI467" s="87">
        <f>IF(AND(ISNUMBER($AG467),$AG467&gt;=1,$AG467&lt;=6,$M467&lt;&gt;"Rejected",$M467&lt;&gt;"Withdrawn"),(10-$AG467)*100000+IF(ISNUMBER($C467),$C467,0)+ROW()/10000,"")</f>
        <v/>
      </c>
    </row>
    <row r="468">
      <c r="A468" s="80" t="n"/>
      <c r="B468" s="81" t="n"/>
      <c r="C468" s="81" t="n"/>
      <c r="D468" s="82" t="n"/>
      <c r="E468" s="82" t="n"/>
      <c r="F468" s="82" t="n"/>
      <c r="G468" s="82" t="n"/>
      <c r="H468" s="82" t="n"/>
      <c r="I468" s="83" t="n"/>
      <c r="J468" s="82" t="n"/>
      <c r="K468" s="84" t="n"/>
      <c r="L468" s="85" t="n"/>
      <c r="M468" s="82" t="n"/>
      <c r="N468" s="86" t="n"/>
      <c r="O468" s="81" t="n"/>
      <c r="P468" s="82" t="n"/>
      <c r="Q468" s="83" t="n"/>
      <c r="R468" s="82" t="n"/>
      <c r="S468" s="84" t="n"/>
      <c r="T468" s="84" t="n"/>
      <c r="U468" s="82" t="n"/>
      <c r="V468" s="86" t="n"/>
      <c r="W468" s="86" t="n"/>
      <c r="X468" s="86" t="n"/>
      <c r="Y468" s="81" t="n"/>
      <c r="Z468" s="82" t="n"/>
      <c r="AA468" s="81" t="n"/>
      <c r="AB468" s="82" t="n"/>
      <c r="AC468" s="87">
        <f>IF(OR($D468="",$M468="Rejected",$M468="Withdrawn",$M468="Accepted"),"",IF(ISNUMBER($O468),IF(INT($O468)&lt;TODAY(),"FOLLOW UP REQUIRED",IF(INT($O468)=TODAY(),"ACTION DUE TODAY",IF(INT($O468)-TODAY()&lt;=Set_DueSoonDays,"DUE SOON",""))),IF(AND($M468="Applied",$AA468=""),IF(ISNUMBER($C468),IF(TODAY()-$C468&gt;=Set_FollowUpDays,"NO RESPONSE",""),""),"")))</f>
        <v/>
      </c>
      <c r="AD468" s="87">
        <f>IF(ISNUMBER($L468),IF($L468&gt;=90,"Excellent Match",IF($L468&gt;=75,"Strong Match",IF($L468&gt;=60,"Moderate Match","Low Match"))),"")</f>
        <v/>
      </c>
      <c r="AE468" s="87">
        <f>IF($D468="","",IF(OR($M468="Rejected",$M468="Withdrawn"),IF($AB468&lt;&gt;"",$AB468,IF(OR($M468="Rejected",ISNUMBER($C468)),"Applied","Wishlist")),IF($M468="",IF(ISNUMBER($C468),"Applied","Wishlist"),$M468)))</f>
        <v/>
      </c>
      <c r="AF468" s="88">
        <f>IF(AND(ISNUMBER($C468),ISNUMBER($AA468)),$AA468-$C468,"")</f>
        <v/>
      </c>
      <c r="AG468" s="87">
        <f>IF($AE468="","",IFERROR(MATCH($AE468,{"Wishlist","Applied","Screening","Interview 1","Interview 2","Final","Offer","Accepted"},0)-1,""))</f>
        <v/>
      </c>
      <c r="AH468" s="87">
        <f>IF($AC468="","",MATCH($AC468,{"FOLLOW UP REQUIRED","ACTION DUE TODAY","NO RESPONSE","DUE SOON"},0)*100000+IF(ISNUMBER($O468),$O468,IF(ISNUMBER($C468),$C468,0))+ROW()/10000)</f>
        <v/>
      </c>
      <c r="AI468" s="87">
        <f>IF(AND(ISNUMBER($AG468),$AG468&gt;=1,$AG468&lt;=6,$M468&lt;&gt;"Rejected",$M468&lt;&gt;"Withdrawn"),(10-$AG468)*100000+IF(ISNUMBER($C468),$C468,0)+ROW()/10000,"")</f>
        <v/>
      </c>
    </row>
    <row r="469">
      <c r="A469" s="80" t="n"/>
      <c r="B469" s="81" t="n"/>
      <c r="C469" s="81" t="n"/>
      <c r="D469" s="82" t="n"/>
      <c r="E469" s="82" t="n"/>
      <c r="F469" s="82" t="n"/>
      <c r="G469" s="82" t="n"/>
      <c r="H469" s="82" t="n"/>
      <c r="I469" s="83" t="n"/>
      <c r="J469" s="82" t="n"/>
      <c r="K469" s="84" t="n"/>
      <c r="L469" s="85" t="n"/>
      <c r="M469" s="82" t="n"/>
      <c r="N469" s="86" t="n"/>
      <c r="O469" s="81" t="n"/>
      <c r="P469" s="82" t="n"/>
      <c r="Q469" s="83" t="n"/>
      <c r="R469" s="82" t="n"/>
      <c r="S469" s="84" t="n"/>
      <c r="T469" s="84" t="n"/>
      <c r="U469" s="82" t="n"/>
      <c r="V469" s="86" t="n"/>
      <c r="W469" s="86" t="n"/>
      <c r="X469" s="86" t="n"/>
      <c r="Y469" s="81" t="n"/>
      <c r="Z469" s="82" t="n"/>
      <c r="AA469" s="81" t="n"/>
      <c r="AB469" s="82" t="n"/>
      <c r="AC469" s="87">
        <f>IF(OR($D469="",$M469="Rejected",$M469="Withdrawn",$M469="Accepted"),"",IF(ISNUMBER($O469),IF(INT($O469)&lt;TODAY(),"FOLLOW UP REQUIRED",IF(INT($O469)=TODAY(),"ACTION DUE TODAY",IF(INT($O469)-TODAY()&lt;=Set_DueSoonDays,"DUE SOON",""))),IF(AND($M469="Applied",$AA469=""),IF(ISNUMBER($C469),IF(TODAY()-$C469&gt;=Set_FollowUpDays,"NO RESPONSE",""),""),"")))</f>
        <v/>
      </c>
      <c r="AD469" s="87">
        <f>IF(ISNUMBER($L469),IF($L469&gt;=90,"Excellent Match",IF($L469&gt;=75,"Strong Match",IF($L469&gt;=60,"Moderate Match","Low Match"))),"")</f>
        <v/>
      </c>
      <c r="AE469" s="87">
        <f>IF($D469="","",IF(OR($M469="Rejected",$M469="Withdrawn"),IF($AB469&lt;&gt;"",$AB469,IF(OR($M469="Rejected",ISNUMBER($C469)),"Applied","Wishlist")),IF($M469="",IF(ISNUMBER($C469),"Applied","Wishlist"),$M469)))</f>
        <v/>
      </c>
      <c r="AF469" s="88">
        <f>IF(AND(ISNUMBER($C469),ISNUMBER($AA469)),$AA469-$C469,"")</f>
        <v/>
      </c>
      <c r="AG469" s="87">
        <f>IF($AE469="","",IFERROR(MATCH($AE469,{"Wishlist","Applied","Screening","Interview 1","Interview 2","Final","Offer","Accepted"},0)-1,""))</f>
        <v/>
      </c>
      <c r="AH469" s="87">
        <f>IF($AC469="","",MATCH($AC469,{"FOLLOW UP REQUIRED","ACTION DUE TODAY","NO RESPONSE","DUE SOON"},0)*100000+IF(ISNUMBER($O469),$O469,IF(ISNUMBER($C469),$C469,0))+ROW()/10000)</f>
        <v/>
      </c>
      <c r="AI469" s="87">
        <f>IF(AND(ISNUMBER($AG469),$AG469&gt;=1,$AG469&lt;=6,$M469&lt;&gt;"Rejected",$M469&lt;&gt;"Withdrawn"),(10-$AG469)*100000+IF(ISNUMBER($C469),$C469,0)+ROW()/10000,"")</f>
        <v/>
      </c>
    </row>
    <row r="470">
      <c r="A470" s="80" t="n"/>
      <c r="B470" s="81" t="n"/>
      <c r="C470" s="81" t="n"/>
      <c r="D470" s="82" t="n"/>
      <c r="E470" s="82" t="n"/>
      <c r="F470" s="82" t="n"/>
      <c r="G470" s="82" t="n"/>
      <c r="H470" s="82" t="n"/>
      <c r="I470" s="83" t="n"/>
      <c r="J470" s="82" t="n"/>
      <c r="K470" s="84" t="n"/>
      <c r="L470" s="85" t="n"/>
      <c r="M470" s="82" t="n"/>
      <c r="N470" s="86" t="n"/>
      <c r="O470" s="81" t="n"/>
      <c r="P470" s="82" t="n"/>
      <c r="Q470" s="83" t="n"/>
      <c r="R470" s="82" t="n"/>
      <c r="S470" s="84" t="n"/>
      <c r="T470" s="84" t="n"/>
      <c r="U470" s="82" t="n"/>
      <c r="V470" s="86" t="n"/>
      <c r="W470" s="86" t="n"/>
      <c r="X470" s="86" t="n"/>
      <c r="Y470" s="81" t="n"/>
      <c r="Z470" s="82" t="n"/>
      <c r="AA470" s="81" t="n"/>
      <c r="AB470" s="82" t="n"/>
      <c r="AC470" s="87">
        <f>IF(OR($D470="",$M470="Rejected",$M470="Withdrawn",$M470="Accepted"),"",IF(ISNUMBER($O470),IF(INT($O470)&lt;TODAY(),"FOLLOW UP REQUIRED",IF(INT($O470)=TODAY(),"ACTION DUE TODAY",IF(INT($O470)-TODAY()&lt;=Set_DueSoonDays,"DUE SOON",""))),IF(AND($M470="Applied",$AA470=""),IF(ISNUMBER($C470),IF(TODAY()-$C470&gt;=Set_FollowUpDays,"NO RESPONSE",""),""),"")))</f>
        <v/>
      </c>
      <c r="AD470" s="87">
        <f>IF(ISNUMBER($L470),IF($L470&gt;=90,"Excellent Match",IF($L470&gt;=75,"Strong Match",IF($L470&gt;=60,"Moderate Match","Low Match"))),"")</f>
        <v/>
      </c>
      <c r="AE470" s="87">
        <f>IF($D470="","",IF(OR($M470="Rejected",$M470="Withdrawn"),IF($AB470&lt;&gt;"",$AB470,IF(OR($M470="Rejected",ISNUMBER($C470)),"Applied","Wishlist")),IF($M470="",IF(ISNUMBER($C470),"Applied","Wishlist"),$M470)))</f>
        <v/>
      </c>
      <c r="AF470" s="88">
        <f>IF(AND(ISNUMBER($C470),ISNUMBER($AA470)),$AA470-$C470,"")</f>
        <v/>
      </c>
      <c r="AG470" s="87">
        <f>IF($AE470="","",IFERROR(MATCH($AE470,{"Wishlist","Applied","Screening","Interview 1","Interview 2","Final","Offer","Accepted"},0)-1,""))</f>
        <v/>
      </c>
      <c r="AH470" s="87">
        <f>IF($AC470="","",MATCH($AC470,{"FOLLOW UP REQUIRED","ACTION DUE TODAY","NO RESPONSE","DUE SOON"},0)*100000+IF(ISNUMBER($O470),$O470,IF(ISNUMBER($C470),$C470,0))+ROW()/10000)</f>
        <v/>
      </c>
      <c r="AI470" s="87">
        <f>IF(AND(ISNUMBER($AG470),$AG470&gt;=1,$AG470&lt;=6,$M470&lt;&gt;"Rejected",$M470&lt;&gt;"Withdrawn"),(10-$AG470)*100000+IF(ISNUMBER($C470),$C470,0)+ROW()/10000,"")</f>
        <v/>
      </c>
    </row>
    <row r="471">
      <c r="A471" s="80" t="n"/>
      <c r="B471" s="81" t="n"/>
      <c r="C471" s="81" t="n"/>
      <c r="D471" s="82" t="n"/>
      <c r="E471" s="82" t="n"/>
      <c r="F471" s="82" t="n"/>
      <c r="G471" s="82" t="n"/>
      <c r="H471" s="82" t="n"/>
      <c r="I471" s="83" t="n"/>
      <c r="J471" s="82" t="n"/>
      <c r="K471" s="84" t="n"/>
      <c r="L471" s="85" t="n"/>
      <c r="M471" s="82" t="n"/>
      <c r="N471" s="86" t="n"/>
      <c r="O471" s="81" t="n"/>
      <c r="P471" s="82" t="n"/>
      <c r="Q471" s="83" t="n"/>
      <c r="R471" s="82" t="n"/>
      <c r="S471" s="84" t="n"/>
      <c r="T471" s="84" t="n"/>
      <c r="U471" s="82" t="n"/>
      <c r="V471" s="86" t="n"/>
      <c r="W471" s="86" t="n"/>
      <c r="X471" s="86" t="n"/>
      <c r="Y471" s="81" t="n"/>
      <c r="Z471" s="82" t="n"/>
      <c r="AA471" s="81" t="n"/>
      <c r="AB471" s="82" t="n"/>
      <c r="AC471" s="87">
        <f>IF(OR($D471="",$M471="Rejected",$M471="Withdrawn",$M471="Accepted"),"",IF(ISNUMBER($O471),IF(INT($O471)&lt;TODAY(),"FOLLOW UP REQUIRED",IF(INT($O471)=TODAY(),"ACTION DUE TODAY",IF(INT($O471)-TODAY()&lt;=Set_DueSoonDays,"DUE SOON",""))),IF(AND($M471="Applied",$AA471=""),IF(ISNUMBER($C471),IF(TODAY()-$C471&gt;=Set_FollowUpDays,"NO RESPONSE",""),""),"")))</f>
        <v/>
      </c>
      <c r="AD471" s="87">
        <f>IF(ISNUMBER($L471),IF($L471&gt;=90,"Excellent Match",IF($L471&gt;=75,"Strong Match",IF($L471&gt;=60,"Moderate Match","Low Match"))),"")</f>
        <v/>
      </c>
      <c r="AE471" s="87">
        <f>IF($D471="","",IF(OR($M471="Rejected",$M471="Withdrawn"),IF($AB471&lt;&gt;"",$AB471,IF(OR($M471="Rejected",ISNUMBER($C471)),"Applied","Wishlist")),IF($M471="",IF(ISNUMBER($C471),"Applied","Wishlist"),$M471)))</f>
        <v/>
      </c>
      <c r="AF471" s="88">
        <f>IF(AND(ISNUMBER($C471),ISNUMBER($AA471)),$AA471-$C471,"")</f>
        <v/>
      </c>
      <c r="AG471" s="87">
        <f>IF($AE471="","",IFERROR(MATCH($AE471,{"Wishlist","Applied","Screening","Interview 1","Interview 2","Final","Offer","Accepted"},0)-1,""))</f>
        <v/>
      </c>
      <c r="AH471" s="87">
        <f>IF($AC471="","",MATCH($AC471,{"FOLLOW UP REQUIRED","ACTION DUE TODAY","NO RESPONSE","DUE SOON"},0)*100000+IF(ISNUMBER($O471),$O471,IF(ISNUMBER($C471),$C471,0))+ROW()/10000)</f>
        <v/>
      </c>
      <c r="AI471" s="87">
        <f>IF(AND(ISNUMBER($AG471),$AG471&gt;=1,$AG471&lt;=6,$M471&lt;&gt;"Rejected",$M471&lt;&gt;"Withdrawn"),(10-$AG471)*100000+IF(ISNUMBER($C471),$C471,0)+ROW()/10000,"")</f>
        <v/>
      </c>
    </row>
    <row r="472">
      <c r="A472" s="80" t="n"/>
      <c r="B472" s="81" t="n"/>
      <c r="C472" s="81" t="n"/>
      <c r="D472" s="82" t="n"/>
      <c r="E472" s="82" t="n"/>
      <c r="F472" s="82" t="n"/>
      <c r="G472" s="82" t="n"/>
      <c r="H472" s="82" t="n"/>
      <c r="I472" s="83" t="n"/>
      <c r="J472" s="82" t="n"/>
      <c r="K472" s="84" t="n"/>
      <c r="L472" s="85" t="n"/>
      <c r="M472" s="82" t="n"/>
      <c r="N472" s="86" t="n"/>
      <c r="O472" s="81" t="n"/>
      <c r="P472" s="82" t="n"/>
      <c r="Q472" s="83" t="n"/>
      <c r="R472" s="82" t="n"/>
      <c r="S472" s="84" t="n"/>
      <c r="T472" s="84" t="n"/>
      <c r="U472" s="82" t="n"/>
      <c r="V472" s="86" t="n"/>
      <c r="W472" s="86" t="n"/>
      <c r="X472" s="86" t="n"/>
      <c r="Y472" s="81" t="n"/>
      <c r="Z472" s="82" t="n"/>
      <c r="AA472" s="81" t="n"/>
      <c r="AB472" s="82" t="n"/>
      <c r="AC472" s="87">
        <f>IF(OR($D472="",$M472="Rejected",$M472="Withdrawn",$M472="Accepted"),"",IF(ISNUMBER($O472),IF(INT($O472)&lt;TODAY(),"FOLLOW UP REQUIRED",IF(INT($O472)=TODAY(),"ACTION DUE TODAY",IF(INT($O472)-TODAY()&lt;=Set_DueSoonDays,"DUE SOON",""))),IF(AND($M472="Applied",$AA472=""),IF(ISNUMBER($C472),IF(TODAY()-$C472&gt;=Set_FollowUpDays,"NO RESPONSE",""),""),"")))</f>
        <v/>
      </c>
      <c r="AD472" s="87">
        <f>IF(ISNUMBER($L472),IF($L472&gt;=90,"Excellent Match",IF($L472&gt;=75,"Strong Match",IF($L472&gt;=60,"Moderate Match","Low Match"))),"")</f>
        <v/>
      </c>
      <c r="AE472" s="87">
        <f>IF($D472="","",IF(OR($M472="Rejected",$M472="Withdrawn"),IF($AB472&lt;&gt;"",$AB472,IF(OR($M472="Rejected",ISNUMBER($C472)),"Applied","Wishlist")),IF($M472="",IF(ISNUMBER($C472),"Applied","Wishlist"),$M472)))</f>
        <v/>
      </c>
      <c r="AF472" s="88">
        <f>IF(AND(ISNUMBER($C472),ISNUMBER($AA472)),$AA472-$C472,"")</f>
        <v/>
      </c>
      <c r="AG472" s="87">
        <f>IF($AE472="","",IFERROR(MATCH($AE472,{"Wishlist","Applied","Screening","Interview 1","Interview 2","Final","Offer","Accepted"},0)-1,""))</f>
        <v/>
      </c>
      <c r="AH472" s="87">
        <f>IF($AC472="","",MATCH($AC472,{"FOLLOW UP REQUIRED","ACTION DUE TODAY","NO RESPONSE","DUE SOON"},0)*100000+IF(ISNUMBER($O472),$O472,IF(ISNUMBER($C472),$C472,0))+ROW()/10000)</f>
        <v/>
      </c>
      <c r="AI472" s="87">
        <f>IF(AND(ISNUMBER($AG472),$AG472&gt;=1,$AG472&lt;=6,$M472&lt;&gt;"Rejected",$M472&lt;&gt;"Withdrawn"),(10-$AG472)*100000+IF(ISNUMBER($C472),$C472,0)+ROW()/10000,"")</f>
        <v/>
      </c>
    </row>
    <row r="473">
      <c r="A473" s="80" t="n"/>
      <c r="B473" s="81" t="n"/>
      <c r="C473" s="81" t="n"/>
      <c r="D473" s="82" t="n"/>
      <c r="E473" s="82" t="n"/>
      <c r="F473" s="82" t="n"/>
      <c r="G473" s="82" t="n"/>
      <c r="H473" s="82" t="n"/>
      <c r="I473" s="83" t="n"/>
      <c r="J473" s="82" t="n"/>
      <c r="K473" s="84" t="n"/>
      <c r="L473" s="85" t="n"/>
      <c r="M473" s="82" t="n"/>
      <c r="N473" s="86" t="n"/>
      <c r="O473" s="81" t="n"/>
      <c r="P473" s="82" t="n"/>
      <c r="Q473" s="83" t="n"/>
      <c r="R473" s="82" t="n"/>
      <c r="S473" s="84" t="n"/>
      <c r="T473" s="84" t="n"/>
      <c r="U473" s="82" t="n"/>
      <c r="V473" s="86" t="n"/>
      <c r="W473" s="86" t="n"/>
      <c r="X473" s="86" t="n"/>
      <c r="Y473" s="81" t="n"/>
      <c r="Z473" s="82" t="n"/>
      <c r="AA473" s="81" t="n"/>
      <c r="AB473" s="82" t="n"/>
      <c r="AC473" s="87">
        <f>IF(OR($D473="",$M473="Rejected",$M473="Withdrawn",$M473="Accepted"),"",IF(ISNUMBER($O473),IF(INT($O473)&lt;TODAY(),"FOLLOW UP REQUIRED",IF(INT($O473)=TODAY(),"ACTION DUE TODAY",IF(INT($O473)-TODAY()&lt;=Set_DueSoonDays,"DUE SOON",""))),IF(AND($M473="Applied",$AA473=""),IF(ISNUMBER($C473),IF(TODAY()-$C473&gt;=Set_FollowUpDays,"NO RESPONSE",""),""),"")))</f>
        <v/>
      </c>
      <c r="AD473" s="87">
        <f>IF(ISNUMBER($L473),IF($L473&gt;=90,"Excellent Match",IF($L473&gt;=75,"Strong Match",IF($L473&gt;=60,"Moderate Match","Low Match"))),"")</f>
        <v/>
      </c>
      <c r="AE473" s="87">
        <f>IF($D473="","",IF(OR($M473="Rejected",$M473="Withdrawn"),IF($AB473&lt;&gt;"",$AB473,IF(OR($M473="Rejected",ISNUMBER($C473)),"Applied","Wishlist")),IF($M473="",IF(ISNUMBER($C473),"Applied","Wishlist"),$M473)))</f>
        <v/>
      </c>
      <c r="AF473" s="88">
        <f>IF(AND(ISNUMBER($C473),ISNUMBER($AA473)),$AA473-$C473,"")</f>
        <v/>
      </c>
      <c r="AG473" s="87">
        <f>IF($AE473="","",IFERROR(MATCH($AE473,{"Wishlist","Applied","Screening","Interview 1","Interview 2","Final","Offer","Accepted"},0)-1,""))</f>
        <v/>
      </c>
      <c r="AH473" s="87">
        <f>IF($AC473="","",MATCH($AC473,{"FOLLOW UP REQUIRED","ACTION DUE TODAY","NO RESPONSE","DUE SOON"},0)*100000+IF(ISNUMBER($O473),$O473,IF(ISNUMBER($C473),$C473,0))+ROW()/10000)</f>
        <v/>
      </c>
      <c r="AI473" s="87">
        <f>IF(AND(ISNUMBER($AG473),$AG473&gt;=1,$AG473&lt;=6,$M473&lt;&gt;"Rejected",$M473&lt;&gt;"Withdrawn"),(10-$AG473)*100000+IF(ISNUMBER($C473),$C473,0)+ROW()/10000,"")</f>
        <v/>
      </c>
    </row>
    <row r="474">
      <c r="A474" s="80" t="n"/>
      <c r="B474" s="81" t="n"/>
      <c r="C474" s="81" t="n"/>
      <c r="D474" s="82" t="n"/>
      <c r="E474" s="82" t="n"/>
      <c r="F474" s="82" t="n"/>
      <c r="G474" s="82" t="n"/>
      <c r="H474" s="82" t="n"/>
      <c r="I474" s="83" t="n"/>
      <c r="J474" s="82" t="n"/>
      <c r="K474" s="84" t="n"/>
      <c r="L474" s="85" t="n"/>
      <c r="M474" s="82" t="n"/>
      <c r="N474" s="86" t="n"/>
      <c r="O474" s="81" t="n"/>
      <c r="P474" s="82" t="n"/>
      <c r="Q474" s="83" t="n"/>
      <c r="R474" s="82" t="n"/>
      <c r="S474" s="84" t="n"/>
      <c r="T474" s="84" t="n"/>
      <c r="U474" s="82" t="n"/>
      <c r="V474" s="86" t="n"/>
      <c r="W474" s="86" t="n"/>
      <c r="X474" s="86" t="n"/>
      <c r="Y474" s="81" t="n"/>
      <c r="Z474" s="82" t="n"/>
      <c r="AA474" s="81" t="n"/>
      <c r="AB474" s="82" t="n"/>
      <c r="AC474" s="87">
        <f>IF(OR($D474="",$M474="Rejected",$M474="Withdrawn",$M474="Accepted"),"",IF(ISNUMBER($O474),IF(INT($O474)&lt;TODAY(),"FOLLOW UP REQUIRED",IF(INT($O474)=TODAY(),"ACTION DUE TODAY",IF(INT($O474)-TODAY()&lt;=Set_DueSoonDays,"DUE SOON",""))),IF(AND($M474="Applied",$AA474=""),IF(ISNUMBER($C474),IF(TODAY()-$C474&gt;=Set_FollowUpDays,"NO RESPONSE",""),""),"")))</f>
        <v/>
      </c>
      <c r="AD474" s="87">
        <f>IF(ISNUMBER($L474),IF($L474&gt;=90,"Excellent Match",IF($L474&gt;=75,"Strong Match",IF($L474&gt;=60,"Moderate Match","Low Match"))),"")</f>
        <v/>
      </c>
      <c r="AE474" s="87">
        <f>IF($D474="","",IF(OR($M474="Rejected",$M474="Withdrawn"),IF($AB474&lt;&gt;"",$AB474,IF(OR($M474="Rejected",ISNUMBER($C474)),"Applied","Wishlist")),IF($M474="",IF(ISNUMBER($C474),"Applied","Wishlist"),$M474)))</f>
        <v/>
      </c>
      <c r="AF474" s="88">
        <f>IF(AND(ISNUMBER($C474),ISNUMBER($AA474)),$AA474-$C474,"")</f>
        <v/>
      </c>
      <c r="AG474" s="87">
        <f>IF($AE474="","",IFERROR(MATCH($AE474,{"Wishlist","Applied","Screening","Interview 1","Interview 2","Final","Offer","Accepted"},0)-1,""))</f>
        <v/>
      </c>
      <c r="AH474" s="87">
        <f>IF($AC474="","",MATCH($AC474,{"FOLLOW UP REQUIRED","ACTION DUE TODAY","NO RESPONSE","DUE SOON"},0)*100000+IF(ISNUMBER($O474),$O474,IF(ISNUMBER($C474),$C474,0))+ROW()/10000)</f>
        <v/>
      </c>
      <c r="AI474" s="87">
        <f>IF(AND(ISNUMBER($AG474),$AG474&gt;=1,$AG474&lt;=6,$M474&lt;&gt;"Rejected",$M474&lt;&gt;"Withdrawn"),(10-$AG474)*100000+IF(ISNUMBER($C474),$C474,0)+ROW()/10000,"")</f>
        <v/>
      </c>
    </row>
    <row r="475">
      <c r="A475" s="80" t="n"/>
      <c r="B475" s="81" t="n"/>
      <c r="C475" s="81" t="n"/>
      <c r="D475" s="82" t="n"/>
      <c r="E475" s="82" t="n"/>
      <c r="F475" s="82" t="n"/>
      <c r="G475" s="82" t="n"/>
      <c r="H475" s="82" t="n"/>
      <c r="I475" s="83" t="n"/>
      <c r="J475" s="82" t="n"/>
      <c r="K475" s="84" t="n"/>
      <c r="L475" s="85" t="n"/>
      <c r="M475" s="82" t="n"/>
      <c r="N475" s="86" t="n"/>
      <c r="O475" s="81" t="n"/>
      <c r="P475" s="82" t="n"/>
      <c r="Q475" s="83" t="n"/>
      <c r="R475" s="82" t="n"/>
      <c r="S475" s="84" t="n"/>
      <c r="T475" s="84" t="n"/>
      <c r="U475" s="82" t="n"/>
      <c r="V475" s="86" t="n"/>
      <c r="W475" s="86" t="n"/>
      <c r="X475" s="86" t="n"/>
      <c r="Y475" s="81" t="n"/>
      <c r="Z475" s="82" t="n"/>
      <c r="AA475" s="81" t="n"/>
      <c r="AB475" s="82" t="n"/>
      <c r="AC475" s="87">
        <f>IF(OR($D475="",$M475="Rejected",$M475="Withdrawn",$M475="Accepted"),"",IF(ISNUMBER($O475),IF(INT($O475)&lt;TODAY(),"FOLLOW UP REQUIRED",IF(INT($O475)=TODAY(),"ACTION DUE TODAY",IF(INT($O475)-TODAY()&lt;=Set_DueSoonDays,"DUE SOON",""))),IF(AND($M475="Applied",$AA475=""),IF(ISNUMBER($C475),IF(TODAY()-$C475&gt;=Set_FollowUpDays,"NO RESPONSE",""),""),"")))</f>
        <v/>
      </c>
      <c r="AD475" s="87">
        <f>IF(ISNUMBER($L475),IF($L475&gt;=90,"Excellent Match",IF($L475&gt;=75,"Strong Match",IF($L475&gt;=60,"Moderate Match","Low Match"))),"")</f>
        <v/>
      </c>
      <c r="AE475" s="87">
        <f>IF($D475="","",IF(OR($M475="Rejected",$M475="Withdrawn"),IF($AB475&lt;&gt;"",$AB475,IF(OR($M475="Rejected",ISNUMBER($C475)),"Applied","Wishlist")),IF($M475="",IF(ISNUMBER($C475),"Applied","Wishlist"),$M475)))</f>
        <v/>
      </c>
      <c r="AF475" s="88">
        <f>IF(AND(ISNUMBER($C475),ISNUMBER($AA475)),$AA475-$C475,"")</f>
        <v/>
      </c>
      <c r="AG475" s="87">
        <f>IF($AE475="","",IFERROR(MATCH($AE475,{"Wishlist","Applied","Screening","Interview 1","Interview 2","Final","Offer","Accepted"},0)-1,""))</f>
        <v/>
      </c>
      <c r="AH475" s="87">
        <f>IF($AC475="","",MATCH($AC475,{"FOLLOW UP REQUIRED","ACTION DUE TODAY","NO RESPONSE","DUE SOON"},0)*100000+IF(ISNUMBER($O475),$O475,IF(ISNUMBER($C475),$C475,0))+ROW()/10000)</f>
        <v/>
      </c>
      <c r="AI475" s="87">
        <f>IF(AND(ISNUMBER($AG475),$AG475&gt;=1,$AG475&lt;=6,$M475&lt;&gt;"Rejected",$M475&lt;&gt;"Withdrawn"),(10-$AG475)*100000+IF(ISNUMBER($C475),$C475,0)+ROW()/10000,"")</f>
        <v/>
      </c>
    </row>
    <row r="476">
      <c r="A476" s="80" t="n"/>
      <c r="B476" s="81" t="n"/>
      <c r="C476" s="81" t="n"/>
      <c r="D476" s="82" t="n"/>
      <c r="E476" s="82" t="n"/>
      <c r="F476" s="82" t="n"/>
      <c r="G476" s="82" t="n"/>
      <c r="H476" s="82" t="n"/>
      <c r="I476" s="83" t="n"/>
      <c r="J476" s="82" t="n"/>
      <c r="K476" s="84" t="n"/>
      <c r="L476" s="85" t="n"/>
      <c r="M476" s="82" t="n"/>
      <c r="N476" s="86" t="n"/>
      <c r="O476" s="81" t="n"/>
      <c r="P476" s="82" t="n"/>
      <c r="Q476" s="83" t="n"/>
      <c r="R476" s="82" t="n"/>
      <c r="S476" s="84" t="n"/>
      <c r="T476" s="84" t="n"/>
      <c r="U476" s="82" t="n"/>
      <c r="V476" s="86" t="n"/>
      <c r="W476" s="86" t="n"/>
      <c r="X476" s="86" t="n"/>
      <c r="Y476" s="81" t="n"/>
      <c r="Z476" s="82" t="n"/>
      <c r="AA476" s="81" t="n"/>
      <c r="AB476" s="82" t="n"/>
      <c r="AC476" s="87">
        <f>IF(OR($D476="",$M476="Rejected",$M476="Withdrawn",$M476="Accepted"),"",IF(ISNUMBER($O476),IF(INT($O476)&lt;TODAY(),"FOLLOW UP REQUIRED",IF(INT($O476)=TODAY(),"ACTION DUE TODAY",IF(INT($O476)-TODAY()&lt;=Set_DueSoonDays,"DUE SOON",""))),IF(AND($M476="Applied",$AA476=""),IF(ISNUMBER($C476),IF(TODAY()-$C476&gt;=Set_FollowUpDays,"NO RESPONSE",""),""),"")))</f>
        <v/>
      </c>
      <c r="AD476" s="87">
        <f>IF(ISNUMBER($L476),IF($L476&gt;=90,"Excellent Match",IF($L476&gt;=75,"Strong Match",IF($L476&gt;=60,"Moderate Match","Low Match"))),"")</f>
        <v/>
      </c>
      <c r="AE476" s="87">
        <f>IF($D476="","",IF(OR($M476="Rejected",$M476="Withdrawn"),IF($AB476&lt;&gt;"",$AB476,IF(OR($M476="Rejected",ISNUMBER($C476)),"Applied","Wishlist")),IF($M476="",IF(ISNUMBER($C476),"Applied","Wishlist"),$M476)))</f>
        <v/>
      </c>
      <c r="AF476" s="88">
        <f>IF(AND(ISNUMBER($C476),ISNUMBER($AA476)),$AA476-$C476,"")</f>
        <v/>
      </c>
      <c r="AG476" s="87">
        <f>IF($AE476="","",IFERROR(MATCH($AE476,{"Wishlist","Applied","Screening","Interview 1","Interview 2","Final","Offer","Accepted"},0)-1,""))</f>
        <v/>
      </c>
      <c r="AH476" s="87">
        <f>IF($AC476="","",MATCH($AC476,{"FOLLOW UP REQUIRED","ACTION DUE TODAY","NO RESPONSE","DUE SOON"},0)*100000+IF(ISNUMBER($O476),$O476,IF(ISNUMBER($C476),$C476,0))+ROW()/10000)</f>
        <v/>
      </c>
      <c r="AI476" s="87">
        <f>IF(AND(ISNUMBER($AG476),$AG476&gt;=1,$AG476&lt;=6,$M476&lt;&gt;"Rejected",$M476&lt;&gt;"Withdrawn"),(10-$AG476)*100000+IF(ISNUMBER($C476),$C476,0)+ROW()/10000,"")</f>
        <v/>
      </c>
    </row>
    <row r="477">
      <c r="A477" s="80" t="n"/>
      <c r="B477" s="81" t="n"/>
      <c r="C477" s="81" t="n"/>
      <c r="D477" s="82" t="n"/>
      <c r="E477" s="82" t="n"/>
      <c r="F477" s="82" t="n"/>
      <c r="G477" s="82" t="n"/>
      <c r="H477" s="82" t="n"/>
      <c r="I477" s="83" t="n"/>
      <c r="J477" s="82" t="n"/>
      <c r="K477" s="84" t="n"/>
      <c r="L477" s="85" t="n"/>
      <c r="M477" s="82" t="n"/>
      <c r="N477" s="86" t="n"/>
      <c r="O477" s="81" t="n"/>
      <c r="P477" s="82" t="n"/>
      <c r="Q477" s="83" t="n"/>
      <c r="R477" s="82" t="n"/>
      <c r="S477" s="84" t="n"/>
      <c r="T477" s="84" t="n"/>
      <c r="U477" s="82" t="n"/>
      <c r="V477" s="86" t="n"/>
      <c r="W477" s="86" t="n"/>
      <c r="X477" s="86" t="n"/>
      <c r="Y477" s="81" t="n"/>
      <c r="Z477" s="82" t="n"/>
      <c r="AA477" s="81" t="n"/>
      <c r="AB477" s="82" t="n"/>
      <c r="AC477" s="87">
        <f>IF(OR($D477="",$M477="Rejected",$M477="Withdrawn",$M477="Accepted"),"",IF(ISNUMBER($O477),IF(INT($O477)&lt;TODAY(),"FOLLOW UP REQUIRED",IF(INT($O477)=TODAY(),"ACTION DUE TODAY",IF(INT($O477)-TODAY()&lt;=Set_DueSoonDays,"DUE SOON",""))),IF(AND($M477="Applied",$AA477=""),IF(ISNUMBER($C477),IF(TODAY()-$C477&gt;=Set_FollowUpDays,"NO RESPONSE",""),""),"")))</f>
        <v/>
      </c>
      <c r="AD477" s="87">
        <f>IF(ISNUMBER($L477),IF($L477&gt;=90,"Excellent Match",IF($L477&gt;=75,"Strong Match",IF($L477&gt;=60,"Moderate Match","Low Match"))),"")</f>
        <v/>
      </c>
      <c r="AE477" s="87">
        <f>IF($D477="","",IF(OR($M477="Rejected",$M477="Withdrawn"),IF($AB477&lt;&gt;"",$AB477,IF(OR($M477="Rejected",ISNUMBER($C477)),"Applied","Wishlist")),IF($M477="",IF(ISNUMBER($C477),"Applied","Wishlist"),$M477)))</f>
        <v/>
      </c>
      <c r="AF477" s="88">
        <f>IF(AND(ISNUMBER($C477),ISNUMBER($AA477)),$AA477-$C477,"")</f>
        <v/>
      </c>
      <c r="AG477" s="87">
        <f>IF($AE477="","",IFERROR(MATCH($AE477,{"Wishlist","Applied","Screening","Interview 1","Interview 2","Final","Offer","Accepted"},0)-1,""))</f>
        <v/>
      </c>
      <c r="AH477" s="87">
        <f>IF($AC477="","",MATCH($AC477,{"FOLLOW UP REQUIRED","ACTION DUE TODAY","NO RESPONSE","DUE SOON"},0)*100000+IF(ISNUMBER($O477),$O477,IF(ISNUMBER($C477),$C477,0))+ROW()/10000)</f>
        <v/>
      </c>
      <c r="AI477" s="87">
        <f>IF(AND(ISNUMBER($AG477),$AG477&gt;=1,$AG477&lt;=6,$M477&lt;&gt;"Rejected",$M477&lt;&gt;"Withdrawn"),(10-$AG477)*100000+IF(ISNUMBER($C477),$C477,0)+ROW()/10000,"")</f>
        <v/>
      </c>
    </row>
    <row r="478">
      <c r="A478" s="80" t="n"/>
      <c r="B478" s="81" t="n"/>
      <c r="C478" s="81" t="n"/>
      <c r="D478" s="82" t="n"/>
      <c r="E478" s="82" t="n"/>
      <c r="F478" s="82" t="n"/>
      <c r="G478" s="82" t="n"/>
      <c r="H478" s="82" t="n"/>
      <c r="I478" s="83" t="n"/>
      <c r="J478" s="82" t="n"/>
      <c r="K478" s="84" t="n"/>
      <c r="L478" s="85" t="n"/>
      <c r="M478" s="82" t="n"/>
      <c r="N478" s="86" t="n"/>
      <c r="O478" s="81" t="n"/>
      <c r="P478" s="82" t="n"/>
      <c r="Q478" s="83" t="n"/>
      <c r="R478" s="82" t="n"/>
      <c r="S478" s="84" t="n"/>
      <c r="T478" s="84" t="n"/>
      <c r="U478" s="82" t="n"/>
      <c r="V478" s="86" t="n"/>
      <c r="W478" s="86" t="n"/>
      <c r="X478" s="86" t="n"/>
      <c r="Y478" s="81" t="n"/>
      <c r="Z478" s="82" t="n"/>
      <c r="AA478" s="81" t="n"/>
      <c r="AB478" s="82" t="n"/>
      <c r="AC478" s="87">
        <f>IF(OR($D478="",$M478="Rejected",$M478="Withdrawn",$M478="Accepted"),"",IF(ISNUMBER($O478),IF(INT($O478)&lt;TODAY(),"FOLLOW UP REQUIRED",IF(INT($O478)=TODAY(),"ACTION DUE TODAY",IF(INT($O478)-TODAY()&lt;=Set_DueSoonDays,"DUE SOON",""))),IF(AND($M478="Applied",$AA478=""),IF(ISNUMBER($C478),IF(TODAY()-$C478&gt;=Set_FollowUpDays,"NO RESPONSE",""),""),"")))</f>
        <v/>
      </c>
      <c r="AD478" s="87">
        <f>IF(ISNUMBER($L478),IF($L478&gt;=90,"Excellent Match",IF($L478&gt;=75,"Strong Match",IF($L478&gt;=60,"Moderate Match","Low Match"))),"")</f>
        <v/>
      </c>
      <c r="AE478" s="87">
        <f>IF($D478="","",IF(OR($M478="Rejected",$M478="Withdrawn"),IF($AB478&lt;&gt;"",$AB478,IF(OR($M478="Rejected",ISNUMBER($C478)),"Applied","Wishlist")),IF($M478="",IF(ISNUMBER($C478),"Applied","Wishlist"),$M478)))</f>
        <v/>
      </c>
      <c r="AF478" s="88">
        <f>IF(AND(ISNUMBER($C478),ISNUMBER($AA478)),$AA478-$C478,"")</f>
        <v/>
      </c>
      <c r="AG478" s="87">
        <f>IF($AE478="","",IFERROR(MATCH($AE478,{"Wishlist","Applied","Screening","Interview 1","Interview 2","Final","Offer","Accepted"},0)-1,""))</f>
        <v/>
      </c>
      <c r="AH478" s="87">
        <f>IF($AC478="","",MATCH($AC478,{"FOLLOW UP REQUIRED","ACTION DUE TODAY","NO RESPONSE","DUE SOON"},0)*100000+IF(ISNUMBER($O478),$O478,IF(ISNUMBER($C478),$C478,0))+ROW()/10000)</f>
        <v/>
      </c>
      <c r="AI478" s="87">
        <f>IF(AND(ISNUMBER($AG478),$AG478&gt;=1,$AG478&lt;=6,$M478&lt;&gt;"Rejected",$M478&lt;&gt;"Withdrawn"),(10-$AG478)*100000+IF(ISNUMBER($C478),$C478,0)+ROW()/10000,"")</f>
        <v/>
      </c>
    </row>
    <row r="479">
      <c r="A479" s="80" t="n"/>
      <c r="B479" s="81" t="n"/>
      <c r="C479" s="81" t="n"/>
      <c r="D479" s="82" t="n"/>
      <c r="E479" s="82" t="n"/>
      <c r="F479" s="82" t="n"/>
      <c r="G479" s="82" t="n"/>
      <c r="H479" s="82" t="n"/>
      <c r="I479" s="83" t="n"/>
      <c r="J479" s="82" t="n"/>
      <c r="K479" s="84" t="n"/>
      <c r="L479" s="85" t="n"/>
      <c r="M479" s="82" t="n"/>
      <c r="N479" s="86" t="n"/>
      <c r="O479" s="81" t="n"/>
      <c r="P479" s="82" t="n"/>
      <c r="Q479" s="83" t="n"/>
      <c r="R479" s="82" t="n"/>
      <c r="S479" s="84" t="n"/>
      <c r="T479" s="84" t="n"/>
      <c r="U479" s="82" t="n"/>
      <c r="V479" s="86" t="n"/>
      <c r="W479" s="86" t="n"/>
      <c r="X479" s="86" t="n"/>
      <c r="Y479" s="81" t="n"/>
      <c r="Z479" s="82" t="n"/>
      <c r="AA479" s="81" t="n"/>
      <c r="AB479" s="82" t="n"/>
      <c r="AC479" s="87">
        <f>IF(OR($D479="",$M479="Rejected",$M479="Withdrawn",$M479="Accepted"),"",IF(ISNUMBER($O479),IF(INT($O479)&lt;TODAY(),"FOLLOW UP REQUIRED",IF(INT($O479)=TODAY(),"ACTION DUE TODAY",IF(INT($O479)-TODAY()&lt;=Set_DueSoonDays,"DUE SOON",""))),IF(AND($M479="Applied",$AA479=""),IF(ISNUMBER($C479),IF(TODAY()-$C479&gt;=Set_FollowUpDays,"NO RESPONSE",""),""),"")))</f>
        <v/>
      </c>
      <c r="AD479" s="87">
        <f>IF(ISNUMBER($L479),IF($L479&gt;=90,"Excellent Match",IF($L479&gt;=75,"Strong Match",IF($L479&gt;=60,"Moderate Match","Low Match"))),"")</f>
        <v/>
      </c>
      <c r="AE479" s="87">
        <f>IF($D479="","",IF(OR($M479="Rejected",$M479="Withdrawn"),IF($AB479&lt;&gt;"",$AB479,IF(OR($M479="Rejected",ISNUMBER($C479)),"Applied","Wishlist")),IF($M479="",IF(ISNUMBER($C479),"Applied","Wishlist"),$M479)))</f>
        <v/>
      </c>
      <c r="AF479" s="88">
        <f>IF(AND(ISNUMBER($C479),ISNUMBER($AA479)),$AA479-$C479,"")</f>
        <v/>
      </c>
      <c r="AG479" s="87">
        <f>IF($AE479="","",IFERROR(MATCH($AE479,{"Wishlist","Applied","Screening","Interview 1","Interview 2","Final","Offer","Accepted"},0)-1,""))</f>
        <v/>
      </c>
      <c r="AH479" s="87">
        <f>IF($AC479="","",MATCH($AC479,{"FOLLOW UP REQUIRED","ACTION DUE TODAY","NO RESPONSE","DUE SOON"},0)*100000+IF(ISNUMBER($O479),$O479,IF(ISNUMBER($C479),$C479,0))+ROW()/10000)</f>
        <v/>
      </c>
      <c r="AI479" s="87">
        <f>IF(AND(ISNUMBER($AG479),$AG479&gt;=1,$AG479&lt;=6,$M479&lt;&gt;"Rejected",$M479&lt;&gt;"Withdrawn"),(10-$AG479)*100000+IF(ISNUMBER($C479),$C479,0)+ROW()/10000,"")</f>
        <v/>
      </c>
    </row>
    <row r="480">
      <c r="A480" s="80" t="n"/>
      <c r="B480" s="81" t="n"/>
      <c r="C480" s="81" t="n"/>
      <c r="D480" s="82" t="n"/>
      <c r="E480" s="82" t="n"/>
      <c r="F480" s="82" t="n"/>
      <c r="G480" s="82" t="n"/>
      <c r="H480" s="82" t="n"/>
      <c r="I480" s="83" t="n"/>
      <c r="J480" s="82" t="n"/>
      <c r="K480" s="84" t="n"/>
      <c r="L480" s="85" t="n"/>
      <c r="M480" s="82" t="n"/>
      <c r="N480" s="86" t="n"/>
      <c r="O480" s="81" t="n"/>
      <c r="P480" s="82" t="n"/>
      <c r="Q480" s="83" t="n"/>
      <c r="R480" s="82" t="n"/>
      <c r="S480" s="84" t="n"/>
      <c r="T480" s="84" t="n"/>
      <c r="U480" s="82" t="n"/>
      <c r="V480" s="86" t="n"/>
      <c r="W480" s="86" t="n"/>
      <c r="X480" s="86" t="n"/>
      <c r="Y480" s="81" t="n"/>
      <c r="Z480" s="82" t="n"/>
      <c r="AA480" s="81" t="n"/>
      <c r="AB480" s="82" t="n"/>
      <c r="AC480" s="87">
        <f>IF(OR($D480="",$M480="Rejected",$M480="Withdrawn",$M480="Accepted"),"",IF(ISNUMBER($O480),IF(INT($O480)&lt;TODAY(),"FOLLOW UP REQUIRED",IF(INT($O480)=TODAY(),"ACTION DUE TODAY",IF(INT($O480)-TODAY()&lt;=Set_DueSoonDays,"DUE SOON",""))),IF(AND($M480="Applied",$AA480=""),IF(ISNUMBER($C480),IF(TODAY()-$C480&gt;=Set_FollowUpDays,"NO RESPONSE",""),""),"")))</f>
        <v/>
      </c>
      <c r="AD480" s="87">
        <f>IF(ISNUMBER($L480),IF($L480&gt;=90,"Excellent Match",IF($L480&gt;=75,"Strong Match",IF($L480&gt;=60,"Moderate Match","Low Match"))),"")</f>
        <v/>
      </c>
      <c r="AE480" s="87">
        <f>IF($D480="","",IF(OR($M480="Rejected",$M480="Withdrawn"),IF($AB480&lt;&gt;"",$AB480,IF(OR($M480="Rejected",ISNUMBER($C480)),"Applied","Wishlist")),IF($M480="",IF(ISNUMBER($C480),"Applied","Wishlist"),$M480)))</f>
        <v/>
      </c>
      <c r="AF480" s="88">
        <f>IF(AND(ISNUMBER($C480),ISNUMBER($AA480)),$AA480-$C480,"")</f>
        <v/>
      </c>
      <c r="AG480" s="87">
        <f>IF($AE480="","",IFERROR(MATCH($AE480,{"Wishlist","Applied","Screening","Interview 1","Interview 2","Final","Offer","Accepted"},0)-1,""))</f>
        <v/>
      </c>
      <c r="AH480" s="87">
        <f>IF($AC480="","",MATCH($AC480,{"FOLLOW UP REQUIRED","ACTION DUE TODAY","NO RESPONSE","DUE SOON"},0)*100000+IF(ISNUMBER($O480),$O480,IF(ISNUMBER($C480),$C480,0))+ROW()/10000)</f>
        <v/>
      </c>
      <c r="AI480" s="87">
        <f>IF(AND(ISNUMBER($AG480),$AG480&gt;=1,$AG480&lt;=6,$M480&lt;&gt;"Rejected",$M480&lt;&gt;"Withdrawn"),(10-$AG480)*100000+IF(ISNUMBER($C480),$C480,0)+ROW()/10000,"")</f>
        <v/>
      </c>
    </row>
    <row r="481">
      <c r="A481" s="80" t="n"/>
      <c r="B481" s="81" t="n"/>
      <c r="C481" s="81" t="n"/>
      <c r="D481" s="82" t="n"/>
      <c r="E481" s="82" t="n"/>
      <c r="F481" s="82" t="n"/>
      <c r="G481" s="82" t="n"/>
      <c r="H481" s="82" t="n"/>
      <c r="I481" s="83" t="n"/>
      <c r="J481" s="82" t="n"/>
      <c r="K481" s="84" t="n"/>
      <c r="L481" s="85" t="n"/>
      <c r="M481" s="82" t="n"/>
      <c r="N481" s="86" t="n"/>
      <c r="O481" s="81" t="n"/>
      <c r="P481" s="82" t="n"/>
      <c r="Q481" s="83" t="n"/>
      <c r="R481" s="82" t="n"/>
      <c r="S481" s="84" t="n"/>
      <c r="T481" s="84" t="n"/>
      <c r="U481" s="82" t="n"/>
      <c r="V481" s="86" t="n"/>
      <c r="W481" s="86" t="n"/>
      <c r="X481" s="86" t="n"/>
      <c r="Y481" s="81" t="n"/>
      <c r="Z481" s="82" t="n"/>
      <c r="AA481" s="81" t="n"/>
      <c r="AB481" s="82" t="n"/>
      <c r="AC481" s="87">
        <f>IF(OR($D481="",$M481="Rejected",$M481="Withdrawn",$M481="Accepted"),"",IF(ISNUMBER($O481),IF(INT($O481)&lt;TODAY(),"FOLLOW UP REQUIRED",IF(INT($O481)=TODAY(),"ACTION DUE TODAY",IF(INT($O481)-TODAY()&lt;=Set_DueSoonDays,"DUE SOON",""))),IF(AND($M481="Applied",$AA481=""),IF(ISNUMBER($C481),IF(TODAY()-$C481&gt;=Set_FollowUpDays,"NO RESPONSE",""),""),"")))</f>
        <v/>
      </c>
      <c r="AD481" s="87">
        <f>IF(ISNUMBER($L481),IF($L481&gt;=90,"Excellent Match",IF($L481&gt;=75,"Strong Match",IF($L481&gt;=60,"Moderate Match","Low Match"))),"")</f>
        <v/>
      </c>
      <c r="AE481" s="87">
        <f>IF($D481="","",IF(OR($M481="Rejected",$M481="Withdrawn"),IF($AB481&lt;&gt;"",$AB481,IF(OR($M481="Rejected",ISNUMBER($C481)),"Applied","Wishlist")),IF($M481="",IF(ISNUMBER($C481),"Applied","Wishlist"),$M481)))</f>
        <v/>
      </c>
      <c r="AF481" s="88">
        <f>IF(AND(ISNUMBER($C481),ISNUMBER($AA481)),$AA481-$C481,"")</f>
        <v/>
      </c>
      <c r="AG481" s="87">
        <f>IF($AE481="","",IFERROR(MATCH($AE481,{"Wishlist","Applied","Screening","Interview 1","Interview 2","Final","Offer","Accepted"},0)-1,""))</f>
        <v/>
      </c>
      <c r="AH481" s="87">
        <f>IF($AC481="","",MATCH($AC481,{"FOLLOW UP REQUIRED","ACTION DUE TODAY","NO RESPONSE","DUE SOON"},0)*100000+IF(ISNUMBER($O481),$O481,IF(ISNUMBER($C481),$C481,0))+ROW()/10000)</f>
        <v/>
      </c>
      <c r="AI481" s="87">
        <f>IF(AND(ISNUMBER($AG481),$AG481&gt;=1,$AG481&lt;=6,$M481&lt;&gt;"Rejected",$M481&lt;&gt;"Withdrawn"),(10-$AG481)*100000+IF(ISNUMBER($C481),$C481,0)+ROW()/10000,"")</f>
        <v/>
      </c>
    </row>
    <row r="482">
      <c r="A482" s="80" t="n"/>
      <c r="B482" s="81" t="n"/>
      <c r="C482" s="81" t="n"/>
      <c r="D482" s="82" t="n"/>
      <c r="E482" s="82" t="n"/>
      <c r="F482" s="82" t="n"/>
      <c r="G482" s="82" t="n"/>
      <c r="H482" s="82" t="n"/>
      <c r="I482" s="83" t="n"/>
      <c r="J482" s="82" t="n"/>
      <c r="K482" s="84" t="n"/>
      <c r="L482" s="85" t="n"/>
      <c r="M482" s="82" t="n"/>
      <c r="N482" s="86" t="n"/>
      <c r="O482" s="81" t="n"/>
      <c r="P482" s="82" t="n"/>
      <c r="Q482" s="83" t="n"/>
      <c r="R482" s="82" t="n"/>
      <c r="S482" s="84" t="n"/>
      <c r="T482" s="84" t="n"/>
      <c r="U482" s="82" t="n"/>
      <c r="V482" s="86" t="n"/>
      <c r="W482" s="86" t="n"/>
      <c r="X482" s="86" t="n"/>
      <c r="Y482" s="81" t="n"/>
      <c r="Z482" s="82" t="n"/>
      <c r="AA482" s="81" t="n"/>
      <c r="AB482" s="82" t="n"/>
      <c r="AC482" s="87">
        <f>IF(OR($D482="",$M482="Rejected",$M482="Withdrawn",$M482="Accepted"),"",IF(ISNUMBER($O482),IF(INT($O482)&lt;TODAY(),"FOLLOW UP REQUIRED",IF(INT($O482)=TODAY(),"ACTION DUE TODAY",IF(INT($O482)-TODAY()&lt;=Set_DueSoonDays,"DUE SOON",""))),IF(AND($M482="Applied",$AA482=""),IF(ISNUMBER($C482),IF(TODAY()-$C482&gt;=Set_FollowUpDays,"NO RESPONSE",""),""),"")))</f>
        <v/>
      </c>
      <c r="AD482" s="87">
        <f>IF(ISNUMBER($L482),IF($L482&gt;=90,"Excellent Match",IF($L482&gt;=75,"Strong Match",IF($L482&gt;=60,"Moderate Match","Low Match"))),"")</f>
        <v/>
      </c>
      <c r="AE482" s="87">
        <f>IF($D482="","",IF(OR($M482="Rejected",$M482="Withdrawn"),IF($AB482&lt;&gt;"",$AB482,IF(OR($M482="Rejected",ISNUMBER($C482)),"Applied","Wishlist")),IF($M482="",IF(ISNUMBER($C482),"Applied","Wishlist"),$M482)))</f>
        <v/>
      </c>
      <c r="AF482" s="88">
        <f>IF(AND(ISNUMBER($C482),ISNUMBER($AA482)),$AA482-$C482,"")</f>
        <v/>
      </c>
      <c r="AG482" s="87">
        <f>IF($AE482="","",IFERROR(MATCH($AE482,{"Wishlist","Applied","Screening","Interview 1","Interview 2","Final","Offer","Accepted"},0)-1,""))</f>
        <v/>
      </c>
      <c r="AH482" s="87">
        <f>IF($AC482="","",MATCH($AC482,{"FOLLOW UP REQUIRED","ACTION DUE TODAY","NO RESPONSE","DUE SOON"},0)*100000+IF(ISNUMBER($O482),$O482,IF(ISNUMBER($C482),$C482,0))+ROW()/10000)</f>
        <v/>
      </c>
      <c r="AI482" s="87">
        <f>IF(AND(ISNUMBER($AG482),$AG482&gt;=1,$AG482&lt;=6,$M482&lt;&gt;"Rejected",$M482&lt;&gt;"Withdrawn"),(10-$AG482)*100000+IF(ISNUMBER($C482),$C482,0)+ROW()/10000,"")</f>
        <v/>
      </c>
    </row>
    <row r="483">
      <c r="A483" s="80" t="n"/>
      <c r="B483" s="81" t="n"/>
      <c r="C483" s="81" t="n"/>
      <c r="D483" s="82" t="n"/>
      <c r="E483" s="82" t="n"/>
      <c r="F483" s="82" t="n"/>
      <c r="G483" s="82" t="n"/>
      <c r="H483" s="82" t="n"/>
      <c r="I483" s="83" t="n"/>
      <c r="J483" s="82" t="n"/>
      <c r="K483" s="84" t="n"/>
      <c r="L483" s="85" t="n"/>
      <c r="M483" s="82" t="n"/>
      <c r="N483" s="86" t="n"/>
      <c r="O483" s="81" t="n"/>
      <c r="P483" s="82" t="n"/>
      <c r="Q483" s="83" t="n"/>
      <c r="R483" s="82" t="n"/>
      <c r="S483" s="84" t="n"/>
      <c r="T483" s="84" t="n"/>
      <c r="U483" s="82" t="n"/>
      <c r="V483" s="86" t="n"/>
      <c r="W483" s="86" t="n"/>
      <c r="X483" s="86" t="n"/>
      <c r="Y483" s="81" t="n"/>
      <c r="Z483" s="82" t="n"/>
      <c r="AA483" s="81" t="n"/>
      <c r="AB483" s="82" t="n"/>
      <c r="AC483" s="87">
        <f>IF(OR($D483="",$M483="Rejected",$M483="Withdrawn",$M483="Accepted"),"",IF(ISNUMBER($O483),IF(INT($O483)&lt;TODAY(),"FOLLOW UP REQUIRED",IF(INT($O483)=TODAY(),"ACTION DUE TODAY",IF(INT($O483)-TODAY()&lt;=Set_DueSoonDays,"DUE SOON",""))),IF(AND($M483="Applied",$AA483=""),IF(ISNUMBER($C483),IF(TODAY()-$C483&gt;=Set_FollowUpDays,"NO RESPONSE",""),""),"")))</f>
        <v/>
      </c>
      <c r="AD483" s="87">
        <f>IF(ISNUMBER($L483),IF($L483&gt;=90,"Excellent Match",IF($L483&gt;=75,"Strong Match",IF($L483&gt;=60,"Moderate Match","Low Match"))),"")</f>
        <v/>
      </c>
      <c r="AE483" s="87">
        <f>IF($D483="","",IF(OR($M483="Rejected",$M483="Withdrawn"),IF($AB483&lt;&gt;"",$AB483,IF(OR($M483="Rejected",ISNUMBER($C483)),"Applied","Wishlist")),IF($M483="",IF(ISNUMBER($C483),"Applied","Wishlist"),$M483)))</f>
        <v/>
      </c>
      <c r="AF483" s="88">
        <f>IF(AND(ISNUMBER($C483),ISNUMBER($AA483)),$AA483-$C483,"")</f>
        <v/>
      </c>
      <c r="AG483" s="87">
        <f>IF($AE483="","",IFERROR(MATCH($AE483,{"Wishlist","Applied","Screening","Interview 1","Interview 2","Final","Offer","Accepted"},0)-1,""))</f>
        <v/>
      </c>
      <c r="AH483" s="87">
        <f>IF($AC483="","",MATCH($AC483,{"FOLLOW UP REQUIRED","ACTION DUE TODAY","NO RESPONSE","DUE SOON"},0)*100000+IF(ISNUMBER($O483),$O483,IF(ISNUMBER($C483),$C483,0))+ROW()/10000)</f>
        <v/>
      </c>
      <c r="AI483" s="87">
        <f>IF(AND(ISNUMBER($AG483),$AG483&gt;=1,$AG483&lt;=6,$M483&lt;&gt;"Rejected",$M483&lt;&gt;"Withdrawn"),(10-$AG483)*100000+IF(ISNUMBER($C483),$C483,0)+ROW()/10000,"")</f>
        <v/>
      </c>
    </row>
    <row r="484">
      <c r="A484" s="80" t="n"/>
      <c r="B484" s="81" t="n"/>
      <c r="C484" s="81" t="n"/>
      <c r="D484" s="82" t="n"/>
      <c r="E484" s="82" t="n"/>
      <c r="F484" s="82" t="n"/>
      <c r="G484" s="82" t="n"/>
      <c r="H484" s="82" t="n"/>
      <c r="I484" s="83" t="n"/>
      <c r="J484" s="82" t="n"/>
      <c r="K484" s="84" t="n"/>
      <c r="L484" s="85" t="n"/>
      <c r="M484" s="82" t="n"/>
      <c r="N484" s="86" t="n"/>
      <c r="O484" s="81" t="n"/>
      <c r="P484" s="82" t="n"/>
      <c r="Q484" s="83" t="n"/>
      <c r="R484" s="82" t="n"/>
      <c r="S484" s="84" t="n"/>
      <c r="T484" s="84" t="n"/>
      <c r="U484" s="82" t="n"/>
      <c r="V484" s="86" t="n"/>
      <c r="W484" s="86" t="n"/>
      <c r="X484" s="86" t="n"/>
      <c r="Y484" s="81" t="n"/>
      <c r="Z484" s="82" t="n"/>
      <c r="AA484" s="81" t="n"/>
      <c r="AB484" s="82" t="n"/>
      <c r="AC484" s="87">
        <f>IF(OR($D484="",$M484="Rejected",$M484="Withdrawn",$M484="Accepted"),"",IF(ISNUMBER($O484),IF(INT($O484)&lt;TODAY(),"FOLLOW UP REQUIRED",IF(INT($O484)=TODAY(),"ACTION DUE TODAY",IF(INT($O484)-TODAY()&lt;=Set_DueSoonDays,"DUE SOON",""))),IF(AND($M484="Applied",$AA484=""),IF(ISNUMBER($C484),IF(TODAY()-$C484&gt;=Set_FollowUpDays,"NO RESPONSE",""),""),"")))</f>
        <v/>
      </c>
      <c r="AD484" s="87">
        <f>IF(ISNUMBER($L484),IF($L484&gt;=90,"Excellent Match",IF($L484&gt;=75,"Strong Match",IF($L484&gt;=60,"Moderate Match","Low Match"))),"")</f>
        <v/>
      </c>
      <c r="AE484" s="87">
        <f>IF($D484="","",IF(OR($M484="Rejected",$M484="Withdrawn"),IF($AB484&lt;&gt;"",$AB484,IF(OR($M484="Rejected",ISNUMBER($C484)),"Applied","Wishlist")),IF($M484="",IF(ISNUMBER($C484),"Applied","Wishlist"),$M484)))</f>
        <v/>
      </c>
      <c r="AF484" s="88">
        <f>IF(AND(ISNUMBER($C484),ISNUMBER($AA484)),$AA484-$C484,"")</f>
        <v/>
      </c>
      <c r="AG484" s="87">
        <f>IF($AE484="","",IFERROR(MATCH($AE484,{"Wishlist","Applied","Screening","Interview 1","Interview 2","Final","Offer","Accepted"},0)-1,""))</f>
        <v/>
      </c>
      <c r="AH484" s="87">
        <f>IF($AC484="","",MATCH($AC484,{"FOLLOW UP REQUIRED","ACTION DUE TODAY","NO RESPONSE","DUE SOON"},0)*100000+IF(ISNUMBER($O484),$O484,IF(ISNUMBER($C484),$C484,0))+ROW()/10000)</f>
        <v/>
      </c>
      <c r="AI484" s="87">
        <f>IF(AND(ISNUMBER($AG484),$AG484&gt;=1,$AG484&lt;=6,$M484&lt;&gt;"Rejected",$M484&lt;&gt;"Withdrawn"),(10-$AG484)*100000+IF(ISNUMBER($C484),$C484,0)+ROW()/10000,"")</f>
        <v/>
      </c>
    </row>
    <row r="485">
      <c r="A485" s="80" t="n"/>
      <c r="B485" s="81" t="n"/>
      <c r="C485" s="81" t="n"/>
      <c r="D485" s="82" t="n"/>
      <c r="E485" s="82" t="n"/>
      <c r="F485" s="82" t="n"/>
      <c r="G485" s="82" t="n"/>
      <c r="H485" s="82" t="n"/>
      <c r="I485" s="83" t="n"/>
      <c r="J485" s="82" t="n"/>
      <c r="K485" s="84" t="n"/>
      <c r="L485" s="85" t="n"/>
      <c r="M485" s="82" t="n"/>
      <c r="N485" s="86" t="n"/>
      <c r="O485" s="81" t="n"/>
      <c r="P485" s="82" t="n"/>
      <c r="Q485" s="83" t="n"/>
      <c r="R485" s="82" t="n"/>
      <c r="S485" s="84" t="n"/>
      <c r="T485" s="84" t="n"/>
      <c r="U485" s="82" t="n"/>
      <c r="V485" s="86" t="n"/>
      <c r="W485" s="86" t="n"/>
      <c r="X485" s="86" t="n"/>
      <c r="Y485" s="81" t="n"/>
      <c r="Z485" s="82" t="n"/>
      <c r="AA485" s="81" t="n"/>
      <c r="AB485" s="82" t="n"/>
      <c r="AC485" s="87">
        <f>IF(OR($D485="",$M485="Rejected",$M485="Withdrawn",$M485="Accepted"),"",IF(ISNUMBER($O485),IF(INT($O485)&lt;TODAY(),"FOLLOW UP REQUIRED",IF(INT($O485)=TODAY(),"ACTION DUE TODAY",IF(INT($O485)-TODAY()&lt;=Set_DueSoonDays,"DUE SOON",""))),IF(AND($M485="Applied",$AA485=""),IF(ISNUMBER($C485),IF(TODAY()-$C485&gt;=Set_FollowUpDays,"NO RESPONSE",""),""),"")))</f>
        <v/>
      </c>
      <c r="AD485" s="87">
        <f>IF(ISNUMBER($L485),IF($L485&gt;=90,"Excellent Match",IF($L485&gt;=75,"Strong Match",IF($L485&gt;=60,"Moderate Match","Low Match"))),"")</f>
        <v/>
      </c>
      <c r="AE485" s="87">
        <f>IF($D485="","",IF(OR($M485="Rejected",$M485="Withdrawn"),IF($AB485&lt;&gt;"",$AB485,IF(OR($M485="Rejected",ISNUMBER($C485)),"Applied","Wishlist")),IF($M485="",IF(ISNUMBER($C485),"Applied","Wishlist"),$M485)))</f>
        <v/>
      </c>
      <c r="AF485" s="88">
        <f>IF(AND(ISNUMBER($C485),ISNUMBER($AA485)),$AA485-$C485,"")</f>
        <v/>
      </c>
      <c r="AG485" s="87">
        <f>IF($AE485="","",IFERROR(MATCH($AE485,{"Wishlist","Applied","Screening","Interview 1","Interview 2","Final","Offer","Accepted"},0)-1,""))</f>
        <v/>
      </c>
      <c r="AH485" s="87">
        <f>IF($AC485="","",MATCH($AC485,{"FOLLOW UP REQUIRED","ACTION DUE TODAY","NO RESPONSE","DUE SOON"},0)*100000+IF(ISNUMBER($O485),$O485,IF(ISNUMBER($C485),$C485,0))+ROW()/10000)</f>
        <v/>
      </c>
      <c r="AI485" s="87">
        <f>IF(AND(ISNUMBER($AG485),$AG485&gt;=1,$AG485&lt;=6,$M485&lt;&gt;"Rejected",$M485&lt;&gt;"Withdrawn"),(10-$AG485)*100000+IF(ISNUMBER($C485),$C485,0)+ROW()/10000,"")</f>
        <v/>
      </c>
    </row>
    <row r="486">
      <c r="A486" s="80" t="n"/>
      <c r="B486" s="81" t="n"/>
      <c r="C486" s="81" t="n"/>
      <c r="D486" s="82" t="n"/>
      <c r="E486" s="82" t="n"/>
      <c r="F486" s="82" t="n"/>
      <c r="G486" s="82" t="n"/>
      <c r="H486" s="82" t="n"/>
      <c r="I486" s="83" t="n"/>
      <c r="J486" s="82" t="n"/>
      <c r="K486" s="84" t="n"/>
      <c r="L486" s="85" t="n"/>
      <c r="M486" s="82" t="n"/>
      <c r="N486" s="86" t="n"/>
      <c r="O486" s="81" t="n"/>
      <c r="P486" s="82" t="n"/>
      <c r="Q486" s="83" t="n"/>
      <c r="R486" s="82" t="n"/>
      <c r="S486" s="84" t="n"/>
      <c r="T486" s="84" t="n"/>
      <c r="U486" s="82" t="n"/>
      <c r="V486" s="86" t="n"/>
      <c r="W486" s="86" t="n"/>
      <c r="X486" s="86" t="n"/>
      <c r="Y486" s="81" t="n"/>
      <c r="Z486" s="82" t="n"/>
      <c r="AA486" s="81" t="n"/>
      <c r="AB486" s="82" t="n"/>
      <c r="AC486" s="87">
        <f>IF(OR($D486="",$M486="Rejected",$M486="Withdrawn",$M486="Accepted"),"",IF(ISNUMBER($O486),IF(INT($O486)&lt;TODAY(),"FOLLOW UP REQUIRED",IF(INT($O486)=TODAY(),"ACTION DUE TODAY",IF(INT($O486)-TODAY()&lt;=Set_DueSoonDays,"DUE SOON",""))),IF(AND($M486="Applied",$AA486=""),IF(ISNUMBER($C486),IF(TODAY()-$C486&gt;=Set_FollowUpDays,"NO RESPONSE",""),""),"")))</f>
        <v/>
      </c>
      <c r="AD486" s="87">
        <f>IF(ISNUMBER($L486),IF($L486&gt;=90,"Excellent Match",IF($L486&gt;=75,"Strong Match",IF($L486&gt;=60,"Moderate Match","Low Match"))),"")</f>
        <v/>
      </c>
      <c r="AE486" s="87">
        <f>IF($D486="","",IF(OR($M486="Rejected",$M486="Withdrawn"),IF($AB486&lt;&gt;"",$AB486,IF(OR($M486="Rejected",ISNUMBER($C486)),"Applied","Wishlist")),IF($M486="",IF(ISNUMBER($C486),"Applied","Wishlist"),$M486)))</f>
        <v/>
      </c>
      <c r="AF486" s="88">
        <f>IF(AND(ISNUMBER($C486),ISNUMBER($AA486)),$AA486-$C486,"")</f>
        <v/>
      </c>
      <c r="AG486" s="87">
        <f>IF($AE486="","",IFERROR(MATCH($AE486,{"Wishlist","Applied","Screening","Interview 1","Interview 2","Final","Offer","Accepted"},0)-1,""))</f>
        <v/>
      </c>
      <c r="AH486" s="87">
        <f>IF($AC486="","",MATCH($AC486,{"FOLLOW UP REQUIRED","ACTION DUE TODAY","NO RESPONSE","DUE SOON"},0)*100000+IF(ISNUMBER($O486),$O486,IF(ISNUMBER($C486),$C486,0))+ROW()/10000)</f>
        <v/>
      </c>
      <c r="AI486" s="87">
        <f>IF(AND(ISNUMBER($AG486),$AG486&gt;=1,$AG486&lt;=6,$M486&lt;&gt;"Rejected",$M486&lt;&gt;"Withdrawn"),(10-$AG486)*100000+IF(ISNUMBER($C486),$C486,0)+ROW()/10000,"")</f>
        <v/>
      </c>
    </row>
    <row r="487">
      <c r="A487" s="80" t="n"/>
      <c r="B487" s="81" t="n"/>
      <c r="C487" s="81" t="n"/>
      <c r="D487" s="82" t="n"/>
      <c r="E487" s="82" t="n"/>
      <c r="F487" s="82" t="n"/>
      <c r="G487" s="82" t="n"/>
      <c r="H487" s="82" t="n"/>
      <c r="I487" s="83" t="n"/>
      <c r="J487" s="82" t="n"/>
      <c r="K487" s="84" t="n"/>
      <c r="L487" s="85" t="n"/>
      <c r="M487" s="82" t="n"/>
      <c r="N487" s="86" t="n"/>
      <c r="O487" s="81" t="n"/>
      <c r="P487" s="82" t="n"/>
      <c r="Q487" s="83" t="n"/>
      <c r="R487" s="82" t="n"/>
      <c r="S487" s="84" t="n"/>
      <c r="T487" s="84" t="n"/>
      <c r="U487" s="82" t="n"/>
      <c r="V487" s="86" t="n"/>
      <c r="W487" s="86" t="n"/>
      <c r="X487" s="86" t="n"/>
      <c r="Y487" s="81" t="n"/>
      <c r="Z487" s="82" t="n"/>
      <c r="AA487" s="81" t="n"/>
      <c r="AB487" s="82" t="n"/>
      <c r="AC487" s="87">
        <f>IF(OR($D487="",$M487="Rejected",$M487="Withdrawn",$M487="Accepted"),"",IF(ISNUMBER($O487),IF(INT($O487)&lt;TODAY(),"FOLLOW UP REQUIRED",IF(INT($O487)=TODAY(),"ACTION DUE TODAY",IF(INT($O487)-TODAY()&lt;=Set_DueSoonDays,"DUE SOON",""))),IF(AND($M487="Applied",$AA487=""),IF(ISNUMBER($C487),IF(TODAY()-$C487&gt;=Set_FollowUpDays,"NO RESPONSE",""),""),"")))</f>
        <v/>
      </c>
      <c r="AD487" s="87">
        <f>IF(ISNUMBER($L487),IF($L487&gt;=90,"Excellent Match",IF($L487&gt;=75,"Strong Match",IF($L487&gt;=60,"Moderate Match","Low Match"))),"")</f>
        <v/>
      </c>
      <c r="AE487" s="87">
        <f>IF($D487="","",IF(OR($M487="Rejected",$M487="Withdrawn"),IF($AB487&lt;&gt;"",$AB487,IF(OR($M487="Rejected",ISNUMBER($C487)),"Applied","Wishlist")),IF($M487="",IF(ISNUMBER($C487),"Applied","Wishlist"),$M487)))</f>
        <v/>
      </c>
      <c r="AF487" s="88">
        <f>IF(AND(ISNUMBER($C487),ISNUMBER($AA487)),$AA487-$C487,"")</f>
        <v/>
      </c>
      <c r="AG487" s="87">
        <f>IF($AE487="","",IFERROR(MATCH($AE487,{"Wishlist","Applied","Screening","Interview 1","Interview 2","Final","Offer","Accepted"},0)-1,""))</f>
        <v/>
      </c>
      <c r="AH487" s="87">
        <f>IF($AC487="","",MATCH($AC487,{"FOLLOW UP REQUIRED","ACTION DUE TODAY","NO RESPONSE","DUE SOON"},0)*100000+IF(ISNUMBER($O487),$O487,IF(ISNUMBER($C487),$C487,0))+ROW()/10000)</f>
        <v/>
      </c>
      <c r="AI487" s="87">
        <f>IF(AND(ISNUMBER($AG487),$AG487&gt;=1,$AG487&lt;=6,$M487&lt;&gt;"Rejected",$M487&lt;&gt;"Withdrawn"),(10-$AG487)*100000+IF(ISNUMBER($C487),$C487,0)+ROW()/10000,"")</f>
        <v/>
      </c>
    </row>
    <row r="488">
      <c r="A488" s="80" t="n"/>
      <c r="B488" s="81" t="n"/>
      <c r="C488" s="81" t="n"/>
      <c r="D488" s="82" t="n"/>
      <c r="E488" s="82" t="n"/>
      <c r="F488" s="82" t="n"/>
      <c r="G488" s="82" t="n"/>
      <c r="H488" s="82" t="n"/>
      <c r="I488" s="83" t="n"/>
      <c r="J488" s="82" t="n"/>
      <c r="K488" s="84" t="n"/>
      <c r="L488" s="85" t="n"/>
      <c r="M488" s="82" t="n"/>
      <c r="N488" s="86" t="n"/>
      <c r="O488" s="81" t="n"/>
      <c r="P488" s="82" t="n"/>
      <c r="Q488" s="83" t="n"/>
      <c r="R488" s="82" t="n"/>
      <c r="S488" s="84" t="n"/>
      <c r="T488" s="84" t="n"/>
      <c r="U488" s="82" t="n"/>
      <c r="V488" s="86" t="n"/>
      <c r="W488" s="86" t="n"/>
      <c r="X488" s="86" t="n"/>
      <c r="Y488" s="81" t="n"/>
      <c r="Z488" s="82" t="n"/>
      <c r="AA488" s="81" t="n"/>
      <c r="AB488" s="82" t="n"/>
      <c r="AC488" s="87">
        <f>IF(OR($D488="",$M488="Rejected",$M488="Withdrawn",$M488="Accepted"),"",IF(ISNUMBER($O488),IF(INT($O488)&lt;TODAY(),"FOLLOW UP REQUIRED",IF(INT($O488)=TODAY(),"ACTION DUE TODAY",IF(INT($O488)-TODAY()&lt;=Set_DueSoonDays,"DUE SOON",""))),IF(AND($M488="Applied",$AA488=""),IF(ISNUMBER($C488),IF(TODAY()-$C488&gt;=Set_FollowUpDays,"NO RESPONSE",""),""),"")))</f>
        <v/>
      </c>
      <c r="AD488" s="87">
        <f>IF(ISNUMBER($L488),IF($L488&gt;=90,"Excellent Match",IF($L488&gt;=75,"Strong Match",IF($L488&gt;=60,"Moderate Match","Low Match"))),"")</f>
        <v/>
      </c>
      <c r="AE488" s="87">
        <f>IF($D488="","",IF(OR($M488="Rejected",$M488="Withdrawn"),IF($AB488&lt;&gt;"",$AB488,IF(OR($M488="Rejected",ISNUMBER($C488)),"Applied","Wishlist")),IF($M488="",IF(ISNUMBER($C488),"Applied","Wishlist"),$M488)))</f>
        <v/>
      </c>
      <c r="AF488" s="88">
        <f>IF(AND(ISNUMBER($C488),ISNUMBER($AA488)),$AA488-$C488,"")</f>
        <v/>
      </c>
      <c r="AG488" s="87">
        <f>IF($AE488="","",IFERROR(MATCH($AE488,{"Wishlist","Applied","Screening","Interview 1","Interview 2","Final","Offer","Accepted"},0)-1,""))</f>
        <v/>
      </c>
      <c r="AH488" s="87">
        <f>IF($AC488="","",MATCH($AC488,{"FOLLOW UP REQUIRED","ACTION DUE TODAY","NO RESPONSE","DUE SOON"},0)*100000+IF(ISNUMBER($O488),$O488,IF(ISNUMBER($C488),$C488,0))+ROW()/10000)</f>
        <v/>
      </c>
      <c r="AI488" s="87">
        <f>IF(AND(ISNUMBER($AG488),$AG488&gt;=1,$AG488&lt;=6,$M488&lt;&gt;"Rejected",$M488&lt;&gt;"Withdrawn"),(10-$AG488)*100000+IF(ISNUMBER($C488),$C488,0)+ROW()/10000,"")</f>
        <v/>
      </c>
    </row>
    <row r="489">
      <c r="A489" s="80" t="n"/>
      <c r="B489" s="81" t="n"/>
      <c r="C489" s="81" t="n"/>
      <c r="D489" s="82" t="n"/>
      <c r="E489" s="82" t="n"/>
      <c r="F489" s="82" t="n"/>
      <c r="G489" s="82" t="n"/>
      <c r="H489" s="82" t="n"/>
      <c r="I489" s="83" t="n"/>
      <c r="J489" s="82" t="n"/>
      <c r="K489" s="84" t="n"/>
      <c r="L489" s="85" t="n"/>
      <c r="M489" s="82" t="n"/>
      <c r="N489" s="86" t="n"/>
      <c r="O489" s="81" t="n"/>
      <c r="P489" s="82" t="n"/>
      <c r="Q489" s="83" t="n"/>
      <c r="R489" s="82" t="n"/>
      <c r="S489" s="84" t="n"/>
      <c r="T489" s="84" t="n"/>
      <c r="U489" s="82" t="n"/>
      <c r="V489" s="86" t="n"/>
      <c r="W489" s="86" t="n"/>
      <c r="X489" s="86" t="n"/>
      <c r="Y489" s="81" t="n"/>
      <c r="Z489" s="82" t="n"/>
      <c r="AA489" s="81" t="n"/>
      <c r="AB489" s="82" t="n"/>
      <c r="AC489" s="87">
        <f>IF(OR($D489="",$M489="Rejected",$M489="Withdrawn",$M489="Accepted"),"",IF(ISNUMBER($O489),IF(INT($O489)&lt;TODAY(),"FOLLOW UP REQUIRED",IF(INT($O489)=TODAY(),"ACTION DUE TODAY",IF(INT($O489)-TODAY()&lt;=Set_DueSoonDays,"DUE SOON",""))),IF(AND($M489="Applied",$AA489=""),IF(ISNUMBER($C489),IF(TODAY()-$C489&gt;=Set_FollowUpDays,"NO RESPONSE",""),""),"")))</f>
        <v/>
      </c>
      <c r="AD489" s="87">
        <f>IF(ISNUMBER($L489),IF($L489&gt;=90,"Excellent Match",IF($L489&gt;=75,"Strong Match",IF($L489&gt;=60,"Moderate Match","Low Match"))),"")</f>
        <v/>
      </c>
      <c r="AE489" s="87">
        <f>IF($D489="","",IF(OR($M489="Rejected",$M489="Withdrawn"),IF($AB489&lt;&gt;"",$AB489,IF(OR($M489="Rejected",ISNUMBER($C489)),"Applied","Wishlist")),IF($M489="",IF(ISNUMBER($C489),"Applied","Wishlist"),$M489)))</f>
        <v/>
      </c>
      <c r="AF489" s="88">
        <f>IF(AND(ISNUMBER($C489),ISNUMBER($AA489)),$AA489-$C489,"")</f>
        <v/>
      </c>
      <c r="AG489" s="87">
        <f>IF($AE489="","",IFERROR(MATCH($AE489,{"Wishlist","Applied","Screening","Interview 1","Interview 2","Final","Offer","Accepted"},0)-1,""))</f>
        <v/>
      </c>
      <c r="AH489" s="87">
        <f>IF($AC489="","",MATCH($AC489,{"FOLLOW UP REQUIRED","ACTION DUE TODAY","NO RESPONSE","DUE SOON"},0)*100000+IF(ISNUMBER($O489),$O489,IF(ISNUMBER($C489),$C489,0))+ROW()/10000)</f>
        <v/>
      </c>
      <c r="AI489" s="87">
        <f>IF(AND(ISNUMBER($AG489),$AG489&gt;=1,$AG489&lt;=6,$M489&lt;&gt;"Rejected",$M489&lt;&gt;"Withdrawn"),(10-$AG489)*100000+IF(ISNUMBER($C489),$C489,0)+ROW()/10000,"")</f>
        <v/>
      </c>
    </row>
    <row r="490">
      <c r="A490" s="80" t="n"/>
      <c r="B490" s="81" t="n"/>
      <c r="C490" s="81" t="n"/>
      <c r="D490" s="82" t="n"/>
      <c r="E490" s="82" t="n"/>
      <c r="F490" s="82" t="n"/>
      <c r="G490" s="82" t="n"/>
      <c r="H490" s="82" t="n"/>
      <c r="I490" s="83" t="n"/>
      <c r="J490" s="82" t="n"/>
      <c r="K490" s="84" t="n"/>
      <c r="L490" s="85" t="n"/>
      <c r="M490" s="82" t="n"/>
      <c r="N490" s="86" t="n"/>
      <c r="O490" s="81" t="n"/>
      <c r="P490" s="82" t="n"/>
      <c r="Q490" s="83" t="n"/>
      <c r="R490" s="82" t="n"/>
      <c r="S490" s="84" t="n"/>
      <c r="T490" s="84" t="n"/>
      <c r="U490" s="82" t="n"/>
      <c r="V490" s="86" t="n"/>
      <c r="W490" s="86" t="n"/>
      <c r="X490" s="86" t="n"/>
      <c r="Y490" s="81" t="n"/>
      <c r="Z490" s="82" t="n"/>
      <c r="AA490" s="81" t="n"/>
      <c r="AB490" s="82" t="n"/>
      <c r="AC490" s="87">
        <f>IF(OR($D490="",$M490="Rejected",$M490="Withdrawn",$M490="Accepted"),"",IF(ISNUMBER($O490),IF(INT($O490)&lt;TODAY(),"FOLLOW UP REQUIRED",IF(INT($O490)=TODAY(),"ACTION DUE TODAY",IF(INT($O490)-TODAY()&lt;=Set_DueSoonDays,"DUE SOON",""))),IF(AND($M490="Applied",$AA490=""),IF(ISNUMBER($C490),IF(TODAY()-$C490&gt;=Set_FollowUpDays,"NO RESPONSE",""),""),"")))</f>
        <v/>
      </c>
      <c r="AD490" s="87">
        <f>IF(ISNUMBER($L490),IF($L490&gt;=90,"Excellent Match",IF($L490&gt;=75,"Strong Match",IF($L490&gt;=60,"Moderate Match","Low Match"))),"")</f>
        <v/>
      </c>
      <c r="AE490" s="87">
        <f>IF($D490="","",IF(OR($M490="Rejected",$M490="Withdrawn"),IF($AB490&lt;&gt;"",$AB490,IF(OR($M490="Rejected",ISNUMBER($C490)),"Applied","Wishlist")),IF($M490="",IF(ISNUMBER($C490),"Applied","Wishlist"),$M490)))</f>
        <v/>
      </c>
      <c r="AF490" s="88">
        <f>IF(AND(ISNUMBER($C490),ISNUMBER($AA490)),$AA490-$C490,"")</f>
        <v/>
      </c>
      <c r="AG490" s="87">
        <f>IF($AE490="","",IFERROR(MATCH($AE490,{"Wishlist","Applied","Screening","Interview 1","Interview 2","Final","Offer","Accepted"},0)-1,""))</f>
        <v/>
      </c>
      <c r="AH490" s="87">
        <f>IF($AC490="","",MATCH($AC490,{"FOLLOW UP REQUIRED","ACTION DUE TODAY","NO RESPONSE","DUE SOON"},0)*100000+IF(ISNUMBER($O490),$O490,IF(ISNUMBER($C490),$C490,0))+ROW()/10000)</f>
        <v/>
      </c>
      <c r="AI490" s="87">
        <f>IF(AND(ISNUMBER($AG490),$AG490&gt;=1,$AG490&lt;=6,$M490&lt;&gt;"Rejected",$M490&lt;&gt;"Withdrawn"),(10-$AG490)*100000+IF(ISNUMBER($C490),$C490,0)+ROW()/10000,"")</f>
        <v/>
      </c>
    </row>
    <row r="491">
      <c r="A491" s="80" t="n"/>
      <c r="B491" s="81" t="n"/>
      <c r="C491" s="81" t="n"/>
      <c r="D491" s="82" t="n"/>
      <c r="E491" s="82" t="n"/>
      <c r="F491" s="82" t="n"/>
      <c r="G491" s="82" t="n"/>
      <c r="H491" s="82" t="n"/>
      <c r="I491" s="83" t="n"/>
      <c r="J491" s="82" t="n"/>
      <c r="K491" s="84" t="n"/>
      <c r="L491" s="85" t="n"/>
      <c r="M491" s="82" t="n"/>
      <c r="N491" s="86" t="n"/>
      <c r="O491" s="81" t="n"/>
      <c r="P491" s="82" t="n"/>
      <c r="Q491" s="83" t="n"/>
      <c r="R491" s="82" t="n"/>
      <c r="S491" s="84" t="n"/>
      <c r="T491" s="84" t="n"/>
      <c r="U491" s="82" t="n"/>
      <c r="V491" s="86" t="n"/>
      <c r="W491" s="86" t="n"/>
      <c r="X491" s="86" t="n"/>
      <c r="Y491" s="81" t="n"/>
      <c r="Z491" s="82" t="n"/>
      <c r="AA491" s="81" t="n"/>
      <c r="AB491" s="82" t="n"/>
      <c r="AC491" s="87">
        <f>IF(OR($D491="",$M491="Rejected",$M491="Withdrawn",$M491="Accepted"),"",IF(ISNUMBER($O491),IF(INT($O491)&lt;TODAY(),"FOLLOW UP REQUIRED",IF(INT($O491)=TODAY(),"ACTION DUE TODAY",IF(INT($O491)-TODAY()&lt;=Set_DueSoonDays,"DUE SOON",""))),IF(AND($M491="Applied",$AA491=""),IF(ISNUMBER($C491),IF(TODAY()-$C491&gt;=Set_FollowUpDays,"NO RESPONSE",""),""),"")))</f>
        <v/>
      </c>
      <c r="AD491" s="87">
        <f>IF(ISNUMBER($L491),IF($L491&gt;=90,"Excellent Match",IF($L491&gt;=75,"Strong Match",IF($L491&gt;=60,"Moderate Match","Low Match"))),"")</f>
        <v/>
      </c>
      <c r="AE491" s="87">
        <f>IF($D491="","",IF(OR($M491="Rejected",$M491="Withdrawn"),IF($AB491&lt;&gt;"",$AB491,IF(OR($M491="Rejected",ISNUMBER($C491)),"Applied","Wishlist")),IF($M491="",IF(ISNUMBER($C491),"Applied","Wishlist"),$M491)))</f>
        <v/>
      </c>
      <c r="AF491" s="88">
        <f>IF(AND(ISNUMBER($C491),ISNUMBER($AA491)),$AA491-$C491,"")</f>
        <v/>
      </c>
      <c r="AG491" s="87">
        <f>IF($AE491="","",IFERROR(MATCH($AE491,{"Wishlist","Applied","Screening","Interview 1","Interview 2","Final","Offer","Accepted"},0)-1,""))</f>
        <v/>
      </c>
      <c r="AH491" s="87">
        <f>IF($AC491="","",MATCH($AC491,{"FOLLOW UP REQUIRED","ACTION DUE TODAY","NO RESPONSE","DUE SOON"},0)*100000+IF(ISNUMBER($O491),$O491,IF(ISNUMBER($C491),$C491,0))+ROW()/10000)</f>
        <v/>
      </c>
      <c r="AI491" s="87">
        <f>IF(AND(ISNUMBER($AG491),$AG491&gt;=1,$AG491&lt;=6,$M491&lt;&gt;"Rejected",$M491&lt;&gt;"Withdrawn"),(10-$AG491)*100000+IF(ISNUMBER($C491),$C491,0)+ROW()/10000,"")</f>
        <v/>
      </c>
    </row>
    <row r="492">
      <c r="A492" s="80" t="n"/>
      <c r="B492" s="81" t="n"/>
      <c r="C492" s="81" t="n"/>
      <c r="D492" s="82" t="n"/>
      <c r="E492" s="82" t="n"/>
      <c r="F492" s="82" t="n"/>
      <c r="G492" s="82" t="n"/>
      <c r="H492" s="82" t="n"/>
      <c r="I492" s="83" t="n"/>
      <c r="J492" s="82" t="n"/>
      <c r="K492" s="84" t="n"/>
      <c r="L492" s="85" t="n"/>
      <c r="M492" s="82" t="n"/>
      <c r="N492" s="86" t="n"/>
      <c r="O492" s="81" t="n"/>
      <c r="P492" s="82" t="n"/>
      <c r="Q492" s="83" t="n"/>
      <c r="R492" s="82" t="n"/>
      <c r="S492" s="84" t="n"/>
      <c r="T492" s="84" t="n"/>
      <c r="U492" s="82" t="n"/>
      <c r="V492" s="86" t="n"/>
      <c r="W492" s="86" t="n"/>
      <c r="X492" s="86" t="n"/>
      <c r="Y492" s="81" t="n"/>
      <c r="Z492" s="82" t="n"/>
      <c r="AA492" s="81" t="n"/>
      <c r="AB492" s="82" t="n"/>
      <c r="AC492" s="87">
        <f>IF(OR($D492="",$M492="Rejected",$M492="Withdrawn",$M492="Accepted"),"",IF(ISNUMBER($O492),IF(INT($O492)&lt;TODAY(),"FOLLOW UP REQUIRED",IF(INT($O492)=TODAY(),"ACTION DUE TODAY",IF(INT($O492)-TODAY()&lt;=Set_DueSoonDays,"DUE SOON",""))),IF(AND($M492="Applied",$AA492=""),IF(ISNUMBER($C492),IF(TODAY()-$C492&gt;=Set_FollowUpDays,"NO RESPONSE",""),""),"")))</f>
        <v/>
      </c>
      <c r="AD492" s="87">
        <f>IF(ISNUMBER($L492),IF($L492&gt;=90,"Excellent Match",IF($L492&gt;=75,"Strong Match",IF($L492&gt;=60,"Moderate Match","Low Match"))),"")</f>
        <v/>
      </c>
      <c r="AE492" s="87">
        <f>IF($D492="","",IF(OR($M492="Rejected",$M492="Withdrawn"),IF($AB492&lt;&gt;"",$AB492,IF(OR($M492="Rejected",ISNUMBER($C492)),"Applied","Wishlist")),IF($M492="",IF(ISNUMBER($C492),"Applied","Wishlist"),$M492)))</f>
        <v/>
      </c>
      <c r="AF492" s="88">
        <f>IF(AND(ISNUMBER($C492),ISNUMBER($AA492)),$AA492-$C492,"")</f>
        <v/>
      </c>
      <c r="AG492" s="87">
        <f>IF($AE492="","",IFERROR(MATCH($AE492,{"Wishlist","Applied","Screening","Interview 1","Interview 2","Final","Offer","Accepted"},0)-1,""))</f>
        <v/>
      </c>
      <c r="AH492" s="87">
        <f>IF($AC492="","",MATCH($AC492,{"FOLLOW UP REQUIRED","ACTION DUE TODAY","NO RESPONSE","DUE SOON"},0)*100000+IF(ISNUMBER($O492),$O492,IF(ISNUMBER($C492),$C492,0))+ROW()/10000)</f>
        <v/>
      </c>
      <c r="AI492" s="87">
        <f>IF(AND(ISNUMBER($AG492),$AG492&gt;=1,$AG492&lt;=6,$M492&lt;&gt;"Rejected",$M492&lt;&gt;"Withdrawn"),(10-$AG492)*100000+IF(ISNUMBER($C492),$C492,0)+ROW()/10000,"")</f>
        <v/>
      </c>
    </row>
    <row r="493">
      <c r="A493" s="80" t="n"/>
      <c r="B493" s="81" t="n"/>
      <c r="C493" s="81" t="n"/>
      <c r="D493" s="82" t="n"/>
      <c r="E493" s="82" t="n"/>
      <c r="F493" s="82" t="n"/>
      <c r="G493" s="82" t="n"/>
      <c r="H493" s="82" t="n"/>
      <c r="I493" s="83" t="n"/>
      <c r="J493" s="82" t="n"/>
      <c r="K493" s="84" t="n"/>
      <c r="L493" s="85" t="n"/>
      <c r="M493" s="82" t="n"/>
      <c r="N493" s="86" t="n"/>
      <c r="O493" s="81" t="n"/>
      <c r="P493" s="82" t="n"/>
      <c r="Q493" s="83" t="n"/>
      <c r="R493" s="82" t="n"/>
      <c r="S493" s="84" t="n"/>
      <c r="T493" s="84" t="n"/>
      <c r="U493" s="82" t="n"/>
      <c r="V493" s="86" t="n"/>
      <c r="W493" s="86" t="n"/>
      <c r="X493" s="86" t="n"/>
      <c r="Y493" s="81" t="n"/>
      <c r="Z493" s="82" t="n"/>
      <c r="AA493" s="81" t="n"/>
      <c r="AB493" s="82" t="n"/>
      <c r="AC493" s="87">
        <f>IF(OR($D493="",$M493="Rejected",$M493="Withdrawn",$M493="Accepted"),"",IF(ISNUMBER($O493),IF(INT($O493)&lt;TODAY(),"FOLLOW UP REQUIRED",IF(INT($O493)=TODAY(),"ACTION DUE TODAY",IF(INT($O493)-TODAY()&lt;=Set_DueSoonDays,"DUE SOON",""))),IF(AND($M493="Applied",$AA493=""),IF(ISNUMBER($C493),IF(TODAY()-$C493&gt;=Set_FollowUpDays,"NO RESPONSE",""),""),"")))</f>
        <v/>
      </c>
      <c r="AD493" s="87">
        <f>IF(ISNUMBER($L493),IF($L493&gt;=90,"Excellent Match",IF($L493&gt;=75,"Strong Match",IF($L493&gt;=60,"Moderate Match","Low Match"))),"")</f>
        <v/>
      </c>
      <c r="AE493" s="87">
        <f>IF($D493="","",IF(OR($M493="Rejected",$M493="Withdrawn"),IF($AB493&lt;&gt;"",$AB493,IF(OR($M493="Rejected",ISNUMBER($C493)),"Applied","Wishlist")),IF($M493="",IF(ISNUMBER($C493),"Applied","Wishlist"),$M493)))</f>
        <v/>
      </c>
      <c r="AF493" s="88">
        <f>IF(AND(ISNUMBER($C493),ISNUMBER($AA493)),$AA493-$C493,"")</f>
        <v/>
      </c>
      <c r="AG493" s="87">
        <f>IF($AE493="","",IFERROR(MATCH($AE493,{"Wishlist","Applied","Screening","Interview 1","Interview 2","Final","Offer","Accepted"},0)-1,""))</f>
        <v/>
      </c>
      <c r="AH493" s="87">
        <f>IF($AC493="","",MATCH($AC493,{"FOLLOW UP REQUIRED","ACTION DUE TODAY","NO RESPONSE","DUE SOON"},0)*100000+IF(ISNUMBER($O493),$O493,IF(ISNUMBER($C493),$C493,0))+ROW()/10000)</f>
        <v/>
      </c>
      <c r="AI493" s="87">
        <f>IF(AND(ISNUMBER($AG493),$AG493&gt;=1,$AG493&lt;=6,$M493&lt;&gt;"Rejected",$M493&lt;&gt;"Withdrawn"),(10-$AG493)*100000+IF(ISNUMBER($C493),$C493,0)+ROW()/10000,"")</f>
        <v/>
      </c>
    </row>
    <row r="494">
      <c r="A494" s="80" t="n"/>
      <c r="B494" s="81" t="n"/>
      <c r="C494" s="81" t="n"/>
      <c r="D494" s="82" t="n"/>
      <c r="E494" s="82" t="n"/>
      <c r="F494" s="82" t="n"/>
      <c r="G494" s="82" t="n"/>
      <c r="H494" s="82" t="n"/>
      <c r="I494" s="83" t="n"/>
      <c r="J494" s="82" t="n"/>
      <c r="K494" s="84" t="n"/>
      <c r="L494" s="85" t="n"/>
      <c r="M494" s="82" t="n"/>
      <c r="N494" s="86" t="n"/>
      <c r="O494" s="81" t="n"/>
      <c r="P494" s="82" t="n"/>
      <c r="Q494" s="83" t="n"/>
      <c r="R494" s="82" t="n"/>
      <c r="S494" s="84" t="n"/>
      <c r="T494" s="84" t="n"/>
      <c r="U494" s="82" t="n"/>
      <c r="V494" s="86" t="n"/>
      <c r="W494" s="86" t="n"/>
      <c r="X494" s="86" t="n"/>
      <c r="Y494" s="81" t="n"/>
      <c r="Z494" s="82" t="n"/>
      <c r="AA494" s="81" t="n"/>
      <c r="AB494" s="82" t="n"/>
      <c r="AC494" s="87">
        <f>IF(OR($D494="",$M494="Rejected",$M494="Withdrawn",$M494="Accepted"),"",IF(ISNUMBER($O494),IF(INT($O494)&lt;TODAY(),"FOLLOW UP REQUIRED",IF(INT($O494)=TODAY(),"ACTION DUE TODAY",IF(INT($O494)-TODAY()&lt;=Set_DueSoonDays,"DUE SOON",""))),IF(AND($M494="Applied",$AA494=""),IF(ISNUMBER($C494),IF(TODAY()-$C494&gt;=Set_FollowUpDays,"NO RESPONSE",""),""),"")))</f>
        <v/>
      </c>
      <c r="AD494" s="87">
        <f>IF(ISNUMBER($L494),IF($L494&gt;=90,"Excellent Match",IF($L494&gt;=75,"Strong Match",IF($L494&gt;=60,"Moderate Match","Low Match"))),"")</f>
        <v/>
      </c>
      <c r="AE494" s="87">
        <f>IF($D494="","",IF(OR($M494="Rejected",$M494="Withdrawn"),IF($AB494&lt;&gt;"",$AB494,IF(OR($M494="Rejected",ISNUMBER($C494)),"Applied","Wishlist")),IF($M494="",IF(ISNUMBER($C494),"Applied","Wishlist"),$M494)))</f>
        <v/>
      </c>
      <c r="AF494" s="88">
        <f>IF(AND(ISNUMBER($C494),ISNUMBER($AA494)),$AA494-$C494,"")</f>
        <v/>
      </c>
      <c r="AG494" s="87">
        <f>IF($AE494="","",IFERROR(MATCH($AE494,{"Wishlist","Applied","Screening","Interview 1","Interview 2","Final","Offer","Accepted"},0)-1,""))</f>
        <v/>
      </c>
      <c r="AH494" s="87">
        <f>IF($AC494="","",MATCH($AC494,{"FOLLOW UP REQUIRED","ACTION DUE TODAY","NO RESPONSE","DUE SOON"},0)*100000+IF(ISNUMBER($O494),$O494,IF(ISNUMBER($C494),$C494,0))+ROW()/10000)</f>
        <v/>
      </c>
      <c r="AI494" s="87">
        <f>IF(AND(ISNUMBER($AG494),$AG494&gt;=1,$AG494&lt;=6,$M494&lt;&gt;"Rejected",$M494&lt;&gt;"Withdrawn"),(10-$AG494)*100000+IF(ISNUMBER($C494),$C494,0)+ROW()/10000,"")</f>
        <v/>
      </c>
    </row>
    <row r="495">
      <c r="A495" s="80" t="n"/>
      <c r="B495" s="81" t="n"/>
      <c r="C495" s="81" t="n"/>
      <c r="D495" s="82" t="n"/>
      <c r="E495" s="82" t="n"/>
      <c r="F495" s="82" t="n"/>
      <c r="G495" s="82" t="n"/>
      <c r="H495" s="82" t="n"/>
      <c r="I495" s="83" t="n"/>
      <c r="J495" s="82" t="n"/>
      <c r="K495" s="84" t="n"/>
      <c r="L495" s="85" t="n"/>
      <c r="M495" s="82" t="n"/>
      <c r="N495" s="86" t="n"/>
      <c r="O495" s="81" t="n"/>
      <c r="P495" s="82" t="n"/>
      <c r="Q495" s="83" t="n"/>
      <c r="R495" s="82" t="n"/>
      <c r="S495" s="84" t="n"/>
      <c r="T495" s="84" t="n"/>
      <c r="U495" s="82" t="n"/>
      <c r="V495" s="86" t="n"/>
      <c r="W495" s="86" t="n"/>
      <c r="X495" s="86" t="n"/>
      <c r="Y495" s="81" t="n"/>
      <c r="Z495" s="82" t="n"/>
      <c r="AA495" s="81" t="n"/>
      <c r="AB495" s="82" t="n"/>
      <c r="AC495" s="87">
        <f>IF(OR($D495="",$M495="Rejected",$M495="Withdrawn",$M495="Accepted"),"",IF(ISNUMBER($O495),IF(INT($O495)&lt;TODAY(),"FOLLOW UP REQUIRED",IF(INT($O495)=TODAY(),"ACTION DUE TODAY",IF(INT($O495)-TODAY()&lt;=Set_DueSoonDays,"DUE SOON",""))),IF(AND($M495="Applied",$AA495=""),IF(ISNUMBER($C495),IF(TODAY()-$C495&gt;=Set_FollowUpDays,"NO RESPONSE",""),""),"")))</f>
        <v/>
      </c>
      <c r="AD495" s="87">
        <f>IF(ISNUMBER($L495),IF($L495&gt;=90,"Excellent Match",IF($L495&gt;=75,"Strong Match",IF($L495&gt;=60,"Moderate Match","Low Match"))),"")</f>
        <v/>
      </c>
      <c r="AE495" s="87">
        <f>IF($D495="","",IF(OR($M495="Rejected",$M495="Withdrawn"),IF($AB495&lt;&gt;"",$AB495,IF(OR($M495="Rejected",ISNUMBER($C495)),"Applied","Wishlist")),IF($M495="",IF(ISNUMBER($C495),"Applied","Wishlist"),$M495)))</f>
        <v/>
      </c>
      <c r="AF495" s="88">
        <f>IF(AND(ISNUMBER($C495),ISNUMBER($AA495)),$AA495-$C495,"")</f>
        <v/>
      </c>
      <c r="AG495" s="87">
        <f>IF($AE495="","",IFERROR(MATCH($AE495,{"Wishlist","Applied","Screening","Interview 1","Interview 2","Final","Offer","Accepted"},0)-1,""))</f>
        <v/>
      </c>
      <c r="AH495" s="87">
        <f>IF($AC495="","",MATCH($AC495,{"FOLLOW UP REQUIRED","ACTION DUE TODAY","NO RESPONSE","DUE SOON"},0)*100000+IF(ISNUMBER($O495),$O495,IF(ISNUMBER($C495),$C495,0))+ROW()/10000)</f>
        <v/>
      </c>
      <c r="AI495" s="87">
        <f>IF(AND(ISNUMBER($AG495),$AG495&gt;=1,$AG495&lt;=6,$M495&lt;&gt;"Rejected",$M495&lt;&gt;"Withdrawn"),(10-$AG495)*100000+IF(ISNUMBER($C495),$C495,0)+ROW()/10000,"")</f>
        <v/>
      </c>
    </row>
    <row r="496">
      <c r="A496" s="80" t="n"/>
      <c r="B496" s="81" t="n"/>
      <c r="C496" s="81" t="n"/>
      <c r="D496" s="82" t="n"/>
      <c r="E496" s="82" t="n"/>
      <c r="F496" s="82" t="n"/>
      <c r="G496" s="82" t="n"/>
      <c r="H496" s="82" t="n"/>
      <c r="I496" s="83" t="n"/>
      <c r="J496" s="82" t="n"/>
      <c r="K496" s="84" t="n"/>
      <c r="L496" s="85" t="n"/>
      <c r="M496" s="82" t="n"/>
      <c r="N496" s="86" t="n"/>
      <c r="O496" s="81" t="n"/>
      <c r="P496" s="82" t="n"/>
      <c r="Q496" s="83" t="n"/>
      <c r="R496" s="82" t="n"/>
      <c r="S496" s="84" t="n"/>
      <c r="T496" s="84" t="n"/>
      <c r="U496" s="82" t="n"/>
      <c r="V496" s="86" t="n"/>
      <c r="W496" s="86" t="n"/>
      <c r="X496" s="86" t="n"/>
      <c r="Y496" s="81" t="n"/>
      <c r="Z496" s="82" t="n"/>
      <c r="AA496" s="81" t="n"/>
      <c r="AB496" s="82" t="n"/>
      <c r="AC496" s="87">
        <f>IF(OR($D496="",$M496="Rejected",$M496="Withdrawn",$M496="Accepted"),"",IF(ISNUMBER($O496),IF(INT($O496)&lt;TODAY(),"FOLLOW UP REQUIRED",IF(INT($O496)=TODAY(),"ACTION DUE TODAY",IF(INT($O496)-TODAY()&lt;=Set_DueSoonDays,"DUE SOON",""))),IF(AND($M496="Applied",$AA496=""),IF(ISNUMBER($C496),IF(TODAY()-$C496&gt;=Set_FollowUpDays,"NO RESPONSE",""),""),"")))</f>
        <v/>
      </c>
      <c r="AD496" s="87">
        <f>IF(ISNUMBER($L496),IF($L496&gt;=90,"Excellent Match",IF($L496&gt;=75,"Strong Match",IF($L496&gt;=60,"Moderate Match","Low Match"))),"")</f>
        <v/>
      </c>
      <c r="AE496" s="87">
        <f>IF($D496="","",IF(OR($M496="Rejected",$M496="Withdrawn"),IF($AB496&lt;&gt;"",$AB496,IF(OR($M496="Rejected",ISNUMBER($C496)),"Applied","Wishlist")),IF($M496="",IF(ISNUMBER($C496),"Applied","Wishlist"),$M496)))</f>
        <v/>
      </c>
      <c r="AF496" s="88">
        <f>IF(AND(ISNUMBER($C496),ISNUMBER($AA496)),$AA496-$C496,"")</f>
        <v/>
      </c>
      <c r="AG496" s="87">
        <f>IF($AE496="","",IFERROR(MATCH($AE496,{"Wishlist","Applied","Screening","Interview 1","Interview 2","Final","Offer","Accepted"},0)-1,""))</f>
        <v/>
      </c>
      <c r="AH496" s="87">
        <f>IF($AC496="","",MATCH($AC496,{"FOLLOW UP REQUIRED","ACTION DUE TODAY","NO RESPONSE","DUE SOON"},0)*100000+IF(ISNUMBER($O496),$O496,IF(ISNUMBER($C496),$C496,0))+ROW()/10000)</f>
        <v/>
      </c>
      <c r="AI496" s="87">
        <f>IF(AND(ISNUMBER($AG496),$AG496&gt;=1,$AG496&lt;=6,$M496&lt;&gt;"Rejected",$M496&lt;&gt;"Withdrawn"),(10-$AG496)*100000+IF(ISNUMBER($C496),$C496,0)+ROW()/10000,"")</f>
        <v/>
      </c>
    </row>
    <row r="497">
      <c r="A497" s="80" t="n"/>
      <c r="B497" s="81" t="n"/>
      <c r="C497" s="81" t="n"/>
      <c r="D497" s="82" t="n"/>
      <c r="E497" s="82" t="n"/>
      <c r="F497" s="82" t="n"/>
      <c r="G497" s="82" t="n"/>
      <c r="H497" s="82" t="n"/>
      <c r="I497" s="83" t="n"/>
      <c r="J497" s="82" t="n"/>
      <c r="K497" s="84" t="n"/>
      <c r="L497" s="85" t="n"/>
      <c r="M497" s="82" t="n"/>
      <c r="N497" s="86" t="n"/>
      <c r="O497" s="81" t="n"/>
      <c r="P497" s="82" t="n"/>
      <c r="Q497" s="83" t="n"/>
      <c r="R497" s="82" t="n"/>
      <c r="S497" s="84" t="n"/>
      <c r="T497" s="84" t="n"/>
      <c r="U497" s="82" t="n"/>
      <c r="V497" s="86" t="n"/>
      <c r="W497" s="86" t="n"/>
      <c r="X497" s="86" t="n"/>
      <c r="Y497" s="81" t="n"/>
      <c r="Z497" s="82" t="n"/>
      <c r="AA497" s="81" t="n"/>
      <c r="AB497" s="82" t="n"/>
      <c r="AC497" s="87">
        <f>IF(OR($D497="",$M497="Rejected",$M497="Withdrawn",$M497="Accepted"),"",IF(ISNUMBER($O497),IF(INT($O497)&lt;TODAY(),"FOLLOW UP REQUIRED",IF(INT($O497)=TODAY(),"ACTION DUE TODAY",IF(INT($O497)-TODAY()&lt;=Set_DueSoonDays,"DUE SOON",""))),IF(AND($M497="Applied",$AA497=""),IF(ISNUMBER($C497),IF(TODAY()-$C497&gt;=Set_FollowUpDays,"NO RESPONSE",""),""),"")))</f>
        <v/>
      </c>
      <c r="AD497" s="87">
        <f>IF(ISNUMBER($L497),IF($L497&gt;=90,"Excellent Match",IF($L497&gt;=75,"Strong Match",IF($L497&gt;=60,"Moderate Match","Low Match"))),"")</f>
        <v/>
      </c>
      <c r="AE497" s="87">
        <f>IF($D497="","",IF(OR($M497="Rejected",$M497="Withdrawn"),IF($AB497&lt;&gt;"",$AB497,IF(OR($M497="Rejected",ISNUMBER($C497)),"Applied","Wishlist")),IF($M497="",IF(ISNUMBER($C497),"Applied","Wishlist"),$M497)))</f>
        <v/>
      </c>
      <c r="AF497" s="88">
        <f>IF(AND(ISNUMBER($C497),ISNUMBER($AA497)),$AA497-$C497,"")</f>
        <v/>
      </c>
      <c r="AG497" s="87">
        <f>IF($AE497="","",IFERROR(MATCH($AE497,{"Wishlist","Applied","Screening","Interview 1","Interview 2","Final","Offer","Accepted"},0)-1,""))</f>
        <v/>
      </c>
      <c r="AH497" s="87">
        <f>IF($AC497="","",MATCH($AC497,{"FOLLOW UP REQUIRED","ACTION DUE TODAY","NO RESPONSE","DUE SOON"},0)*100000+IF(ISNUMBER($O497),$O497,IF(ISNUMBER($C497),$C497,0))+ROW()/10000)</f>
        <v/>
      </c>
      <c r="AI497" s="87">
        <f>IF(AND(ISNUMBER($AG497),$AG497&gt;=1,$AG497&lt;=6,$M497&lt;&gt;"Rejected",$M497&lt;&gt;"Withdrawn"),(10-$AG497)*100000+IF(ISNUMBER($C497),$C497,0)+ROW()/10000,"")</f>
        <v/>
      </c>
    </row>
    <row r="498">
      <c r="A498" s="80" t="n"/>
      <c r="B498" s="81" t="n"/>
      <c r="C498" s="81" t="n"/>
      <c r="D498" s="82" t="n"/>
      <c r="E498" s="82" t="n"/>
      <c r="F498" s="82" t="n"/>
      <c r="G498" s="82" t="n"/>
      <c r="H498" s="82" t="n"/>
      <c r="I498" s="83" t="n"/>
      <c r="J498" s="82" t="n"/>
      <c r="K498" s="84" t="n"/>
      <c r="L498" s="85" t="n"/>
      <c r="M498" s="82" t="n"/>
      <c r="N498" s="86" t="n"/>
      <c r="O498" s="81" t="n"/>
      <c r="P498" s="82" t="n"/>
      <c r="Q498" s="83" t="n"/>
      <c r="R498" s="82" t="n"/>
      <c r="S498" s="84" t="n"/>
      <c r="T498" s="84" t="n"/>
      <c r="U498" s="82" t="n"/>
      <c r="V498" s="86" t="n"/>
      <c r="W498" s="86" t="n"/>
      <c r="X498" s="86" t="n"/>
      <c r="Y498" s="81" t="n"/>
      <c r="Z498" s="82" t="n"/>
      <c r="AA498" s="81" t="n"/>
      <c r="AB498" s="82" t="n"/>
      <c r="AC498" s="87">
        <f>IF(OR($D498="",$M498="Rejected",$M498="Withdrawn",$M498="Accepted"),"",IF(ISNUMBER($O498),IF(INT($O498)&lt;TODAY(),"FOLLOW UP REQUIRED",IF(INT($O498)=TODAY(),"ACTION DUE TODAY",IF(INT($O498)-TODAY()&lt;=Set_DueSoonDays,"DUE SOON",""))),IF(AND($M498="Applied",$AA498=""),IF(ISNUMBER($C498),IF(TODAY()-$C498&gt;=Set_FollowUpDays,"NO RESPONSE",""),""),"")))</f>
        <v/>
      </c>
      <c r="AD498" s="87">
        <f>IF(ISNUMBER($L498),IF($L498&gt;=90,"Excellent Match",IF($L498&gt;=75,"Strong Match",IF($L498&gt;=60,"Moderate Match","Low Match"))),"")</f>
        <v/>
      </c>
      <c r="AE498" s="87">
        <f>IF($D498="","",IF(OR($M498="Rejected",$M498="Withdrawn"),IF($AB498&lt;&gt;"",$AB498,IF(OR($M498="Rejected",ISNUMBER($C498)),"Applied","Wishlist")),IF($M498="",IF(ISNUMBER($C498),"Applied","Wishlist"),$M498)))</f>
        <v/>
      </c>
      <c r="AF498" s="88">
        <f>IF(AND(ISNUMBER($C498),ISNUMBER($AA498)),$AA498-$C498,"")</f>
        <v/>
      </c>
      <c r="AG498" s="87">
        <f>IF($AE498="","",IFERROR(MATCH($AE498,{"Wishlist","Applied","Screening","Interview 1","Interview 2","Final","Offer","Accepted"},0)-1,""))</f>
        <v/>
      </c>
      <c r="AH498" s="87">
        <f>IF($AC498="","",MATCH($AC498,{"FOLLOW UP REQUIRED","ACTION DUE TODAY","NO RESPONSE","DUE SOON"},0)*100000+IF(ISNUMBER($O498),$O498,IF(ISNUMBER($C498),$C498,0))+ROW()/10000)</f>
        <v/>
      </c>
      <c r="AI498" s="87">
        <f>IF(AND(ISNUMBER($AG498),$AG498&gt;=1,$AG498&lt;=6,$M498&lt;&gt;"Rejected",$M498&lt;&gt;"Withdrawn"),(10-$AG498)*100000+IF(ISNUMBER($C498),$C498,0)+ROW()/10000,"")</f>
        <v/>
      </c>
    </row>
    <row r="499">
      <c r="A499" s="80" t="n"/>
      <c r="B499" s="81" t="n"/>
      <c r="C499" s="81" t="n"/>
      <c r="D499" s="82" t="n"/>
      <c r="E499" s="82" t="n"/>
      <c r="F499" s="82" t="n"/>
      <c r="G499" s="82" t="n"/>
      <c r="H499" s="82" t="n"/>
      <c r="I499" s="83" t="n"/>
      <c r="J499" s="82" t="n"/>
      <c r="K499" s="84" t="n"/>
      <c r="L499" s="85" t="n"/>
      <c r="M499" s="82" t="n"/>
      <c r="N499" s="86" t="n"/>
      <c r="O499" s="81" t="n"/>
      <c r="P499" s="82" t="n"/>
      <c r="Q499" s="83" t="n"/>
      <c r="R499" s="82" t="n"/>
      <c r="S499" s="84" t="n"/>
      <c r="T499" s="84" t="n"/>
      <c r="U499" s="82" t="n"/>
      <c r="V499" s="86" t="n"/>
      <c r="W499" s="86" t="n"/>
      <c r="X499" s="86" t="n"/>
      <c r="Y499" s="81" t="n"/>
      <c r="Z499" s="82" t="n"/>
      <c r="AA499" s="81" t="n"/>
      <c r="AB499" s="82" t="n"/>
      <c r="AC499" s="87">
        <f>IF(OR($D499="",$M499="Rejected",$M499="Withdrawn",$M499="Accepted"),"",IF(ISNUMBER($O499),IF(INT($O499)&lt;TODAY(),"FOLLOW UP REQUIRED",IF(INT($O499)=TODAY(),"ACTION DUE TODAY",IF(INT($O499)-TODAY()&lt;=Set_DueSoonDays,"DUE SOON",""))),IF(AND($M499="Applied",$AA499=""),IF(ISNUMBER($C499),IF(TODAY()-$C499&gt;=Set_FollowUpDays,"NO RESPONSE",""),""),"")))</f>
        <v/>
      </c>
      <c r="AD499" s="87">
        <f>IF(ISNUMBER($L499),IF($L499&gt;=90,"Excellent Match",IF($L499&gt;=75,"Strong Match",IF($L499&gt;=60,"Moderate Match","Low Match"))),"")</f>
        <v/>
      </c>
      <c r="AE499" s="87">
        <f>IF($D499="","",IF(OR($M499="Rejected",$M499="Withdrawn"),IF($AB499&lt;&gt;"",$AB499,IF(OR($M499="Rejected",ISNUMBER($C499)),"Applied","Wishlist")),IF($M499="",IF(ISNUMBER($C499),"Applied","Wishlist"),$M499)))</f>
        <v/>
      </c>
      <c r="AF499" s="88">
        <f>IF(AND(ISNUMBER($C499),ISNUMBER($AA499)),$AA499-$C499,"")</f>
        <v/>
      </c>
      <c r="AG499" s="87">
        <f>IF($AE499="","",IFERROR(MATCH($AE499,{"Wishlist","Applied","Screening","Interview 1","Interview 2","Final","Offer","Accepted"},0)-1,""))</f>
        <v/>
      </c>
      <c r="AH499" s="87">
        <f>IF($AC499="","",MATCH($AC499,{"FOLLOW UP REQUIRED","ACTION DUE TODAY","NO RESPONSE","DUE SOON"},0)*100000+IF(ISNUMBER($O499),$O499,IF(ISNUMBER($C499),$C499,0))+ROW()/10000)</f>
        <v/>
      </c>
      <c r="AI499" s="87">
        <f>IF(AND(ISNUMBER($AG499),$AG499&gt;=1,$AG499&lt;=6,$M499&lt;&gt;"Rejected",$M499&lt;&gt;"Withdrawn"),(10-$AG499)*100000+IF(ISNUMBER($C499),$C499,0)+ROW()/10000,"")</f>
        <v/>
      </c>
    </row>
    <row r="500">
      <c r="A500" s="80" t="n"/>
      <c r="B500" s="81" t="n"/>
      <c r="C500" s="81" t="n"/>
      <c r="D500" s="82" t="n"/>
      <c r="E500" s="82" t="n"/>
      <c r="F500" s="82" t="n"/>
      <c r="G500" s="82" t="n"/>
      <c r="H500" s="82" t="n"/>
      <c r="I500" s="83" t="n"/>
      <c r="J500" s="82" t="n"/>
      <c r="K500" s="84" t="n"/>
      <c r="L500" s="85" t="n"/>
      <c r="M500" s="82" t="n"/>
      <c r="N500" s="86" t="n"/>
      <c r="O500" s="81" t="n"/>
      <c r="P500" s="82" t="n"/>
      <c r="Q500" s="83" t="n"/>
      <c r="R500" s="82" t="n"/>
      <c r="S500" s="84" t="n"/>
      <c r="T500" s="84" t="n"/>
      <c r="U500" s="82" t="n"/>
      <c r="V500" s="86" t="n"/>
      <c r="W500" s="86" t="n"/>
      <c r="X500" s="86" t="n"/>
      <c r="Y500" s="81" t="n"/>
      <c r="Z500" s="82" t="n"/>
      <c r="AA500" s="81" t="n"/>
      <c r="AB500" s="82" t="n"/>
      <c r="AC500" s="87">
        <f>IF(OR($D500="",$M500="Rejected",$M500="Withdrawn",$M500="Accepted"),"",IF(ISNUMBER($O500),IF(INT($O500)&lt;TODAY(),"FOLLOW UP REQUIRED",IF(INT($O500)=TODAY(),"ACTION DUE TODAY",IF(INT($O500)-TODAY()&lt;=Set_DueSoonDays,"DUE SOON",""))),IF(AND($M500="Applied",$AA500=""),IF(ISNUMBER($C500),IF(TODAY()-$C500&gt;=Set_FollowUpDays,"NO RESPONSE",""),""),"")))</f>
        <v/>
      </c>
      <c r="AD500" s="87">
        <f>IF(ISNUMBER($L500),IF($L500&gt;=90,"Excellent Match",IF($L500&gt;=75,"Strong Match",IF($L500&gt;=60,"Moderate Match","Low Match"))),"")</f>
        <v/>
      </c>
      <c r="AE500" s="87">
        <f>IF($D500="","",IF(OR($M500="Rejected",$M500="Withdrawn"),IF($AB500&lt;&gt;"",$AB500,IF(OR($M500="Rejected",ISNUMBER($C500)),"Applied","Wishlist")),IF($M500="",IF(ISNUMBER($C500),"Applied","Wishlist"),$M500)))</f>
        <v/>
      </c>
      <c r="AF500" s="88">
        <f>IF(AND(ISNUMBER($C500),ISNUMBER($AA500)),$AA500-$C500,"")</f>
        <v/>
      </c>
      <c r="AG500" s="87">
        <f>IF($AE500="","",IFERROR(MATCH($AE500,{"Wishlist","Applied","Screening","Interview 1","Interview 2","Final","Offer","Accepted"},0)-1,""))</f>
        <v/>
      </c>
      <c r="AH500" s="87">
        <f>IF($AC500="","",MATCH($AC500,{"FOLLOW UP REQUIRED","ACTION DUE TODAY","NO RESPONSE","DUE SOON"},0)*100000+IF(ISNUMBER($O500),$O500,IF(ISNUMBER($C500),$C500,0))+ROW()/10000)</f>
        <v/>
      </c>
      <c r="AI500" s="87">
        <f>IF(AND(ISNUMBER($AG500),$AG500&gt;=1,$AG500&lt;=6,$M500&lt;&gt;"Rejected",$M500&lt;&gt;"Withdrawn"),(10-$AG500)*100000+IF(ISNUMBER($C500),$C500,0)+ROW()/10000,"")</f>
        <v/>
      </c>
    </row>
    <row r="501">
      <c r="A501" s="80" t="n"/>
      <c r="B501" s="81" t="n"/>
      <c r="C501" s="81" t="n"/>
      <c r="D501" s="82" t="n"/>
      <c r="E501" s="82" t="n"/>
      <c r="F501" s="82" t="n"/>
      <c r="G501" s="82" t="n"/>
      <c r="H501" s="82" t="n"/>
      <c r="I501" s="83" t="n"/>
      <c r="J501" s="82" t="n"/>
      <c r="K501" s="84" t="n"/>
      <c r="L501" s="85" t="n"/>
      <c r="M501" s="82" t="n"/>
      <c r="N501" s="86" t="n"/>
      <c r="O501" s="81" t="n"/>
      <c r="P501" s="82" t="n"/>
      <c r="Q501" s="83" t="n"/>
      <c r="R501" s="82" t="n"/>
      <c r="S501" s="84" t="n"/>
      <c r="T501" s="84" t="n"/>
      <c r="U501" s="82" t="n"/>
      <c r="V501" s="86" t="n"/>
      <c r="W501" s="86" t="n"/>
      <c r="X501" s="86" t="n"/>
      <c r="Y501" s="81" t="n"/>
      <c r="Z501" s="82" t="n"/>
      <c r="AA501" s="81" t="n"/>
      <c r="AB501" s="82" t="n"/>
      <c r="AC501" s="87">
        <f>IF(OR($D501="",$M501="Rejected",$M501="Withdrawn",$M501="Accepted"),"",IF(ISNUMBER($O501),IF(INT($O501)&lt;TODAY(),"FOLLOW UP REQUIRED",IF(INT($O501)=TODAY(),"ACTION DUE TODAY",IF(INT($O501)-TODAY()&lt;=Set_DueSoonDays,"DUE SOON",""))),IF(AND($M501="Applied",$AA501=""),IF(ISNUMBER($C501),IF(TODAY()-$C501&gt;=Set_FollowUpDays,"NO RESPONSE",""),""),"")))</f>
        <v/>
      </c>
      <c r="AD501" s="87">
        <f>IF(ISNUMBER($L501),IF($L501&gt;=90,"Excellent Match",IF($L501&gt;=75,"Strong Match",IF($L501&gt;=60,"Moderate Match","Low Match"))),"")</f>
        <v/>
      </c>
      <c r="AE501" s="87">
        <f>IF($D501="","",IF(OR($M501="Rejected",$M501="Withdrawn"),IF($AB501&lt;&gt;"",$AB501,IF(OR($M501="Rejected",ISNUMBER($C501)),"Applied","Wishlist")),IF($M501="",IF(ISNUMBER($C501),"Applied","Wishlist"),$M501)))</f>
        <v/>
      </c>
      <c r="AF501" s="88">
        <f>IF(AND(ISNUMBER($C501),ISNUMBER($AA501)),$AA501-$C501,"")</f>
        <v/>
      </c>
      <c r="AG501" s="87">
        <f>IF($AE501="","",IFERROR(MATCH($AE501,{"Wishlist","Applied","Screening","Interview 1","Interview 2","Final","Offer","Accepted"},0)-1,""))</f>
        <v/>
      </c>
      <c r="AH501" s="87">
        <f>IF($AC501="","",MATCH($AC501,{"FOLLOW UP REQUIRED","ACTION DUE TODAY","NO RESPONSE","DUE SOON"},0)*100000+IF(ISNUMBER($O501),$O501,IF(ISNUMBER($C501),$C501,0))+ROW()/10000)</f>
        <v/>
      </c>
      <c r="AI501" s="87">
        <f>IF(AND(ISNUMBER($AG501),$AG501&gt;=1,$AG501&lt;=6,$M501&lt;&gt;"Rejected",$M501&lt;&gt;"Withdrawn"),(10-$AG501)*100000+IF(ISNUMBER($C501),$C501,0)+ROW()/10000,"")</f>
        <v/>
      </c>
    </row>
    <row r="502">
      <c r="A502" s="80" t="n"/>
      <c r="B502" s="81" t="n"/>
      <c r="C502" s="81" t="n"/>
      <c r="D502" s="82" t="n"/>
      <c r="E502" s="82" t="n"/>
      <c r="F502" s="82" t="n"/>
      <c r="G502" s="82" t="n"/>
      <c r="H502" s="82" t="n"/>
      <c r="I502" s="83" t="n"/>
      <c r="J502" s="82" t="n"/>
      <c r="K502" s="84" t="n"/>
      <c r="L502" s="85" t="n"/>
      <c r="M502" s="82" t="n"/>
      <c r="N502" s="86" t="n"/>
      <c r="O502" s="81" t="n"/>
      <c r="P502" s="82" t="n"/>
      <c r="Q502" s="83" t="n"/>
      <c r="R502" s="82" t="n"/>
      <c r="S502" s="84" t="n"/>
      <c r="T502" s="84" t="n"/>
      <c r="U502" s="82" t="n"/>
      <c r="V502" s="86" t="n"/>
      <c r="W502" s="86" t="n"/>
      <c r="X502" s="86" t="n"/>
      <c r="Y502" s="81" t="n"/>
      <c r="Z502" s="82" t="n"/>
      <c r="AA502" s="81" t="n"/>
      <c r="AB502" s="82" t="n"/>
      <c r="AC502" s="87">
        <f>IF(OR($D502="",$M502="Rejected",$M502="Withdrawn",$M502="Accepted"),"",IF(ISNUMBER($O502),IF(INT($O502)&lt;TODAY(),"FOLLOW UP REQUIRED",IF(INT($O502)=TODAY(),"ACTION DUE TODAY",IF(INT($O502)-TODAY()&lt;=Set_DueSoonDays,"DUE SOON",""))),IF(AND($M502="Applied",$AA502=""),IF(ISNUMBER($C502),IF(TODAY()-$C502&gt;=Set_FollowUpDays,"NO RESPONSE",""),""),"")))</f>
        <v/>
      </c>
      <c r="AD502" s="87">
        <f>IF(ISNUMBER($L502),IF($L502&gt;=90,"Excellent Match",IF($L502&gt;=75,"Strong Match",IF($L502&gt;=60,"Moderate Match","Low Match"))),"")</f>
        <v/>
      </c>
      <c r="AE502" s="87">
        <f>IF($D502="","",IF(OR($M502="Rejected",$M502="Withdrawn"),IF($AB502&lt;&gt;"",$AB502,IF(OR($M502="Rejected",ISNUMBER($C502)),"Applied","Wishlist")),IF($M502="",IF(ISNUMBER($C502),"Applied","Wishlist"),$M502)))</f>
        <v/>
      </c>
      <c r="AF502" s="88">
        <f>IF(AND(ISNUMBER($C502),ISNUMBER($AA502)),$AA502-$C502,"")</f>
        <v/>
      </c>
      <c r="AG502" s="87">
        <f>IF($AE502="","",IFERROR(MATCH($AE502,{"Wishlist","Applied","Screening","Interview 1","Interview 2","Final","Offer","Accepted"},0)-1,""))</f>
        <v/>
      </c>
      <c r="AH502" s="87">
        <f>IF($AC502="","",MATCH($AC502,{"FOLLOW UP REQUIRED","ACTION DUE TODAY","NO RESPONSE","DUE SOON"},0)*100000+IF(ISNUMBER($O502),$O502,IF(ISNUMBER($C502),$C502,0))+ROW()/10000)</f>
        <v/>
      </c>
      <c r="AI502" s="87">
        <f>IF(AND(ISNUMBER($AG502),$AG502&gt;=1,$AG502&lt;=6,$M502&lt;&gt;"Rejected",$M502&lt;&gt;"Withdrawn"),(10-$AG502)*100000+IF(ISNUMBER($C502),$C502,0)+ROW()/10000,"")</f>
        <v/>
      </c>
    </row>
    <row r="503">
      <c r="A503" s="80" t="n"/>
      <c r="B503" s="81" t="n"/>
      <c r="C503" s="81" t="n"/>
      <c r="D503" s="82" t="n"/>
      <c r="E503" s="82" t="n"/>
      <c r="F503" s="82" t="n"/>
      <c r="G503" s="82" t="n"/>
      <c r="H503" s="82" t="n"/>
      <c r="I503" s="83" t="n"/>
      <c r="J503" s="82" t="n"/>
      <c r="K503" s="84" t="n"/>
      <c r="L503" s="85" t="n"/>
      <c r="M503" s="82" t="n"/>
      <c r="N503" s="86" t="n"/>
      <c r="O503" s="81" t="n"/>
      <c r="P503" s="82" t="n"/>
      <c r="Q503" s="83" t="n"/>
      <c r="R503" s="82" t="n"/>
      <c r="S503" s="84" t="n"/>
      <c r="T503" s="84" t="n"/>
      <c r="U503" s="82" t="n"/>
      <c r="V503" s="86" t="n"/>
      <c r="W503" s="86" t="n"/>
      <c r="X503" s="86" t="n"/>
      <c r="Y503" s="81" t="n"/>
      <c r="Z503" s="82" t="n"/>
      <c r="AA503" s="81" t="n"/>
      <c r="AB503" s="82" t="n"/>
      <c r="AC503" s="87">
        <f>IF(OR($D503="",$M503="Rejected",$M503="Withdrawn",$M503="Accepted"),"",IF(ISNUMBER($O503),IF(INT($O503)&lt;TODAY(),"FOLLOW UP REQUIRED",IF(INT($O503)=TODAY(),"ACTION DUE TODAY",IF(INT($O503)-TODAY()&lt;=Set_DueSoonDays,"DUE SOON",""))),IF(AND($M503="Applied",$AA503=""),IF(ISNUMBER($C503),IF(TODAY()-$C503&gt;=Set_FollowUpDays,"NO RESPONSE",""),""),"")))</f>
        <v/>
      </c>
      <c r="AD503" s="87">
        <f>IF(ISNUMBER($L503),IF($L503&gt;=90,"Excellent Match",IF($L503&gt;=75,"Strong Match",IF($L503&gt;=60,"Moderate Match","Low Match"))),"")</f>
        <v/>
      </c>
      <c r="AE503" s="87">
        <f>IF($D503="","",IF(OR($M503="Rejected",$M503="Withdrawn"),IF($AB503&lt;&gt;"",$AB503,IF(OR($M503="Rejected",ISNUMBER($C503)),"Applied","Wishlist")),IF($M503="",IF(ISNUMBER($C503),"Applied","Wishlist"),$M503)))</f>
        <v/>
      </c>
      <c r="AF503" s="88">
        <f>IF(AND(ISNUMBER($C503),ISNUMBER($AA503)),$AA503-$C503,"")</f>
        <v/>
      </c>
      <c r="AG503" s="87">
        <f>IF($AE503="","",IFERROR(MATCH($AE503,{"Wishlist","Applied","Screening","Interview 1","Interview 2","Final","Offer","Accepted"},0)-1,""))</f>
        <v/>
      </c>
      <c r="AH503" s="87">
        <f>IF($AC503="","",MATCH($AC503,{"FOLLOW UP REQUIRED","ACTION DUE TODAY","NO RESPONSE","DUE SOON"},0)*100000+IF(ISNUMBER($O503),$O503,IF(ISNUMBER($C503),$C503,0))+ROW()/10000)</f>
        <v/>
      </c>
      <c r="AI503" s="87">
        <f>IF(AND(ISNUMBER($AG503),$AG503&gt;=1,$AG503&lt;=6,$M503&lt;&gt;"Rejected",$M503&lt;&gt;"Withdrawn"),(10-$AG503)*100000+IF(ISNUMBER($C503),$C503,0)+ROW()/10000,"")</f>
        <v/>
      </c>
    </row>
    <row r="504">
      <c r="A504" s="80" t="n"/>
      <c r="B504" s="81" t="n"/>
      <c r="C504" s="81" t="n"/>
      <c r="D504" s="82" t="n"/>
      <c r="E504" s="82" t="n"/>
      <c r="F504" s="82" t="n"/>
      <c r="G504" s="82" t="n"/>
      <c r="H504" s="82" t="n"/>
      <c r="I504" s="83" t="n"/>
      <c r="J504" s="82" t="n"/>
      <c r="K504" s="84" t="n"/>
      <c r="L504" s="85" t="n"/>
      <c r="M504" s="82" t="n"/>
      <c r="N504" s="86" t="n"/>
      <c r="O504" s="81" t="n"/>
      <c r="P504" s="82" t="n"/>
      <c r="Q504" s="83" t="n"/>
      <c r="R504" s="82" t="n"/>
      <c r="S504" s="84" t="n"/>
      <c r="T504" s="84" t="n"/>
      <c r="U504" s="82" t="n"/>
      <c r="V504" s="86" t="n"/>
      <c r="W504" s="86" t="n"/>
      <c r="X504" s="86" t="n"/>
      <c r="Y504" s="81" t="n"/>
      <c r="Z504" s="82" t="n"/>
      <c r="AA504" s="81" t="n"/>
      <c r="AB504" s="82" t="n"/>
      <c r="AC504" s="87">
        <f>IF(OR($D504="",$M504="Rejected",$M504="Withdrawn",$M504="Accepted"),"",IF(ISNUMBER($O504),IF(INT($O504)&lt;TODAY(),"FOLLOW UP REQUIRED",IF(INT($O504)=TODAY(),"ACTION DUE TODAY",IF(INT($O504)-TODAY()&lt;=Set_DueSoonDays,"DUE SOON",""))),IF(AND($M504="Applied",$AA504=""),IF(ISNUMBER($C504),IF(TODAY()-$C504&gt;=Set_FollowUpDays,"NO RESPONSE",""),""),"")))</f>
        <v/>
      </c>
      <c r="AD504" s="87">
        <f>IF(ISNUMBER($L504),IF($L504&gt;=90,"Excellent Match",IF($L504&gt;=75,"Strong Match",IF($L504&gt;=60,"Moderate Match","Low Match"))),"")</f>
        <v/>
      </c>
      <c r="AE504" s="87">
        <f>IF($D504="","",IF(OR($M504="Rejected",$M504="Withdrawn"),IF($AB504&lt;&gt;"",$AB504,IF(OR($M504="Rejected",ISNUMBER($C504)),"Applied","Wishlist")),IF($M504="",IF(ISNUMBER($C504),"Applied","Wishlist"),$M504)))</f>
        <v/>
      </c>
      <c r="AF504" s="88">
        <f>IF(AND(ISNUMBER($C504),ISNUMBER($AA504)),$AA504-$C504,"")</f>
        <v/>
      </c>
      <c r="AG504" s="87">
        <f>IF($AE504="","",IFERROR(MATCH($AE504,{"Wishlist","Applied","Screening","Interview 1","Interview 2","Final","Offer","Accepted"},0)-1,""))</f>
        <v/>
      </c>
      <c r="AH504" s="87">
        <f>IF($AC504="","",MATCH($AC504,{"FOLLOW UP REQUIRED","ACTION DUE TODAY","NO RESPONSE","DUE SOON"},0)*100000+IF(ISNUMBER($O504),$O504,IF(ISNUMBER($C504),$C504,0))+ROW()/10000)</f>
        <v/>
      </c>
      <c r="AI504" s="87">
        <f>IF(AND(ISNUMBER($AG504),$AG504&gt;=1,$AG504&lt;=6,$M504&lt;&gt;"Rejected",$M504&lt;&gt;"Withdrawn"),(10-$AG504)*100000+IF(ISNUMBER($C504),$C504,0)+ROW()/10000,"")</f>
        <v/>
      </c>
    </row>
    <row r="505">
      <c r="A505" s="80" t="n"/>
      <c r="B505" s="81" t="n"/>
      <c r="C505" s="81" t="n"/>
      <c r="D505" s="82" t="n"/>
      <c r="E505" s="82" t="n"/>
      <c r="F505" s="82" t="n"/>
      <c r="G505" s="82" t="n"/>
      <c r="H505" s="82" t="n"/>
      <c r="I505" s="83" t="n"/>
      <c r="J505" s="82" t="n"/>
      <c r="K505" s="84" t="n"/>
      <c r="L505" s="85" t="n"/>
      <c r="M505" s="82" t="n"/>
      <c r="N505" s="86" t="n"/>
      <c r="O505" s="81" t="n"/>
      <c r="P505" s="82" t="n"/>
      <c r="Q505" s="83" t="n"/>
      <c r="R505" s="82" t="n"/>
      <c r="S505" s="84" t="n"/>
      <c r="T505" s="84" t="n"/>
      <c r="U505" s="82" t="n"/>
      <c r="V505" s="86" t="n"/>
      <c r="W505" s="86" t="n"/>
      <c r="X505" s="86" t="n"/>
      <c r="Y505" s="81" t="n"/>
      <c r="Z505" s="82" t="n"/>
      <c r="AA505" s="81" t="n"/>
      <c r="AB505" s="82" t="n"/>
      <c r="AC505" s="87">
        <f>IF(OR($D505="",$M505="Rejected",$M505="Withdrawn",$M505="Accepted"),"",IF(ISNUMBER($O505),IF(INT($O505)&lt;TODAY(),"FOLLOW UP REQUIRED",IF(INT($O505)=TODAY(),"ACTION DUE TODAY",IF(INT($O505)-TODAY()&lt;=Set_DueSoonDays,"DUE SOON",""))),IF(AND($M505="Applied",$AA505=""),IF(ISNUMBER($C505),IF(TODAY()-$C505&gt;=Set_FollowUpDays,"NO RESPONSE",""),""),"")))</f>
        <v/>
      </c>
      <c r="AD505" s="87">
        <f>IF(ISNUMBER($L505),IF($L505&gt;=90,"Excellent Match",IF($L505&gt;=75,"Strong Match",IF($L505&gt;=60,"Moderate Match","Low Match"))),"")</f>
        <v/>
      </c>
      <c r="AE505" s="87">
        <f>IF($D505="","",IF(OR($M505="Rejected",$M505="Withdrawn"),IF($AB505&lt;&gt;"",$AB505,IF(OR($M505="Rejected",ISNUMBER($C505)),"Applied","Wishlist")),IF($M505="",IF(ISNUMBER($C505),"Applied","Wishlist"),$M505)))</f>
        <v/>
      </c>
      <c r="AF505" s="88">
        <f>IF(AND(ISNUMBER($C505),ISNUMBER($AA505)),$AA505-$C505,"")</f>
        <v/>
      </c>
      <c r="AG505" s="87">
        <f>IF($AE505="","",IFERROR(MATCH($AE505,{"Wishlist","Applied","Screening","Interview 1","Interview 2","Final","Offer","Accepted"},0)-1,""))</f>
        <v/>
      </c>
      <c r="AH505" s="87">
        <f>IF($AC505="","",MATCH($AC505,{"FOLLOW UP REQUIRED","ACTION DUE TODAY","NO RESPONSE","DUE SOON"},0)*100000+IF(ISNUMBER($O505),$O505,IF(ISNUMBER($C505),$C505,0))+ROW()/10000)</f>
        <v/>
      </c>
      <c r="AI505" s="87">
        <f>IF(AND(ISNUMBER($AG505),$AG505&gt;=1,$AG505&lt;=6,$M505&lt;&gt;"Rejected",$M505&lt;&gt;"Withdrawn"),(10-$AG505)*100000+IF(ISNUMBER($C505),$C505,0)+ROW()/10000,"")</f>
        <v/>
      </c>
    </row>
    <row r="506">
      <c r="A506" s="80" t="n"/>
      <c r="B506" s="81" t="n"/>
      <c r="C506" s="81" t="n"/>
      <c r="D506" s="82" t="n"/>
      <c r="E506" s="82" t="n"/>
      <c r="F506" s="82" t="n"/>
      <c r="G506" s="82" t="n"/>
      <c r="H506" s="82" t="n"/>
      <c r="I506" s="83" t="n"/>
      <c r="J506" s="82" t="n"/>
      <c r="K506" s="84" t="n"/>
      <c r="L506" s="85" t="n"/>
      <c r="M506" s="82" t="n"/>
      <c r="N506" s="86" t="n"/>
      <c r="O506" s="81" t="n"/>
      <c r="P506" s="82" t="n"/>
      <c r="Q506" s="83" t="n"/>
      <c r="R506" s="82" t="n"/>
      <c r="S506" s="84" t="n"/>
      <c r="T506" s="84" t="n"/>
      <c r="U506" s="82" t="n"/>
      <c r="V506" s="86" t="n"/>
      <c r="W506" s="86" t="n"/>
      <c r="X506" s="86" t="n"/>
      <c r="Y506" s="81" t="n"/>
      <c r="Z506" s="82" t="n"/>
      <c r="AA506" s="81" t="n"/>
      <c r="AB506" s="82" t="n"/>
      <c r="AC506" s="87">
        <f>IF(OR($D506="",$M506="Rejected",$M506="Withdrawn",$M506="Accepted"),"",IF(ISNUMBER($O506),IF(INT($O506)&lt;TODAY(),"FOLLOW UP REQUIRED",IF(INT($O506)=TODAY(),"ACTION DUE TODAY",IF(INT($O506)-TODAY()&lt;=Set_DueSoonDays,"DUE SOON",""))),IF(AND($M506="Applied",$AA506=""),IF(ISNUMBER($C506),IF(TODAY()-$C506&gt;=Set_FollowUpDays,"NO RESPONSE",""),""),"")))</f>
        <v/>
      </c>
      <c r="AD506" s="87">
        <f>IF(ISNUMBER($L506),IF($L506&gt;=90,"Excellent Match",IF($L506&gt;=75,"Strong Match",IF($L506&gt;=60,"Moderate Match","Low Match"))),"")</f>
        <v/>
      </c>
      <c r="AE506" s="87">
        <f>IF($D506="","",IF(OR($M506="Rejected",$M506="Withdrawn"),IF($AB506&lt;&gt;"",$AB506,IF(OR($M506="Rejected",ISNUMBER($C506)),"Applied","Wishlist")),IF($M506="",IF(ISNUMBER($C506),"Applied","Wishlist"),$M506)))</f>
        <v/>
      </c>
      <c r="AF506" s="88">
        <f>IF(AND(ISNUMBER($C506),ISNUMBER($AA506)),$AA506-$C506,"")</f>
        <v/>
      </c>
      <c r="AG506" s="87">
        <f>IF($AE506="","",IFERROR(MATCH($AE506,{"Wishlist","Applied","Screening","Interview 1","Interview 2","Final","Offer","Accepted"},0)-1,""))</f>
        <v/>
      </c>
      <c r="AH506" s="87">
        <f>IF($AC506="","",MATCH($AC506,{"FOLLOW UP REQUIRED","ACTION DUE TODAY","NO RESPONSE","DUE SOON"},0)*100000+IF(ISNUMBER($O506),$O506,IF(ISNUMBER($C506),$C506,0))+ROW()/10000)</f>
        <v/>
      </c>
      <c r="AI506" s="87">
        <f>IF(AND(ISNUMBER($AG506),$AG506&gt;=1,$AG506&lt;=6,$M506&lt;&gt;"Rejected",$M506&lt;&gt;"Withdrawn"),(10-$AG506)*100000+IF(ISNUMBER($C506),$C506,0)+ROW()/10000,"")</f>
        <v/>
      </c>
    </row>
    <row r="507">
      <c r="A507" s="80" t="n"/>
      <c r="B507" s="81" t="n"/>
      <c r="C507" s="81" t="n"/>
      <c r="D507" s="82" t="n"/>
      <c r="E507" s="82" t="n"/>
      <c r="F507" s="82" t="n"/>
      <c r="G507" s="82" t="n"/>
      <c r="H507" s="82" t="n"/>
      <c r="I507" s="83" t="n"/>
      <c r="J507" s="82" t="n"/>
      <c r="K507" s="84" t="n"/>
      <c r="L507" s="85" t="n"/>
      <c r="M507" s="82" t="n"/>
      <c r="N507" s="86" t="n"/>
      <c r="O507" s="81" t="n"/>
      <c r="P507" s="82" t="n"/>
      <c r="Q507" s="83" t="n"/>
      <c r="R507" s="82" t="n"/>
      <c r="S507" s="84" t="n"/>
      <c r="T507" s="84" t="n"/>
      <c r="U507" s="82" t="n"/>
      <c r="V507" s="86" t="n"/>
      <c r="W507" s="86" t="n"/>
      <c r="X507" s="86" t="n"/>
      <c r="Y507" s="81" t="n"/>
      <c r="Z507" s="82" t="n"/>
      <c r="AA507" s="81" t="n"/>
      <c r="AB507" s="82" t="n"/>
      <c r="AC507" s="87">
        <f>IF(OR($D507="",$M507="Rejected",$M507="Withdrawn",$M507="Accepted"),"",IF(ISNUMBER($O507),IF(INT($O507)&lt;TODAY(),"FOLLOW UP REQUIRED",IF(INT($O507)=TODAY(),"ACTION DUE TODAY",IF(INT($O507)-TODAY()&lt;=Set_DueSoonDays,"DUE SOON",""))),IF(AND($M507="Applied",$AA507=""),IF(ISNUMBER($C507),IF(TODAY()-$C507&gt;=Set_FollowUpDays,"NO RESPONSE",""),""),"")))</f>
        <v/>
      </c>
      <c r="AD507" s="87">
        <f>IF(ISNUMBER($L507),IF($L507&gt;=90,"Excellent Match",IF($L507&gt;=75,"Strong Match",IF($L507&gt;=60,"Moderate Match","Low Match"))),"")</f>
        <v/>
      </c>
      <c r="AE507" s="87">
        <f>IF($D507="","",IF(OR($M507="Rejected",$M507="Withdrawn"),IF($AB507&lt;&gt;"",$AB507,IF(OR($M507="Rejected",ISNUMBER($C507)),"Applied","Wishlist")),IF($M507="",IF(ISNUMBER($C507),"Applied","Wishlist"),$M507)))</f>
        <v/>
      </c>
      <c r="AF507" s="88">
        <f>IF(AND(ISNUMBER($C507),ISNUMBER($AA507)),$AA507-$C507,"")</f>
        <v/>
      </c>
      <c r="AG507" s="87">
        <f>IF($AE507="","",IFERROR(MATCH($AE507,{"Wishlist","Applied","Screening","Interview 1","Interview 2","Final","Offer","Accepted"},0)-1,""))</f>
        <v/>
      </c>
      <c r="AH507" s="87">
        <f>IF($AC507="","",MATCH($AC507,{"FOLLOW UP REQUIRED","ACTION DUE TODAY","NO RESPONSE","DUE SOON"},0)*100000+IF(ISNUMBER($O507),$O507,IF(ISNUMBER($C507),$C507,0))+ROW()/10000)</f>
        <v/>
      </c>
      <c r="AI507" s="87">
        <f>IF(AND(ISNUMBER($AG507),$AG507&gt;=1,$AG507&lt;=6,$M507&lt;&gt;"Rejected",$M507&lt;&gt;"Withdrawn"),(10-$AG507)*100000+IF(ISNUMBER($C507),$C507,0)+ROW()/10000,"")</f>
        <v/>
      </c>
    </row>
    <row r="508">
      <c r="A508" s="80" t="n"/>
      <c r="B508" s="81" t="n"/>
      <c r="C508" s="81" t="n"/>
      <c r="D508" s="82" t="n"/>
      <c r="E508" s="82" t="n"/>
      <c r="F508" s="82" t="n"/>
      <c r="G508" s="82" t="n"/>
      <c r="H508" s="82" t="n"/>
      <c r="I508" s="83" t="n"/>
      <c r="J508" s="82" t="n"/>
      <c r="K508" s="84" t="n"/>
      <c r="L508" s="85" t="n"/>
      <c r="M508" s="82" t="n"/>
      <c r="N508" s="86" t="n"/>
      <c r="O508" s="81" t="n"/>
      <c r="P508" s="82" t="n"/>
      <c r="Q508" s="83" t="n"/>
      <c r="R508" s="82" t="n"/>
      <c r="S508" s="84" t="n"/>
      <c r="T508" s="84" t="n"/>
      <c r="U508" s="82" t="n"/>
      <c r="V508" s="86" t="n"/>
      <c r="W508" s="86" t="n"/>
      <c r="X508" s="86" t="n"/>
      <c r="Y508" s="81" t="n"/>
      <c r="Z508" s="82" t="n"/>
      <c r="AA508" s="81" t="n"/>
      <c r="AB508" s="82" t="n"/>
      <c r="AC508" s="87">
        <f>IF(OR($D508="",$M508="Rejected",$M508="Withdrawn",$M508="Accepted"),"",IF(ISNUMBER($O508),IF(INT($O508)&lt;TODAY(),"FOLLOW UP REQUIRED",IF(INT($O508)=TODAY(),"ACTION DUE TODAY",IF(INT($O508)-TODAY()&lt;=Set_DueSoonDays,"DUE SOON",""))),IF(AND($M508="Applied",$AA508=""),IF(ISNUMBER($C508),IF(TODAY()-$C508&gt;=Set_FollowUpDays,"NO RESPONSE",""),""),"")))</f>
        <v/>
      </c>
      <c r="AD508" s="87">
        <f>IF(ISNUMBER($L508),IF($L508&gt;=90,"Excellent Match",IF($L508&gt;=75,"Strong Match",IF($L508&gt;=60,"Moderate Match","Low Match"))),"")</f>
        <v/>
      </c>
      <c r="AE508" s="87">
        <f>IF($D508="","",IF(OR($M508="Rejected",$M508="Withdrawn"),IF($AB508&lt;&gt;"",$AB508,IF(OR($M508="Rejected",ISNUMBER($C508)),"Applied","Wishlist")),IF($M508="",IF(ISNUMBER($C508),"Applied","Wishlist"),$M508)))</f>
        <v/>
      </c>
      <c r="AF508" s="88">
        <f>IF(AND(ISNUMBER($C508),ISNUMBER($AA508)),$AA508-$C508,"")</f>
        <v/>
      </c>
      <c r="AG508" s="87">
        <f>IF($AE508="","",IFERROR(MATCH($AE508,{"Wishlist","Applied","Screening","Interview 1","Interview 2","Final","Offer","Accepted"},0)-1,""))</f>
        <v/>
      </c>
      <c r="AH508" s="87">
        <f>IF($AC508="","",MATCH($AC508,{"FOLLOW UP REQUIRED","ACTION DUE TODAY","NO RESPONSE","DUE SOON"},0)*100000+IF(ISNUMBER($O508),$O508,IF(ISNUMBER($C508),$C508,0))+ROW()/10000)</f>
        <v/>
      </c>
      <c r="AI508" s="87">
        <f>IF(AND(ISNUMBER($AG508),$AG508&gt;=1,$AG508&lt;=6,$M508&lt;&gt;"Rejected",$M508&lt;&gt;"Withdrawn"),(10-$AG508)*100000+IF(ISNUMBER($C508),$C508,0)+ROW()/10000,"")</f>
        <v/>
      </c>
    </row>
    <row r="509">
      <c r="A509" s="80" t="n"/>
      <c r="B509" s="81" t="n"/>
      <c r="C509" s="81" t="n"/>
      <c r="D509" s="82" t="n"/>
      <c r="E509" s="82" t="n"/>
      <c r="F509" s="82" t="n"/>
      <c r="G509" s="82" t="n"/>
      <c r="H509" s="82" t="n"/>
      <c r="I509" s="83" t="n"/>
      <c r="J509" s="82" t="n"/>
      <c r="K509" s="84" t="n"/>
      <c r="L509" s="85" t="n"/>
      <c r="M509" s="82" t="n"/>
      <c r="N509" s="86" t="n"/>
      <c r="O509" s="81" t="n"/>
      <c r="P509" s="82" t="n"/>
      <c r="Q509" s="83" t="n"/>
      <c r="R509" s="82" t="n"/>
      <c r="S509" s="84" t="n"/>
      <c r="T509" s="84" t="n"/>
      <c r="U509" s="82" t="n"/>
      <c r="V509" s="86" t="n"/>
      <c r="W509" s="86" t="n"/>
      <c r="X509" s="86" t="n"/>
      <c r="Y509" s="81" t="n"/>
      <c r="Z509" s="82" t="n"/>
      <c r="AA509" s="81" t="n"/>
      <c r="AB509" s="82" t="n"/>
      <c r="AC509" s="87">
        <f>IF(OR($D509="",$M509="Rejected",$M509="Withdrawn",$M509="Accepted"),"",IF(ISNUMBER($O509),IF(INT($O509)&lt;TODAY(),"FOLLOW UP REQUIRED",IF(INT($O509)=TODAY(),"ACTION DUE TODAY",IF(INT($O509)-TODAY()&lt;=Set_DueSoonDays,"DUE SOON",""))),IF(AND($M509="Applied",$AA509=""),IF(ISNUMBER($C509),IF(TODAY()-$C509&gt;=Set_FollowUpDays,"NO RESPONSE",""),""),"")))</f>
        <v/>
      </c>
      <c r="AD509" s="87">
        <f>IF(ISNUMBER($L509),IF($L509&gt;=90,"Excellent Match",IF($L509&gt;=75,"Strong Match",IF($L509&gt;=60,"Moderate Match","Low Match"))),"")</f>
        <v/>
      </c>
      <c r="AE509" s="87">
        <f>IF($D509="","",IF(OR($M509="Rejected",$M509="Withdrawn"),IF($AB509&lt;&gt;"",$AB509,IF(OR($M509="Rejected",ISNUMBER($C509)),"Applied","Wishlist")),IF($M509="",IF(ISNUMBER($C509),"Applied","Wishlist"),$M509)))</f>
        <v/>
      </c>
      <c r="AF509" s="88">
        <f>IF(AND(ISNUMBER($C509),ISNUMBER($AA509)),$AA509-$C509,"")</f>
        <v/>
      </c>
      <c r="AG509" s="87">
        <f>IF($AE509="","",IFERROR(MATCH($AE509,{"Wishlist","Applied","Screening","Interview 1","Interview 2","Final","Offer","Accepted"},0)-1,""))</f>
        <v/>
      </c>
      <c r="AH509" s="87">
        <f>IF($AC509="","",MATCH($AC509,{"FOLLOW UP REQUIRED","ACTION DUE TODAY","NO RESPONSE","DUE SOON"},0)*100000+IF(ISNUMBER($O509),$O509,IF(ISNUMBER($C509),$C509,0))+ROW()/10000)</f>
        <v/>
      </c>
      <c r="AI509" s="87">
        <f>IF(AND(ISNUMBER($AG509),$AG509&gt;=1,$AG509&lt;=6,$M509&lt;&gt;"Rejected",$M509&lt;&gt;"Withdrawn"),(10-$AG509)*100000+IF(ISNUMBER($C509),$C509,0)+ROW()/10000,"")</f>
        <v/>
      </c>
    </row>
    <row r="510">
      <c r="A510" s="80" t="n"/>
      <c r="B510" s="81" t="n"/>
      <c r="C510" s="81" t="n"/>
      <c r="D510" s="82" t="n"/>
      <c r="E510" s="82" t="n"/>
      <c r="F510" s="82" t="n"/>
      <c r="G510" s="82" t="n"/>
      <c r="H510" s="82" t="n"/>
      <c r="I510" s="83" t="n"/>
      <c r="J510" s="82" t="n"/>
      <c r="K510" s="84" t="n"/>
      <c r="L510" s="85" t="n"/>
      <c r="M510" s="82" t="n"/>
      <c r="N510" s="86" t="n"/>
      <c r="O510" s="81" t="n"/>
      <c r="P510" s="82" t="n"/>
      <c r="Q510" s="83" t="n"/>
      <c r="R510" s="82" t="n"/>
      <c r="S510" s="84" t="n"/>
      <c r="T510" s="84" t="n"/>
      <c r="U510" s="82" t="n"/>
      <c r="V510" s="86" t="n"/>
      <c r="W510" s="86" t="n"/>
      <c r="X510" s="86" t="n"/>
      <c r="Y510" s="81" t="n"/>
      <c r="Z510" s="82" t="n"/>
      <c r="AA510" s="81" t="n"/>
      <c r="AB510" s="82" t="n"/>
      <c r="AC510" s="87">
        <f>IF(OR($D510="",$M510="Rejected",$M510="Withdrawn",$M510="Accepted"),"",IF(ISNUMBER($O510),IF(INT($O510)&lt;TODAY(),"FOLLOW UP REQUIRED",IF(INT($O510)=TODAY(),"ACTION DUE TODAY",IF(INT($O510)-TODAY()&lt;=Set_DueSoonDays,"DUE SOON",""))),IF(AND($M510="Applied",$AA510=""),IF(ISNUMBER($C510),IF(TODAY()-$C510&gt;=Set_FollowUpDays,"NO RESPONSE",""),""),"")))</f>
        <v/>
      </c>
      <c r="AD510" s="87">
        <f>IF(ISNUMBER($L510),IF($L510&gt;=90,"Excellent Match",IF($L510&gt;=75,"Strong Match",IF($L510&gt;=60,"Moderate Match","Low Match"))),"")</f>
        <v/>
      </c>
      <c r="AE510" s="87">
        <f>IF($D510="","",IF(OR($M510="Rejected",$M510="Withdrawn"),IF($AB510&lt;&gt;"",$AB510,IF(OR($M510="Rejected",ISNUMBER($C510)),"Applied","Wishlist")),IF($M510="",IF(ISNUMBER($C510),"Applied","Wishlist"),$M510)))</f>
        <v/>
      </c>
      <c r="AF510" s="88">
        <f>IF(AND(ISNUMBER($C510),ISNUMBER($AA510)),$AA510-$C510,"")</f>
        <v/>
      </c>
      <c r="AG510" s="87">
        <f>IF($AE510="","",IFERROR(MATCH($AE510,{"Wishlist","Applied","Screening","Interview 1","Interview 2","Final","Offer","Accepted"},0)-1,""))</f>
        <v/>
      </c>
      <c r="AH510" s="87">
        <f>IF($AC510="","",MATCH($AC510,{"FOLLOW UP REQUIRED","ACTION DUE TODAY","NO RESPONSE","DUE SOON"},0)*100000+IF(ISNUMBER($O510),$O510,IF(ISNUMBER($C510),$C510,0))+ROW()/10000)</f>
        <v/>
      </c>
      <c r="AI510" s="87">
        <f>IF(AND(ISNUMBER($AG510),$AG510&gt;=1,$AG510&lt;=6,$M510&lt;&gt;"Rejected",$M510&lt;&gt;"Withdrawn"),(10-$AG510)*100000+IF(ISNUMBER($C510),$C510,0)+ROW()/10000,"")</f>
        <v/>
      </c>
    </row>
    <row r="511">
      <c r="A511" s="80" t="n"/>
      <c r="B511" s="81" t="n"/>
      <c r="C511" s="81" t="n"/>
      <c r="D511" s="82" t="n"/>
      <c r="E511" s="82" t="n"/>
      <c r="F511" s="82" t="n"/>
      <c r="G511" s="82" t="n"/>
      <c r="H511" s="82" t="n"/>
      <c r="I511" s="83" t="n"/>
      <c r="J511" s="82" t="n"/>
      <c r="K511" s="84" t="n"/>
      <c r="L511" s="85" t="n"/>
      <c r="M511" s="82" t="n"/>
      <c r="N511" s="86" t="n"/>
      <c r="O511" s="81" t="n"/>
      <c r="P511" s="82" t="n"/>
      <c r="Q511" s="83" t="n"/>
      <c r="R511" s="82" t="n"/>
      <c r="S511" s="84" t="n"/>
      <c r="T511" s="84" t="n"/>
      <c r="U511" s="82" t="n"/>
      <c r="V511" s="86" t="n"/>
      <c r="W511" s="86" t="n"/>
      <c r="X511" s="86" t="n"/>
      <c r="Y511" s="81" t="n"/>
      <c r="Z511" s="82" t="n"/>
      <c r="AA511" s="81" t="n"/>
      <c r="AB511" s="82" t="n"/>
      <c r="AC511" s="87">
        <f>IF(OR($D511="",$M511="Rejected",$M511="Withdrawn",$M511="Accepted"),"",IF(ISNUMBER($O511),IF(INT($O511)&lt;TODAY(),"FOLLOW UP REQUIRED",IF(INT($O511)=TODAY(),"ACTION DUE TODAY",IF(INT($O511)-TODAY()&lt;=Set_DueSoonDays,"DUE SOON",""))),IF(AND($M511="Applied",$AA511=""),IF(ISNUMBER($C511),IF(TODAY()-$C511&gt;=Set_FollowUpDays,"NO RESPONSE",""),""),"")))</f>
        <v/>
      </c>
      <c r="AD511" s="87">
        <f>IF(ISNUMBER($L511),IF($L511&gt;=90,"Excellent Match",IF($L511&gt;=75,"Strong Match",IF($L511&gt;=60,"Moderate Match","Low Match"))),"")</f>
        <v/>
      </c>
      <c r="AE511" s="87">
        <f>IF($D511="","",IF(OR($M511="Rejected",$M511="Withdrawn"),IF($AB511&lt;&gt;"",$AB511,IF(OR($M511="Rejected",ISNUMBER($C511)),"Applied","Wishlist")),IF($M511="",IF(ISNUMBER($C511),"Applied","Wishlist"),$M511)))</f>
        <v/>
      </c>
      <c r="AF511" s="88">
        <f>IF(AND(ISNUMBER($C511),ISNUMBER($AA511)),$AA511-$C511,"")</f>
        <v/>
      </c>
      <c r="AG511" s="87">
        <f>IF($AE511="","",IFERROR(MATCH($AE511,{"Wishlist","Applied","Screening","Interview 1","Interview 2","Final","Offer","Accepted"},0)-1,""))</f>
        <v/>
      </c>
      <c r="AH511" s="87">
        <f>IF($AC511="","",MATCH($AC511,{"FOLLOW UP REQUIRED","ACTION DUE TODAY","NO RESPONSE","DUE SOON"},0)*100000+IF(ISNUMBER($O511),$O511,IF(ISNUMBER($C511),$C511,0))+ROW()/10000)</f>
        <v/>
      </c>
      <c r="AI511" s="87">
        <f>IF(AND(ISNUMBER($AG511),$AG511&gt;=1,$AG511&lt;=6,$M511&lt;&gt;"Rejected",$M511&lt;&gt;"Withdrawn"),(10-$AG511)*100000+IF(ISNUMBER($C511),$C511,0)+ROW()/10000,"")</f>
        <v/>
      </c>
    </row>
    <row r="512">
      <c r="A512" s="80" t="n"/>
      <c r="B512" s="81" t="n"/>
      <c r="C512" s="81" t="n"/>
      <c r="D512" s="82" t="n"/>
      <c r="E512" s="82" t="n"/>
      <c r="F512" s="82" t="n"/>
      <c r="G512" s="82" t="n"/>
      <c r="H512" s="82" t="n"/>
      <c r="I512" s="83" t="n"/>
      <c r="J512" s="82" t="n"/>
      <c r="K512" s="84" t="n"/>
      <c r="L512" s="85" t="n"/>
      <c r="M512" s="82" t="n"/>
      <c r="N512" s="86" t="n"/>
      <c r="O512" s="81" t="n"/>
      <c r="P512" s="82" t="n"/>
      <c r="Q512" s="83" t="n"/>
      <c r="R512" s="82" t="n"/>
      <c r="S512" s="84" t="n"/>
      <c r="T512" s="84" t="n"/>
      <c r="U512" s="82" t="n"/>
      <c r="V512" s="86" t="n"/>
      <c r="W512" s="86" t="n"/>
      <c r="X512" s="86" t="n"/>
      <c r="Y512" s="81" t="n"/>
      <c r="Z512" s="82" t="n"/>
      <c r="AA512" s="81" t="n"/>
      <c r="AB512" s="82" t="n"/>
      <c r="AC512" s="87">
        <f>IF(OR($D512="",$M512="Rejected",$M512="Withdrawn",$M512="Accepted"),"",IF(ISNUMBER($O512),IF(INT($O512)&lt;TODAY(),"FOLLOW UP REQUIRED",IF(INT($O512)=TODAY(),"ACTION DUE TODAY",IF(INT($O512)-TODAY()&lt;=Set_DueSoonDays,"DUE SOON",""))),IF(AND($M512="Applied",$AA512=""),IF(ISNUMBER($C512),IF(TODAY()-$C512&gt;=Set_FollowUpDays,"NO RESPONSE",""),""),"")))</f>
        <v/>
      </c>
      <c r="AD512" s="87">
        <f>IF(ISNUMBER($L512),IF($L512&gt;=90,"Excellent Match",IF($L512&gt;=75,"Strong Match",IF($L512&gt;=60,"Moderate Match","Low Match"))),"")</f>
        <v/>
      </c>
      <c r="AE512" s="87">
        <f>IF($D512="","",IF(OR($M512="Rejected",$M512="Withdrawn"),IF($AB512&lt;&gt;"",$AB512,IF(OR($M512="Rejected",ISNUMBER($C512)),"Applied","Wishlist")),IF($M512="",IF(ISNUMBER($C512),"Applied","Wishlist"),$M512)))</f>
        <v/>
      </c>
      <c r="AF512" s="88">
        <f>IF(AND(ISNUMBER($C512),ISNUMBER($AA512)),$AA512-$C512,"")</f>
        <v/>
      </c>
      <c r="AG512" s="87">
        <f>IF($AE512="","",IFERROR(MATCH($AE512,{"Wishlist","Applied","Screening","Interview 1","Interview 2","Final","Offer","Accepted"},0)-1,""))</f>
        <v/>
      </c>
      <c r="AH512" s="87">
        <f>IF($AC512="","",MATCH($AC512,{"FOLLOW UP REQUIRED","ACTION DUE TODAY","NO RESPONSE","DUE SOON"},0)*100000+IF(ISNUMBER($O512),$O512,IF(ISNUMBER($C512),$C512,0))+ROW()/10000)</f>
        <v/>
      </c>
      <c r="AI512" s="87">
        <f>IF(AND(ISNUMBER($AG512),$AG512&gt;=1,$AG512&lt;=6,$M512&lt;&gt;"Rejected",$M512&lt;&gt;"Withdrawn"),(10-$AG512)*100000+IF(ISNUMBER($C512),$C512,0)+ROW()/10000,"")</f>
        <v/>
      </c>
    </row>
    <row r="513">
      <c r="A513" s="80" t="n"/>
      <c r="B513" s="81" t="n"/>
      <c r="C513" s="81" t="n"/>
      <c r="D513" s="82" t="n"/>
      <c r="E513" s="82" t="n"/>
      <c r="F513" s="82" t="n"/>
      <c r="G513" s="82" t="n"/>
      <c r="H513" s="82" t="n"/>
      <c r="I513" s="83" t="n"/>
      <c r="J513" s="82" t="n"/>
      <c r="K513" s="84" t="n"/>
      <c r="L513" s="85" t="n"/>
      <c r="M513" s="82" t="n"/>
      <c r="N513" s="86" t="n"/>
      <c r="O513" s="81" t="n"/>
      <c r="P513" s="82" t="n"/>
      <c r="Q513" s="83" t="n"/>
      <c r="R513" s="82" t="n"/>
      <c r="S513" s="84" t="n"/>
      <c r="T513" s="84" t="n"/>
      <c r="U513" s="82" t="n"/>
      <c r="V513" s="86" t="n"/>
      <c r="W513" s="86" t="n"/>
      <c r="X513" s="86" t="n"/>
      <c r="Y513" s="81" t="n"/>
      <c r="Z513" s="82" t="n"/>
      <c r="AA513" s="81" t="n"/>
      <c r="AB513" s="82" t="n"/>
      <c r="AC513" s="87">
        <f>IF(OR($D513="",$M513="Rejected",$M513="Withdrawn",$M513="Accepted"),"",IF(ISNUMBER($O513),IF(INT($O513)&lt;TODAY(),"FOLLOW UP REQUIRED",IF(INT($O513)=TODAY(),"ACTION DUE TODAY",IF(INT($O513)-TODAY()&lt;=Set_DueSoonDays,"DUE SOON",""))),IF(AND($M513="Applied",$AA513=""),IF(ISNUMBER($C513),IF(TODAY()-$C513&gt;=Set_FollowUpDays,"NO RESPONSE",""),""),"")))</f>
        <v/>
      </c>
      <c r="AD513" s="87">
        <f>IF(ISNUMBER($L513),IF($L513&gt;=90,"Excellent Match",IF($L513&gt;=75,"Strong Match",IF($L513&gt;=60,"Moderate Match","Low Match"))),"")</f>
        <v/>
      </c>
      <c r="AE513" s="87">
        <f>IF($D513="","",IF(OR($M513="Rejected",$M513="Withdrawn"),IF($AB513&lt;&gt;"",$AB513,IF(OR($M513="Rejected",ISNUMBER($C513)),"Applied","Wishlist")),IF($M513="",IF(ISNUMBER($C513),"Applied","Wishlist"),$M513)))</f>
        <v/>
      </c>
      <c r="AF513" s="88">
        <f>IF(AND(ISNUMBER($C513),ISNUMBER($AA513)),$AA513-$C513,"")</f>
        <v/>
      </c>
      <c r="AG513" s="87">
        <f>IF($AE513="","",IFERROR(MATCH($AE513,{"Wishlist","Applied","Screening","Interview 1","Interview 2","Final","Offer","Accepted"},0)-1,""))</f>
        <v/>
      </c>
      <c r="AH513" s="87">
        <f>IF($AC513="","",MATCH($AC513,{"FOLLOW UP REQUIRED","ACTION DUE TODAY","NO RESPONSE","DUE SOON"},0)*100000+IF(ISNUMBER($O513),$O513,IF(ISNUMBER($C513),$C513,0))+ROW()/10000)</f>
        <v/>
      </c>
      <c r="AI513" s="87">
        <f>IF(AND(ISNUMBER($AG513),$AG513&gt;=1,$AG513&lt;=6,$M513&lt;&gt;"Rejected",$M513&lt;&gt;"Withdrawn"),(10-$AG513)*100000+IF(ISNUMBER($C513),$C513,0)+ROW()/10000,"")</f>
        <v/>
      </c>
    </row>
    <row r="514">
      <c r="A514" s="80" t="n"/>
      <c r="B514" s="81" t="n"/>
      <c r="C514" s="81" t="n"/>
      <c r="D514" s="82" t="n"/>
      <c r="E514" s="82" t="n"/>
      <c r="F514" s="82" t="n"/>
      <c r="G514" s="82" t="n"/>
      <c r="H514" s="82" t="n"/>
      <c r="I514" s="83" t="n"/>
      <c r="J514" s="82" t="n"/>
      <c r="K514" s="84" t="n"/>
      <c r="L514" s="85" t="n"/>
      <c r="M514" s="82" t="n"/>
      <c r="N514" s="86" t="n"/>
      <c r="O514" s="81" t="n"/>
      <c r="P514" s="82" t="n"/>
      <c r="Q514" s="83" t="n"/>
      <c r="R514" s="82" t="n"/>
      <c r="S514" s="84" t="n"/>
      <c r="T514" s="84" t="n"/>
      <c r="U514" s="82" t="n"/>
      <c r="V514" s="86" t="n"/>
      <c r="W514" s="86" t="n"/>
      <c r="X514" s="86" t="n"/>
      <c r="Y514" s="81" t="n"/>
      <c r="Z514" s="82" t="n"/>
      <c r="AA514" s="81" t="n"/>
      <c r="AB514" s="82" t="n"/>
      <c r="AC514" s="87">
        <f>IF(OR($D514="",$M514="Rejected",$M514="Withdrawn",$M514="Accepted"),"",IF(ISNUMBER($O514),IF(INT($O514)&lt;TODAY(),"FOLLOW UP REQUIRED",IF(INT($O514)=TODAY(),"ACTION DUE TODAY",IF(INT($O514)-TODAY()&lt;=Set_DueSoonDays,"DUE SOON",""))),IF(AND($M514="Applied",$AA514=""),IF(ISNUMBER($C514),IF(TODAY()-$C514&gt;=Set_FollowUpDays,"NO RESPONSE",""),""),"")))</f>
        <v/>
      </c>
      <c r="AD514" s="87">
        <f>IF(ISNUMBER($L514),IF($L514&gt;=90,"Excellent Match",IF($L514&gt;=75,"Strong Match",IF($L514&gt;=60,"Moderate Match","Low Match"))),"")</f>
        <v/>
      </c>
      <c r="AE514" s="87">
        <f>IF($D514="","",IF(OR($M514="Rejected",$M514="Withdrawn"),IF($AB514&lt;&gt;"",$AB514,IF(OR($M514="Rejected",ISNUMBER($C514)),"Applied","Wishlist")),IF($M514="",IF(ISNUMBER($C514),"Applied","Wishlist"),$M514)))</f>
        <v/>
      </c>
      <c r="AF514" s="88">
        <f>IF(AND(ISNUMBER($C514),ISNUMBER($AA514)),$AA514-$C514,"")</f>
        <v/>
      </c>
      <c r="AG514" s="87">
        <f>IF($AE514="","",IFERROR(MATCH($AE514,{"Wishlist","Applied","Screening","Interview 1","Interview 2","Final","Offer","Accepted"},0)-1,""))</f>
        <v/>
      </c>
      <c r="AH514" s="87">
        <f>IF($AC514="","",MATCH($AC514,{"FOLLOW UP REQUIRED","ACTION DUE TODAY","NO RESPONSE","DUE SOON"},0)*100000+IF(ISNUMBER($O514),$O514,IF(ISNUMBER($C514),$C514,0))+ROW()/10000)</f>
        <v/>
      </c>
      <c r="AI514" s="87">
        <f>IF(AND(ISNUMBER($AG514),$AG514&gt;=1,$AG514&lt;=6,$M514&lt;&gt;"Rejected",$M514&lt;&gt;"Withdrawn"),(10-$AG514)*100000+IF(ISNUMBER($C514),$C514,0)+ROW()/10000,"")</f>
        <v/>
      </c>
    </row>
    <row r="515">
      <c r="A515" s="80" t="n"/>
      <c r="B515" s="81" t="n"/>
      <c r="C515" s="81" t="n"/>
      <c r="D515" s="82" t="n"/>
      <c r="E515" s="82" t="n"/>
      <c r="F515" s="82" t="n"/>
      <c r="G515" s="82" t="n"/>
      <c r="H515" s="82" t="n"/>
      <c r="I515" s="83" t="n"/>
      <c r="J515" s="82" t="n"/>
      <c r="K515" s="84" t="n"/>
      <c r="L515" s="85" t="n"/>
      <c r="M515" s="82" t="n"/>
      <c r="N515" s="86" t="n"/>
      <c r="O515" s="81" t="n"/>
      <c r="P515" s="82" t="n"/>
      <c r="Q515" s="83" t="n"/>
      <c r="R515" s="82" t="n"/>
      <c r="S515" s="84" t="n"/>
      <c r="T515" s="84" t="n"/>
      <c r="U515" s="82" t="n"/>
      <c r="V515" s="86" t="n"/>
      <c r="W515" s="86" t="n"/>
      <c r="X515" s="86" t="n"/>
      <c r="Y515" s="81" t="n"/>
      <c r="Z515" s="82" t="n"/>
      <c r="AA515" s="81" t="n"/>
      <c r="AB515" s="82" t="n"/>
      <c r="AC515" s="87">
        <f>IF(OR($D515="",$M515="Rejected",$M515="Withdrawn",$M515="Accepted"),"",IF(ISNUMBER($O515),IF(INT($O515)&lt;TODAY(),"FOLLOW UP REQUIRED",IF(INT($O515)=TODAY(),"ACTION DUE TODAY",IF(INT($O515)-TODAY()&lt;=Set_DueSoonDays,"DUE SOON",""))),IF(AND($M515="Applied",$AA515=""),IF(ISNUMBER($C515),IF(TODAY()-$C515&gt;=Set_FollowUpDays,"NO RESPONSE",""),""),"")))</f>
        <v/>
      </c>
      <c r="AD515" s="87">
        <f>IF(ISNUMBER($L515),IF($L515&gt;=90,"Excellent Match",IF($L515&gt;=75,"Strong Match",IF($L515&gt;=60,"Moderate Match","Low Match"))),"")</f>
        <v/>
      </c>
      <c r="AE515" s="87">
        <f>IF($D515="","",IF(OR($M515="Rejected",$M515="Withdrawn"),IF($AB515&lt;&gt;"",$AB515,IF(OR($M515="Rejected",ISNUMBER($C515)),"Applied","Wishlist")),IF($M515="",IF(ISNUMBER($C515),"Applied","Wishlist"),$M515)))</f>
        <v/>
      </c>
      <c r="AF515" s="88">
        <f>IF(AND(ISNUMBER($C515),ISNUMBER($AA515)),$AA515-$C515,"")</f>
        <v/>
      </c>
      <c r="AG515" s="87">
        <f>IF($AE515="","",IFERROR(MATCH($AE515,{"Wishlist","Applied","Screening","Interview 1","Interview 2","Final","Offer","Accepted"},0)-1,""))</f>
        <v/>
      </c>
      <c r="AH515" s="87">
        <f>IF($AC515="","",MATCH($AC515,{"FOLLOW UP REQUIRED","ACTION DUE TODAY","NO RESPONSE","DUE SOON"},0)*100000+IF(ISNUMBER($O515),$O515,IF(ISNUMBER($C515),$C515,0))+ROW()/10000)</f>
        <v/>
      </c>
      <c r="AI515" s="87">
        <f>IF(AND(ISNUMBER($AG515),$AG515&gt;=1,$AG515&lt;=6,$M515&lt;&gt;"Rejected",$M515&lt;&gt;"Withdrawn"),(10-$AG515)*100000+IF(ISNUMBER($C515),$C515,0)+ROW()/10000,"")</f>
        <v/>
      </c>
    </row>
    <row r="516">
      <c r="A516" s="80" t="n"/>
      <c r="B516" s="81" t="n"/>
      <c r="C516" s="81" t="n"/>
      <c r="D516" s="82" t="n"/>
      <c r="E516" s="82" t="n"/>
      <c r="F516" s="82" t="n"/>
      <c r="G516" s="82" t="n"/>
      <c r="H516" s="82" t="n"/>
      <c r="I516" s="83" t="n"/>
      <c r="J516" s="82" t="n"/>
      <c r="K516" s="84" t="n"/>
      <c r="L516" s="85" t="n"/>
      <c r="M516" s="82" t="n"/>
      <c r="N516" s="86" t="n"/>
      <c r="O516" s="81" t="n"/>
      <c r="P516" s="82" t="n"/>
      <c r="Q516" s="83" t="n"/>
      <c r="R516" s="82" t="n"/>
      <c r="S516" s="84" t="n"/>
      <c r="T516" s="84" t="n"/>
      <c r="U516" s="82" t="n"/>
      <c r="V516" s="86" t="n"/>
      <c r="W516" s="86" t="n"/>
      <c r="X516" s="86" t="n"/>
      <c r="Y516" s="81" t="n"/>
      <c r="Z516" s="82" t="n"/>
      <c r="AA516" s="81" t="n"/>
      <c r="AB516" s="82" t="n"/>
      <c r="AC516" s="87">
        <f>IF(OR($D516="",$M516="Rejected",$M516="Withdrawn",$M516="Accepted"),"",IF(ISNUMBER($O516),IF(INT($O516)&lt;TODAY(),"FOLLOW UP REQUIRED",IF(INT($O516)=TODAY(),"ACTION DUE TODAY",IF(INT($O516)-TODAY()&lt;=Set_DueSoonDays,"DUE SOON",""))),IF(AND($M516="Applied",$AA516=""),IF(ISNUMBER($C516),IF(TODAY()-$C516&gt;=Set_FollowUpDays,"NO RESPONSE",""),""),"")))</f>
        <v/>
      </c>
      <c r="AD516" s="87">
        <f>IF(ISNUMBER($L516),IF($L516&gt;=90,"Excellent Match",IF($L516&gt;=75,"Strong Match",IF($L516&gt;=60,"Moderate Match","Low Match"))),"")</f>
        <v/>
      </c>
      <c r="AE516" s="87">
        <f>IF($D516="","",IF(OR($M516="Rejected",$M516="Withdrawn"),IF($AB516&lt;&gt;"",$AB516,IF(OR($M516="Rejected",ISNUMBER($C516)),"Applied","Wishlist")),IF($M516="",IF(ISNUMBER($C516),"Applied","Wishlist"),$M516)))</f>
        <v/>
      </c>
      <c r="AF516" s="88">
        <f>IF(AND(ISNUMBER($C516),ISNUMBER($AA516)),$AA516-$C516,"")</f>
        <v/>
      </c>
      <c r="AG516" s="87">
        <f>IF($AE516="","",IFERROR(MATCH($AE516,{"Wishlist","Applied","Screening","Interview 1","Interview 2","Final","Offer","Accepted"},0)-1,""))</f>
        <v/>
      </c>
      <c r="AH516" s="87">
        <f>IF($AC516="","",MATCH($AC516,{"FOLLOW UP REQUIRED","ACTION DUE TODAY","NO RESPONSE","DUE SOON"},0)*100000+IF(ISNUMBER($O516),$O516,IF(ISNUMBER($C516),$C516,0))+ROW()/10000)</f>
        <v/>
      </c>
      <c r="AI516" s="87">
        <f>IF(AND(ISNUMBER($AG516),$AG516&gt;=1,$AG516&lt;=6,$M516&lt;&gt;"Rejected",$M516&lt;&gt;"Withdrawn"),(10-$AG516)*100000+IF(ISNUMBER($C516),$C516,0)+ROW()/10000,"")</f>
        <v/>
      </c>
    </row>
    <row r="517">
      <c r="A517" s="80" t="n"/>
      <c r="B517" s="81" t="n"/>
      <c r="C517" s="81" t="n"/>
      <c r="D517" s="82" t="n"/>
      <c r="E517" s="82" t="n"/>
      <c r="F517" s="82" t="n"/>
      <c r="G517" s="82" t="n"/>
      <c r="H517" s="82" t="n"/>
      <c r="I517" s="83" t="n"/>
      <c r="J517" s="82" t="n"/>
      <c r="K517" s="84" t="n"/>
      <c r="L517" s="85" t="n"/>
      <c r="M517" s="82" t="n"/>
      <c r="N517" s="86" t="n"/>
      <c r="O517" s="81" t="n"/>
      <c r="P517" s="82" t="n"/>
      <c r="Q517" s="83" t="n"/>
      <c r="R517" s="82" t="n"/>
      <c r="S517" s="84" t="n"/>
      <c r="T517" s="84" t="n"/>
      <c r="U517" s="82" t="n"/>
      <c r="V517" s="86" t="n"/>
      <c r="W517" s="86" t="n"/>
      <c r="X517" s="86" t="n"/>
      <c r="Y517" s="81" t="n"/>
      <c r="Z517" s="82" t="n"/>
      <c r="AA517" s="81" t="n"/>
      <c r="AB517" s="82" t="n"/>
      <c r="AC517" s="87">
        <f>IF(OR($D517="",$M517="Rejected",$M517="Withdrawn",$M517="Accepted"),"",IF(ISNUMBER($O517),IF(INT($O517)&lt;TODAY(),"FOLLOW UP REQUIRED",IF(INT($O517)=TODAY(),"ACTION DUE TODAY",IF(INT($O517)-TODAY()&lt;=Set_DueSoonDays,"DUE SOON",""))),IF(AND($M517="Applied",$AA517=""),IF(ISNUMBER($C517),IF(TODAY()-$C517&gt;=Set_FollowUpDays,"NO RESPONSE",""),""),"")))</f>
        <v/>
      </c>
      <c r="AD517" s="87">
        <f>IF(ISNUMBER($L517),IF($L517&gt;=90,"Excellent Match",IF($L517&gt;=75,"Strong Match",IF($L517&gt;=60,"Moderate Match","Low Match"))),"")</f>
        <v/>
      </c>
      <c r="AE517" s="87">
        <f>IF($D517="","",IF(OR($M517="Rejected",$M517="Withdrawn"),IF($AB517&lt;&gt;"",$AB517,IF(OR($M517="Rejected",ISNUMBER($C517)),"Applied","Wishlist")),IF($M517="",IF(ISNUMBER($C517),"Applied","Wishlist"),$M517)))</f>
        <v/>
      </c>
      <c r="AF517" s="88">
        <f>IF(AND(ISNUMBER($C517),ISNUMBER($AA517)),$AA517-$C517,"")</f>
        <v/>
      </c>
      <c r="AG517" s="87">
        <f>IF($AE517="","",IFERROR(MATCH($AE517,{"Wishlist","Applied","Screening","Interview 1","Interview 2","Final","Offer","Accepted"},0)-1,""))</f>
        <v/>
      </c>
      <c r="AH517" s="87">
        <f>IF($AC517="","",MATCH($AC517,{"FOLLOW UP REQUIRED","ACTION DUE TODAY","NO RESPONSE","DUE SOON"},0)*100000+IF(ISNUMBER($O517),$O517,IF(ISNUMBER($C517),$C517,0))+ROW()/10000)</f>
        <v/>
      </c>
      <c r="AI517" s="87">
        <f>IF(AND(ISNUMBER($AG517),$AG517&gt;=1,$AG517&lt;=6,$M517&lt;&gt;"Rejected",$M517&lt;&gt;"Withdrawn"),(10-$AG517)*100000+IF(ISNUMBER($C517),$C517,0)+ROW()/10000,"")</f>
        <v/>
      </c>
    </row>
    <row r="518">
      <c r="A518" s="80" t="n"/>
      <c r="B518" s="81" t="n"/>
      <c r="C518" s="81" t="n"/>
      <c r="D518" s="82" t="n"/>
      <c r="E518" s="82" t="n"/>
      <c r="F518" s="82" t="n"/>
      <c r="G518" s="82" t="n"/>
      <c r="H518" s="82" t="n"/>
      <c r="I518" s="83" t="n"/>
      <c r="J518" s="82" t="n"/>
      <c r="K518" s="84" t="n"/>
      <c r="L518" s="85" t="n"/>
      <c r="M518" s="82" t="n"/>
      <c r="N518" s="86" t="n"/>
      <c r="O518" s="81" t="n"/>
      <c r="P518" s="82" t="n"/>
      <c r="Q518" s="83" t="n"/>
      <c r="R518" s="82" t="n"/>
      <c r="S518" s="84" t="n"/>
      <c r="T518" s="84" t="n"/>
      <c r="U518" s="82" t="n"/>
      <c r="V518" s="86" t="n"/>
      <c r="W518" s="86" t="n"/>
      <c r="X518" s="86" t="n"/>
      <c r="Y518" s="81" t="n"/>
      <c r="Z518" s="82" t="n"/>
      <c r="AA518" s="81" t="n"/>
      <c r="AB518" s="82" t="n"/>
      <c r="AC518" s="87">
        <f>IF(OR($D518="",$M518="Rejected",$M518="Withdrawn",$M518="Accepted"),"",IF(ISNUMBER($O518),IF(INT($O518)&lt;TODAY(),"FOLLOW UP REQUIRED",IF(INT($O518)=TODAY(),"ACTION DUE TODAY",IF(INT($O518)-TODAY()&lt;=Set_DueSoonDays,"DUE SOON",""))),IF(AND($M518="Applied",$AA518=""),IF(ISNUMBER($C518),IF(TODAY()-$C518&gt;=Set_FollowUpDays,"NO RESPONSE",""),""),"")))</f>
        <v/>
      </c>
      <c r="AD518" s="87">
        <f>IF(ISNUMBER($L518),IF($L518&gt;=90,"Excellent Match",IF($L518&gt;=75,"Strong Match",IF($L518&gt;=60,"Moderate Match","Low Match"))),"")</f>
        <v/>
      </c>
      <c r="AE518" s="87">
        <f>IF($D518="","",IF(OR($M518="Rejected",$M518="Withdrawn"),IF($AB518&lt;&gt;"",$AB518,IF(OR($M518="Rejected",ISNUMBER($C518)),"Applied","Wishlist")),IF($M518="",IF(ISNUMBER($C518),"Applied","Wishlist"),$M518)))</f>
        <v/>
      </c>
      <c r="AF518" s="88">
        <f>IF(AND(ISNUMBER($C518),ISNUMBER($AA518)),$AA518-$C518,"")</f>
        <v/>
      </c>
      <c r="AG518" s="87">
        <f>IF($AE518="","",IFERROR(MATCH($AE518,{"Wishlist","Applied","Screening","Interview 1","Interview 2","Final","Offer","Accepted"},0)-1,""))</f>
        <v/>
      </c>
      <c r="AH518" s="87">
        <f>IF($AC518="","",MATCH($AC518,{"FOLLOW UP REQUIRED","ACTION DUE TODAY","NO RESPONSE","DUE SOON"},0)*100000+IF(ISNUMBER($O518),$O518,IF(ISNUMBER($C518),$C518,0))+ROW()/10000)</f>
        <v/>
      </c>
      <c r="AI518" s="87">
        <f>IF(AND(ISNUMBER($AG518),$AG518&gt;=1,$AG518&lt;=6,$M518&lt;&gt;"Rejected",$M518&lt;&gt;"Withdrawn"),(10-$AG518)*100000+IF(ISNUMBER($C518),$C518,0)+ROW()/10000,"")</f>
        <v/>
      </c>
    </row>
    <row r="519">
      <c r="A519" s="80" t="n"/>
      <c r="B519" s="81" t="n"/>
      <c r="C519" s="81" t="n"/>
      <c r="D519" s="82" t="n"/>
      <c r="E519" s="82" t="n"/>
      <c r="F519" s="82" t="n"/>
      <c r="G519" s="82" t="n"/>
      <c r="H519" s="82" t="n"/>
      <c r="I519" s="83" t="n"/>
      <c r="J519" s="82" t="n"/>
      <c r="K519" s="84" t="n"/>
      <c r="L519" s="85" t="n"/>
      <c r="M519" s="82" t="n"/>
      <c r="N519" s="86" t="n"/>
      <c r="O519" s="81" t="n"/>
      <c r="P519" s="82" t="n"/>
      <c r="Q519" s="83" t="n"/>
      <c r="R519" s="82" t="n"/>
      <c r="S519" s="84" t="n"/>
      <c r="T519" s="84" t="n"/>
      <c r="U519" s="82" t="n"/>
      <c r="V519" s="86" t="n"/>
      <c r="W519" s="86" t="n"/>
      <c r="X519" s="86" t="n"/>
      <c r="Y519" s="81" t="n"/>
      <c r="Z519" s="82" t="n"/>
      <c r="AA519" s="81" t="n"/>
      <c r="AB519" s="82" t="n"/>
      <c r="AC519" s="87">
        <f>IF(OR($D519="",$M519="Rejected",$M519="Withdrawn",$M519="Accepted"),"",IF(ISNUMBER($O519),IF(INT($O519)&lt;TODAY(),"FOLLOW UP REQUIRED",IF(INT($O519)=TODAY(),"ACTION DUE TODAY",IF(INT($O519)-TODAY()&lt;=Set_DueSoonDays,"DUE SOON",""))),IF(AND($M519="Applied",$AA519=""),IF(ISNUMBER($C519),IF(TODAY()-$C519&gt;=Set_FollowUpDays,"NO RESPONSE",""),""),"")))</f>
        <v/>
      </c>
      <c r="AD519" s="87">
        <f>IF(ISNUMBER($L519),IF($L519&gt;=90,"Excellent Match",IF($L519&gt;=75,"Strong Match",IF($L519&gt;=60,"Moderate Match","Low Match"))),"")</f>
        <v/>
      </c>
      <c r="AE519" s="87">
        <f>IF($D519="","",IF(OR($M519="Rejected",$M519="Withdrawn"),IF($AB519&lt;&gt;"",$AB519,IF(OR($M519="Rejected",ISNUMBER($C519)),"Applied","Wishlist")),IF($M519="",IF(ISNUMBER($C519),"Applied","Wishlist"),$M519)))</f>
        <v/>
      </c>
      <c r="AF519" s="88">
        <f>IF(AND(ISNUMBER($C519),ISNUMBER($AA519)),$AA519-$C519,"")</f>
        <v/>
      </c>
      <c r="AG519" s="87">
        <f>IF($AE519="","",IFERROR(MATCH($AE519,{"Wishlist","Applied","Screening","Interview 1","Interview 2","Final","Offer","Accepted"},0)-1,""))</f>
        <v/>
      </c>
      <c r="AH519" s="87">
        <f>IF($AC519="","",MATCH($AC519,{"FOLLOW UP REQUIRED","ACTION DUE TODAY","NO RESPONSE","DUE SOON"},0)*100000+IF(ISNUMBER($O519),$O519,IF(ISNUMBER($C519),$C519,0))+ROW()/10000)</f>
        <v/>
      </c>
      <c r="AI519" s="87">
        <f>IF(AND(ISNUMBER($AG519),$AG519&gt;=1,$AG519&lt;=6,$M519&lt;&gt;"Rejected",$M519&lt;&gt;"Withdrawn"),(10-$AG519)*100000+IF(ISNUMBER($C519),$C519,0)+ROW()/10000,"")</f>
        <v/>
      </c>
    </row>
    <row r="520">
      <c r="A520" s="80" t="n"/>
      <c r="B520" s="81" t="n"/>
      <c r="C520" s="81" t="n"/>
      <c r="D520" s="82" t="n"/>
      <c r="E520" s="82" t="n"/>
      <c r="F520" s="82" t="n"/>
      <c r="G520" s="82" t="n"/>
      <c r="H520" s="82" t="n"/>
      <c r="I520" s="83" t="n"/>
      <c r="J520" s="82" t="n"/>
      <c r="K520" s="84" t="n"/>
      <c r="L520" s="85" t="n"/>
      <c r="M520" s="82" t="n"/>
      <c r="N520" s="86" t="n"/>
      <c r="O520" s="81" t="n"/>
      <c r="P520" s="82" t="n"/>
      <c r="Q520" s="83" t="n"/>
      <c r="R520" s="82" t="n"/>
      <c r="S520" s="84" t="n"/>
      <c r="T520" s="84" t="n"/>
      <c r="U520" s="82" t="n"/>
      <c r="V520" s="86" t="n"/>
      <c r="W520" s="86" t="n"/>
      <c r="X520" s="86" t="n"/>
      <c r="Y520" s="81" t="n"/>
      <c r="Z520" s="82" t="n"/>
      <c r="AA520" s="81" t="n"/>
      <c r="AB520" s="82" t="n"/>
      <c r="AC520" s="87">
        <f>IF(OR($D520="",$M520="Rejected",$M520="Withdrawn",$M520="Accepted"),"",IF(ISNUMBER($O520),IF(INT($O520)&lt;TODAY(),"FOLLOW UP REQUIRED",IF(INT($O520)=TODAY(),"ACTION DUE TODAY",IF(INT($O520)-TODAY()&lt;=Set_DueSoonDays,"DUE SOON",""))),IF(AND($M520="Applied",$AA520=""),IF(ISNUMBER($C520),IF(TODAY()-$C520&gt;=Set_FollowUpDays,"NO RESPONSE",""),""),"")))</f>
        <v/>
      </c>
      <c r="AD520" s="87">
        <f>IF(ISNUMBER($L520),IF($L520&gt;=90,"Excellent Match",IF($L520&gt;=75,"Strong Match",IF($L520&gt;=60,"Moderate Match","Low Match"))),"")</f>
        <v/>
      </c>
      <c r="AE520" s="87">
        <f>IF($D520="","",IF(OR($M520="Rejected",$M520="Withdrawn"),IF($AB520&lt;&gt;"",$AB520,IF(OR($M520="Rejected",ISNUMBER($C520)),"Applied","Wishlist")),IF($M520="",IF(ISNUMBER($C520),"Applied","Wishlist"),$M520)))</f>
        <v/>
      </c>
      <c r="AF520" s="88">
        <f>IF(AND(ISNUMBER($C520),ISNUMBER($AA520)),$AA520-$C520,"")</f>
        <v/>
      </c>
      <c r="AG520" s="87">
        <f>IF($AE520="","",IFERROR(MATCH($AE520,{"Wishlist","Applied","Screening","Interview 1","Interview 2","Final","Offer","Accepted"},0)-1,""))</f>
        <v/>
      </c>
      <c r="AH520" s="87">
        <f>IF($AC520="","",MATCH($AC520,{"FOLLOW UP REQUIRED","ACTION DUE TODAY","NO RESPONSE","DUE SOON"},0)*100000+IF(ISNUMBER($O520),$O520,IF(ISNUMBER($C520),$C520,0))+ROW()/10000)</f>
        <v/>
      </c>
      <c r="AI520" s="87">
        <f>IF(AND(ISNUMBER($AG520),$AG520&gt;=1,$AG520&lt;=6,$M520&lt;&gt;"Rejected",$M520&lt;&gt;"Withdrawn"),(10-$AG520)*100000+IF(ISNUMBER($C520),$C520,0)+ROW()/10000,"")</f>
        <v/>
      </c>
    </row>
    <row r="521">
      <c r="A521" s="80" t="n"/>
      <c r="B521" s="81" t="n"/>
      <c r="C521" s="81" t="n"/>
      <c r="D521" s="82" t="n"/>
      <c r="E521" s="82" t="n"/>
      <c r="F521" s="82" t="n"/>
      <c r="G521" s="82" t="n"/>
      <c r="H521" s="82" t="n"/>
      <c r="I521" s="83" t="n"/>
      <c r="J521" s="82" t="n"/>
      <c r="K521" s="84" t="n"/>
      <c r="L521" s="85" t="n"/>
      <c r="M521" s="82" t="n"/>
      <c r="N521" s="86" t="n"/>
      <c r="O521" s="81" t="n"/>
      <c r="P521" s="82" t="n"/>
      <c r="Q521" s="83" t="n"/>
      <c r="R521" s="82" t="n"/>
      <c r="S521" s="84" t="n"/>
      <c r="T521" s="84" t="n"/>
      <c r="U521" s="82" t="n"/>
      <c r="V521" s="86" t="n"/>
      <c r="W521" s="86" t="n"/>
      <c r="X521" s="86" t="n"/>
      <c r="Y521" s="81" t="n"/>
      <c r="Z521" s="82" t="n"/>
      <c r="AA521" s="81" t="n"/>
      <c r="AB521" s="82" t="n"/>
      <c r="AC521" s="87">
        <f>IF(OR($D521="",$M521="Rejected",$M521="Withdrawn",$M521="Accepted"),"",IF(ISNUMBER($O521),IF(INT($O521)&lt;TODAY(),"FOLLOW UP REQUIRED",IF(INT($O521)=TODAY(),"ACTION DUE TODAY",IF(INT($O521)-TODAY()&lt;=Set_DueSoonDays,"DUE SOON",""))),IF(AND($M521="Applied",$AA521=""),IF(ISNUMBER($C521),IF(TODAY()-$C521&gt;=Set_FollowUpDays,"NO RESPONSE",""),""),"")))</f>
        <v/>
      </c>
      <c r="AD521" s="87">
        <f>IF(ISNUMBER($L521),IF($L521&gt;=90,"Excellent Match",IF($L521&gt;=75,"Strong Match",IF($L521&gt;=60,"Moderate Match","Low Match"))),"")</f>
        <v/>
      </c>
      <c r="AE521" s="87">
        <f>IF($D521="","",IF(OR($M521="Rejected",$M521="Withdrawn"),IF($AB521&lt;&gt;"",$AB521,IF(OR($M521="Rejected",ISNUMBER($C521)),"Applied","Wishlist")),IF($M521="",IF(ISNUMBER($C521),"Applied","Wishlist"),$M521)))</f>
        <v/>
      </c>
      <c r="AF521" s="88">
        <f>IF(AND(ISNUMBER($C521),ISNUMBER($AA521)),$AA521-$C521,"")</f>
        <v/>
      </c>
      <c r="AG521" s="87">
        <f>IF($AE521="","",IFERROR(MATCH($AE521,{"Wishlist","Applied","Screening","Interview 1","Interview 2","Final","Offer","Accepted"},0)-1,""))</f>
        <v/>
      </c>
      <c r="AH521" s="87">
        <f>IF($AC521="","",MATCH($AC521,{"FOLLOW UP REQUIRED","ACTION DUE TODAY","NO RESPONSE","DUE SOON"},0)*100000+IF(ISNUMBER($O521),$O521,IF(ISNUMBER($C521),$C521,0))+ROW()/10000)</f>
        <v/>
      </c>
      <c r="AI521" s="87">
        <f>IF(AND(ISNUMBER($AG521),$AG521&gt;=1,$AG521&lt;=6,$M521&lt;&gt;"Rejected",$M521&lt;&gt;"Withdrawn"),(10-$AG521)*100000+IF(ISNUMBER($C521),$C521,0)+ROW()/10000,"")</f>
        <v/>
      </c>
    </row>
    <row r="522">
      <c r="A522" s="80" t="n"/>
      <c r="B522" s="81" t="n"/>
      <c r="C522" s="81" t="n"/>
      <c r="D522" s="82" t="n"/>
      <c r="E522" s="82" t="n"/>
      <c r="F522" s="82" t="n"/>
      <c r="G522" s="82" t="n"/>
      <c r="H522" s="82" t="n"/>
      <c r="I522" s="83" t="n"/>
      <c r="J522" s="82" t="n"/>
      <c r="K522" s="84" t="n"/>
      <c r="L522" s="85" t="n"/>
      <c r="M522" s="82" t="n"/>
      <c r="N522" s="86" t="n"/>
      <c r="O522" s="81" t="n"/>
      <c r="P522" s="82" t="n"/>
      <c r="Q522" s="83" t="n"/>
      <c r="R522" s="82" t="n"/>
      <c r="S522" s="84" t="n"/>
      <c r="T522" s="84" t="n"/>
      <c r="U522" s="82" t="n"/>
      <c r="V522" s="86" t="n"/>
      <c r="W522" s="86" t="n"/>
      <c r="X522" s="86" t="n"/>
      <c r="Y522" s="81" t="n"/>
      <c r="Z522" s="82" t="n"/>
      <c r="AA522" s="81" t="n"/>
      <c r="AB522" s="82" t="n"/>
      <c r="AC522" s="87">
        <f>IF(OR($D522="",$M522="Rejected",$M522="Withdrawn",$M522="Accepted"),"",IF(ISNUMBER($O522),IF(INT($O522)&lt;TODAY(),"FOLLOW UP REQUIRED",IF(INT($O522)=TODAY(),"ACTION DUE TODAY",IF(INT($O522)-TODAY()&lt;=Set_DueSoonDays,"DUE SOON",""))),IF(AND($M522="Applied",$AA522=""),IF(ISNUMBER($C522),IF(TODAY()-$C522&gt;=Set_FollowUpDays,"NO RESPONSE",""),""),"")))</f>
        <v/>
      </c>
      <c r="AD522" s="87">
        <f>IF(ISNUMBER($L522),IF($L522&gt;=90,"Excellent Match",IF($L522&gt;=75,"Strong Match",IF($L522&gt;=60,"Moderate Match","Low Match"))),"")</f>
        <v/>
      </c>
      <c r="AE522" s="87">
        <f>IF($D522="","",IF(OR($M522="Rejected",$M522="Withdrawn"),IF($AB522&lt;&gt;"",$AB522,IF(OR($M522="Rejected",ISNUMBER($C522)),"Applied","Wishlist")),IF($M522="",IF(ISNUMBER($C522),"Applied","Wishlist"),$M522)))</f>
        <v/>
      </c>
      <c r="AF522" s="88">
        <f>IF(AND(ISNUMBER($C522),ISNUMBER($AA522)),$AA522-$C522,"")</f>
        <v/>
      </c>
      <c r="AG522" s="87">
        <f>IF($AE522="","",IFERROR(MATCH($AE522,{"Wishlist","Applied","Screening","Interview 1","Interview 2","Final","Offer","Accepted"},0)-1,""))</f>
        <v/>
      </c>
      <c r="AH522" s="87">
        <f>IF($AC522="","",MATCH($AC522,{"FOLLOW UP REQUIRED","ACTION DUE TODAY","NO RESPONSE","DUE SOON"},0)*100000+IF(ISNUMBER($O522),$O522,IF(ISNUMBER($C522),$C522,0))+ROW()/10000)</f>
        <v/>
      </c>
      <c r="AI522" s="87">
        <f>IF(AND(ISNUMBER($AG522),$AG522&gt;=1,$AG522&lt;=6,$M522&lt;&gt;"Rejected",$M522&lt;&gt;"Withdrawn"),(10-$AG522)*100000+IF(ISNUMBER($C522),$C522,0)+ROW()/10000,"")</f>
        <v/>
      </c>
    </row>
    <row r="523">
      <c r="A523" s="80" t="n"/>
      <c r="B523" s="81" t="n"/>
      <c r="C523" s="81" t="n"/>
      <c r="D523" s="82" t="n"/>
      <c r="E523" s="82" t="n"/>
      <c r="F523" s="82" t="n"/>
      <c r="G523" s="82" t="n"/>
      <c r="H523" s="82" t="n"/>
      <c r="I523" s="83" t="n"/>
      <c r="J523" s="82" t="n"/>
      <c r="K523" s="84" t="n"/>
      <c r="L523" s="85" t="n"/>
      <c r="M523" s="82" t="n"/>
      <c r="N523" s="86" t="n"/>
      <c r="O523" s="81" t="n"/>
      <c r="P523" s="82" t="n"/>
      <c r="Q523" s="83" t="n"/>
      <c r="R523" s="82" t="n"/>
      <c r="S523" s="84" t="n"/>
      <c r="T523" s="84" t="n"/>
      <c r="U523" s="82" t="n"/>
      <c r="V523" s="86" t="n"/>
      <c r="W523" s="86" t="n"/>
      <c r="X523" s="86" t="n"/>
      <c r="Y523" s="81" t="n"/>
      <c r="Z523" s="82" t="n"/>
      <c r="AA523" s="81" t="n"/>
      <c r="AB523" s="82" t="n"/>
      <c r="AC523" s="87">
        <f>IF(OR($D523="",$M523="Rejected",$M523="Withdrawn",$M523="Accepted"),"",IF(ISNUMBER($O523),IF(INT($O523)&lt;TODAY(),"FOLLOW UP REQUIRED",IF(INT($O523)=TODAY(),"ACTION DUE TODAY",IF(INT($O523)-TODAY()&lt;=Set_DueSoonDays,"DUE SOON",""))),IF(AND($M523="Applied",$AA523=""),IF(ISNUMBER($C523),IF(TODAY()-$C523&gt;=Set_FollowUpDays,"NO RESPONSE",""),""),"")))</f>
        <v/>
      </c>
      <c r="AD523" s="87">
        <f>IF(ISNUMBER($L523),IF($L523&gt;=90,"Excellent Match",IF($L523&gt;=75,"Strong Match",IF($L523&gt;=60,"Moderate Match","Low Match"))),"")</f>
        <v/>
      </c>
      <c r="AE523" s="87">
        <f>IF($D523="","",IF(OR($M523="Rejected",$M523="Withdrawn"),IF($AB523&lt;&gt;"",$AB523,IF(OR($M523="Rejected",ISNUMBER($C523)),"Applied","Wishlist")),IF($M523="",IF(ISNUMBER($C523),"Applied","Wishlist"),$M523)))</f>
        <v/>
      </c>
      <c r="AF523" s="88">
        <f>IF(AND(ISNUMBER($C523),ISNUMBER($AA523)),$AA523-$C523,"")</f>
        <v/>
      </c>
      <c r="AG523" s="87">
        <f>IF($AE523="","",IFERROR(MATCH($AE523,{"Wishlist","Applied","Screening","Interview 1","Interview 2","Final","Offer","Accepted"},0)-1,""))</f>
        <v/>
      </c>
      <c r="AH523" s="87">
        <f>IF($AC523="","",MATCH($AC523,{"FOLLOW UP REQUIRED","ACTION DUE TODAY","NO RESPONSE","DUE SOON"},0)*100000+IF(ISNUMBER($O523),$O523,IF(ISNUMBER($C523),$C523,0))+ROW()/10000)</f>
        <v/>
      </c>
      <c r="AI523" s="87">
        <f>IF(AND(ISNUMBER($AG523),$AG523&gt;=1,$AG523&lt;=6,$M523&lt;&gt;"Rejected",$M523&lt;&gt;"Withdrawn"),(10-$AG523)*100000+IF(ISNUMBER($C523),$C523,0)+ROW()/10000,"")</f>
        <v/>
      </c>
    </row>
    <row r="524">
      <c r="A524" s="80" t="n"/>
      <c r="B524" s="81" t="n"/>
      <c r="C524" s="81" t="n"/>
      <c r="D524" s="82" t="n"/>
      <c r="E524" s="82" t="n"/>
      <c r="F524" s="82" t="n"/>
      <c r="G524" s="82" t="n"/>
      <c r="H524" s="82" t="n"/>
      <c r="I524" s="83" t="n"/>
      <c r="J524" s="82" t="n"/>
      <c r="K524" s="84" t="n"/>
      <c r="L524" s="85" t="n"/>
      <c r="M524" s="82" t="n"/>
      <c r="N524" s="86" t="n"/>
      <c r="O524" s="81" t="n"/>
      <c r="P524" s="82" t="n"/>
      <c r="Q524" s="83" t="n"/>
      <c r="R524" s="82" t="n"/>
      <c r="S524" s="84" t="n"/>
      <c r="T524" s="84" t="n"/>
      <c r="U524" s="82" t="n"/>
      <c r="V524" s="86" t="n"/>
      <c r="W524" s="86" t="n"/>
      <c r="X524" s="86" t="n"/>
      <c r="Y524" s="81" t="n"/>
      <c r="Z524" s="82" t="n"/>
      <c r="AA524" s="81" t="n"/>
      <c r="AB524" s="82" t="n"/>
      <c r="AC524" s="87">
        <f>IF(OR($D524="",$M524="Rejected",$M524="Withdrawn",$M524="Accepted"),"",IF(ISNUMBER($O524),IF(INT($O524)&lt;TODAY(),"FOLLOW UP REQUIRED",IF(INT($O524)=TODAY(),"ACTION DUE TODAY",IF(INT($O524)-TODAY()&lt;=Set_DueSoonDays,"DUE SOON",""))),IF(AND($M524="Applied",$AA524=""),IF(ISNUMBER($C524),IF(TODAY()-$C524&gt;=Set_FollowUpDays,"NO RESPONSE",""),""),"")))</f>
        <v/>
      </c>
      <c r="AD524" s="87">
        <f>IF(ISNUMBER($L524),IF($L524&gt;=90,"Excellent Match",IF($L524&gt;=75,"Strong Match",IF($L524&gt;=60,"Moderate Match","Low Match"))),"")</f>
        <v/>
      </c>
      <c r="AE524" s="87">
        <f>IF($D524="","",IF(OR($M524="Rejected",$M524="Withdrawn"),IF($AB524&lt;&gt;"",$AB524,IF(OR($M524="Rejected",ISNUMBER($C524)),"Applied","Wishlist")),IF($M524="",IF(ISNUMBER($C524),"Applied","Wishlist"),$M524)))</f>
        <v/>
      </c>
      <c r="AF524" s="88">
        <f>IF(AND(ISNUMBER($C524),ISNUMBER($AA524)),$AA524-$C524,"")</f>
        <v/>
      </c>
      <c r="AG524" s="87">
        <f>IF($AE524="","",IFERROR(MATCH($AE524,{"Wishlist","Applied","Screening","Interview 1","Interview 2","Final","Offer","Accepted"},0)-1,""))</f>
        <v/>
      </c>
      <c r="AH524" s="87">
        <f>IF($AC524="","",MATCH($AC524,{"FOLLOW UP REQUIRED","ACTION DUE TODAY","NO RESPONSE","DUE SOON"},0)*100000+IF(ISNUMBER($O524),$O524,IF(ISNUMBER($C524),$C524,0))+ROW()/10000)</f>
        <v/>
      </c>
      <c r="AI524" s="87">
        <f>IF(AND(ISNUMBER($AG524),$AG524&gt;=1,$AG524&lt;=6,$M524&lt;&gt;"Rejected",$M524&lt;&gt;"Withdrawn"),(10-$AG524)*100000+IF(ISNUMBER($C524),$C524,0)+ROW()/10000,"")</f>
        <v/>
      </c>
    </row>
    <row r="525">
      <c r="A525" s="80" t="n"/>
      <c r="B525" s="81" t="n"/>
      <c r="C525" s="81" t="n"/>
      <c r="D525" s="82" t="n"/>
      <c r="E525" s="82" t="n"/>
      <c r="F525" s="82" t="n"/>
      <c r="G525" s="82" t="n"/>
      <c r="H525" s="82" t="n"/>
      <c r="I525" s="83" t="n"/>
      <c r="J525" s="82" t="n"/>
      <c r="K525" s="84" t="n"/>
      <c r="L525" s="85" t="n"/>
      <c r="M525" s="82" t="n"/>
      <c r="N525" s="86" t="n"/>
      <c r="O525" s="81" t="n"/>
      <c r="P525" s="82" t="n"/>
      <c r="Q525" s="83" t="n"/>
      <c r="R525" s="82" t="n"/>
      <c r="S525" s="84" t="n"/>
      <c r="T525" s="84" t="n"/>
      <c r="U525" s="82" t="n"/>
      <c r="V525" s="86" t="n"/>
      <c r="W525" s="86" t="n"/>
      <c r="X525" s="86" t="n"/>
      <c r="Y525" s="81" t="n"/>
      <c r="Z525" s="82" t="n"/>
      <c r="AA525" s="81" t="n"/>
      <c r="AB525" s="82" t="n"/>
      <c r="AC525" s="87">
        <f>IF(OR($D525="",$M525="Rejected",$M525="Withdrawn",$M525="Accepted"),"",IF(ISNUMBER($O525),IF(INT($O525)&lt;TODAY(),"FOLLOW UP REQUIRED",IF(INT($O525)=TODAY(),"ACTION DUE TODAY",IF(INT($O525)-TODAY()&lt;=Set_DueSoonDays,"DUE SOON",""))),IF(AND($M525="Applied",$AA525=""),IF(ISNUMBER($C525),IF(TODAY()-$C525&gt;=Set_FollowUpDays,"NO RESPONSE",""),""),"")))</f>
        <v/>
      </c>
      <c r="AD525" s="87">
        <f>IF(ISNUMBER($L525),IF($L525&gt;=90,"Excellent Match",IF($L525&gt;=75,"Strong Match",IF($L525&gt;=60,"Moderate Match","Low Match"))),"")</f>
        <v/>
      </c>
      <c r="AE525" s="87">
        <f>IF($D525="","",IF(OR($M525="Rejected",$M525="Withdrawn"),IF($AB525&lt;&gt;"",$AB525,IF(OR($M525="Rejected",ISNUMBER($C525)),"Applied","Wishlist")),IF($M525="",IF(ISNUMBER($C525),"Applied","Wishlist"),$M525)))</f>
        <v/>
      </c>
      <c r="AF525" s="88">
        <f>IF(AND(ISNUMBER($C525),ISNUMBER($AA525)),$AA525-$C525,"")</f>
        <v/>
      </c>
      <c r="AG525" s="87">
        <f>IF($AE525="","",IFERROR(MATCH($AE525,{"Wishlist","Applied","Screening","Interview 1","Interview 2","Final","Offer","Accepted"},0)-1,""))</f>
        <v/>
      </c>
      <c r="AH525" s="87">
        <f>IF($AC525="","",MATCH($AC525,{"FOLLOW UP REQUIRED","ACTION DUE TODAY","NO RESPONSE","DUE SOON"},0)*100000+IF(ISNUMBER($O525),$O525,IF(ISNUMBER($C525),$C525,0))+ROW()/10000)</f>
        <v/>
      </c>
      <c r="AI525" s="87">
        <f>IF(AND(ISNUMBER($AG525),$AG525&gt;=1,$AG525&lt;=6,$M525&lt;&gt;"Rejected",$M525&lt;&gt;"Withdrawn"),(10-$AG525)*100000+IF(ISNUMBER($C525),$C525,0)+ROW()/10000,"")</f>
        <v/>
      </c>
    </row>
    <row r="526">
      <c r="A526" s="80" t="n"/>
      <c r="B526" s="81" t="n"/>
      <c r="C526" s="81" t="n"/>
      <c r="D526" s="82" t="n"/>
      <c r="E526" s="82" t="n"/>
      <c r="F526" s="82" t="n"/>
      <c r="G526" s="82" t="n"/>
      <c r="H526" s="82" t="n"/>
      <c r="I526" s="83" t="n"/>
      <c r="J526" s="82" t="n"/>
      <c r="K526" s="84" t="n"/>
      <c r="L526" s="85" t="n"/>
      <c r="M526" s="82" t="n"/>
      <c r="N526" s="86" t="n"/>
      <c r="O526" s="81" t="n"/>
      <c r="P526" s="82" t="n"/>
      <c r="Q526" s="83" t="n"/>
      <c r="R526" s="82" t="n"/>
      <c r="S526" s="84" t="n"/>
      <c r="T526" s="84" t="n"/>
      <c r="U526" s="82" t="n"/>
      <c r="V526" s="86" t="n"/>
      <c r="W526" s="86" t="n"/>
      <c r="X526" s="86" t="n"/>
      <c r="Y526" s="81" t="n"/>
      <c r="Z526" s="82" t="n"/>
      <c r="AA526" s="81" t="n"/>
      <c r="AB526" s="82" t="n"/>
      <c r="AC526" s="87">
        <f>IF(OR($D526="",$M526="Rejected",$M526="Withdrawn",$M526="Accepted"),"",IF(ISNUMBER($O526),IF(INT($O526)&lt;TODAY(),"FOLLOW UP REQUIRED",IF(INT($O526)=TODAY(),"ACTION DUE TODAY",IF(INT($O526)-TODAY()&lt;=Set_DueSoonDays,"DUE SOON",""))),IF(AND($M526="Applied",$AA526=""),IF(ISNUMBER($C526),IF(TODAY()-$C526&gt;=Set_FollowUpDays,"NO RESPONSE",""),""),"")))</f>
        <v/>
      </c>
      <c r="AD526" s="87">
        <f>IF(ISNUMBER($L526),IF($L526&gt;=90,"Excellent Match",IF($L526&gt;=75,"Strong Match",IF($L526&gt;=60,"Moderate Match","Low Match"))),"")</f>
        <v/>
      </c>
      <c r="AE526" s="87">
        <f>IF($D526="","",IF(OR($M526="Rejected",$M526="Withdrawn"),IF($AB526&lt;&gt;"",$AB526,IF(OR($M526="Rejected",ISNUMBER($C526)),"Applied","Wishlist")),IF($M526="",IF(ISNUMBER($C526),"Applied","Wishlist"),$M526)))</f>
        <v/>
      </c>
      <c r="AF526" s="88">
        <f>IF(AND(ISNUMBER($C526),ISNUMBER($AA526)),$AA526-$C526,"")</f>
        <v/>
      </c>
      <c r="AG526" s="87">
        <f>IF($AE526="","",IFERROR(MATCH($AE526,{"Wishlist","Applied","Screening","Interview 1","Interview 2","Final","Offer","Accepted"},0)-1,""))</f>
        <v/>
      </c>
      <c r="AH526" s="87">
        <f>IF($AC526="","",MATCH($AC526,{"FOLLOW UP REQUIRED","ACTION DUE TODAY","NO RESPONSE","DUE SOON"},0)*100000+IF(ISNUMBER($O526),$O526,IF(ISNUMBER($C526),$C526,0))+ROW()/10000)</f>
        <v/>
      </c>
      <c r="AI526" s="87">
        <f>IF(AND(ISNUMBER($AG526),$AG526&gt;=1,$AG526&lt;=6,$M526&lt;&gt;"Rejected",$M526&lt;&gt;"Withdrawn"),(10-$AG526)*100000+IF(ISNUMBER($C526),$C526,0)+ROW()/10000,"")</f>
        <v/>
      </c>
    </row>
    <row r="527">
      <c r="A527" s="80" t="n"/>
      <c r="B527" s="81" t="n"/>
      <c r="C527" s="81" t="n"/>
      <c r="D527" s="82" t="n"/>
      <c r="E527" s="82" t="n"/>
      <c r="F527" s="82" t="n"/>
      <c r="G527" s="82" t="n"/>
      <c r="H527" s="82" t="n"/>
      <c r="I527" s="83" t="n"/>
      <c r="J527" s="82" t="n"/>
      <c r="K527" s="84" t="n"/>
      <c r="L527" s="85" t="n"/>
      <c r="M527" s="82" t="n"/>
      <c r="N527" s="86" t="n"/>
      <c r="O527" s="81" t="n"/>
      <c r="P527" s="82" t="n"/>
      <c r="Q527" s="83" t="n"/>
      <c r="R527" s="82" t="n"/>
      <c r="S527" s="84" t="n"/>
      <c r="T527" s="84" t="n"/>
      <c r="U527" s="82" t="n"/>
      <c r="V527" s="86" t="n"/>
      <c r="W527" s="86" t="n"/>
      <c r="X527" s="86" t="n"/>
      <c r="Y527" s="81" t="n"/>
      <c r="Z527" s="82" t="n"/>
      <c r="AA527" s="81" t="n"/>
      <c r="AB527" s="82" t="n"/>
      <c r="AC527" s="87">
        <f>IF(OR($D527="",$M527="Rejected",$M527="Withdrawn",$M527="Accepted"),"",IF(ISNUMBER($O527),IF(INT($O527)&lt;TODAY(),"FOLLOW UP REQUIRED",IF(INT($O527)=TODAY(),"ACTION DUE TODAY",IF(INT($O527)-TODAY()&lt;=Set_DueSoonDays,"DUE SOON",""))),IF(AND($M527="Applied",$AA527=""),IF(ISNUMBER($C527),IF(TODAY()-$C527&gt;=Set_FollowUpDays,"NO RESPONSE",""),""),"")))</f>
        <v/>
      </c>
      <c r="AD527" s="87">
        <f>IF(ISNUMBER($L527),IF($L527&gt;=90,"Excellent Match",IF($L527&gt;=75,"Strong Match",IF($L527&gt;=60,"Moderate Match","Low Match"))),"")</f>
        <v/>
      </c>
      <c r="AE527" s="87">
        <f>IF($D527="","",IF(OR($M527="Rejected",$M527="Withdrawn"),IF($AB527&lt;&gt;"",$AB527,IF(OR($M527="Rejected",ISNUMBER($C527)),"Applied","Wishlist")),IF($M527="",IF(ISNUMBER($C527),"Applied","Wishlist"),$M527)))</f>
        <v/>
      </c>
      <c r="AF527" s="88">
        <f>IF(AND(ISNUMBER($C527),ISNUMBER($AA527)),$AA527-$C527,"")</f>
        <v/>
      </c>
      <c r="AG527" s="87">
        <f>IF($AE527="","",IFERROR(MATCH($AE527,{"Wishlist","Applied","Screening","Interview 1","Interview 2","Final","Offer","Accepted"},0)-1,""))</f>
        <v/>
      </c>
      <c r="AH527" s="87">
        <f>IF($AC527="","",MATCH($AC527,{"FOLLOW UP REQUIRED","ACTION DUE TODAY","NO RESPONSE","DUE SOON"},0)*100000+IF(ISNUMBER($O527),$O527,IF(ISNUMBER($C527),$C527,0))+ROW()/10000)</f>
        <v/>
      </c>
      <c r="AI527" s="87">
        <f>IF(AND(ISNUMBER($AG527),$AG527&gt;=1,$AG527&lt;=6,$M527&lt;&gt;"Rejected",$M527&lt;&gt;"Withdrawn"),(10-$AG527)*100000+IF(ISNUMBER($C527),$C527,0)+ROW()/10000,"")</f>
        <v/>
      </c>
    </row>
    <row r="528">
      <c r="A528" s="80" t="n"/>
      <c r="B528" s="81" t="n"/>
      <c r="C528" s="81" t="n"/>
      <c r="D528" s="82" t="n"/>
      <c r="E528" s="82" t="n"/>
      <c r="F528" s="82" t="n"/>
      <c r="G528" s="82" t="n"/>
      <c r="H528" s="82" t="n"/>
      <c r="I528" s="83" t="n"/>
      <c r="J528" s="82" t="n"/>
      <c r="K528" s="84" t="n"/>
      <c r="L528" s="85" t="n"/>
      <c r="M528" s="82" t="n"/>
      <c r="N528" s="86" t="n"/>
      <c r="O528" s="81" t="n"/>
      <c r="P528" s="82" t="n"/>
      <c r="Q528" s="83" t="n"/>
      <c r="R528" s="82" t="n"/>
      <c r="S528" s="84" t="n"/>
      <c r="T528" s="84" t="n"/>
      <c r="U528" s="82" t="n"/>
      <c r="V528" s="86" t="n"/>
      <c r="W528" s="86" t="n"/>
      <c r="X528" s="86" t="n"/>
      <c r="Y528" s="81" t="n"/>
      <c r="Z528" s="82" t="n"/>
      <c r="AA528" s="81" t="n"/>
      <c r="AB528" s="82" t="n"/>
      <c r="AC528" s="87">
        <f>IF(OR($D528="",$M528="Rejected",$M528="Withdrawn",$M528="Accepted"),"",IF(ISNUMBER($O528),IF(INT($O528)&lt;TODAY(),"FOLLOW UP REQUIRED",IF(INT($O528)=TODAY(),"ACTION DUE TODAY",IF(INT($O528)-TODAY()&lt;=Set_DueSoonDays,"DUE SOON",""))),IF(AND($M528="Applied",$AA528=""),IF(ISNUMBER($C528),IF(TODAY()-$C528&gt;=Set_FollowUpDays,"NO RESPONSE",""),""),"")))</f>
        <v/>
      </c>
      <c r="AD528" s="87">
        <f>IF(ISNUMBER($L528),IF($L528&gt;=90,"Excellent Match",IF($L528&gt;=75,"Strong Match",IF($L528&gt;=60,"Moderate Match","Low Match"))),"")</f>
        <v/>
      </c>
      <c r="AE528" s="87">
        <f>IF($D528="","",IF(OR($M528="Rejected",$M528="Withdrawn"),IF($AB528&lt;&gt;"",$AB528,IF(OR($M528="Rejected",ISNUMBER($C528)),"Applied","Wishlist")),IF($M528="",IF(ISNUMBER($C528),"Applied","Wishlist"),$M528)))</f>
        <v/>
      </c>
      <c r="AF528" s="88">
        <f>IF(AND(ISNUMBER($C528),ISNUMBER($AA528)),$AA528-$C528,"")</f>
        <v/>
      </c>
      <c r="AG528" s="87">
        <f>IF($AE528="","",IFERROR(MATCH($AE528,{"Wishlist","Applied","Screening","Interview 1","Interview 2","Final","Offer","Accepted"},0)-1,""))</f>
        <v/>
      </c>
      <c r="AH528" s="87">
        <f>IF($AC528="","",MATCH($AC528,{"FOLLOW UP REQUIRED","ACTION DUE TODAY","NO RESPONSE","DUE SOON"},0)*100000+IF(ISNUMBER($O528),$O528,IF(ISNUMBER($C528),$C528,0))+ROW()/10000)</f>
        <v/>
      </c>
      <c r="AI528" s="87">
        <f>IF(AND(ISNUMBER($AG528),$AG528&gt;=1,$AG528&lt;=6,$M528&lt;&gt;"Rejected",$M528&lt;&gt;"Withdrawn"),(10-$AG528)*100000+IF(ISNUMBER($C528),$C528,0)+ROW()/10000,"")</f>
        <v/>
      </c>
    </row>
    <row r="529">
      <c r="A529" s="80" t="n"/>
      <c r="B529" s="81" t="n"/>
      <c r="C529" s="81" t="n"/>
      <c r="D529" s="82" t="n"/>
      <c r="E529" s="82" t="n"/>
      <c r="F529" s="82" t="n"/>
      <c r="G529" s="82" t="n"/>
      <c r="H529" s="82" t="n"/>
      <c r="I529" s="83" t="n"/>
      <c r="J529" s="82" t="n"/>
      <c r="K529" s="84" t="n"/>
      <c r="L529" s="85" t="n"/>
      <c r="M529" s="82" t="n"/>
      <c r="N529" s="86" t="n"/>
      <c r="O529" s="81" t="n"/>
      <c r="P529" s="82" t="n"/>
      <c r="Q529" s="83" t="n"/>
      <c r="R529" s="82" t="n"/>
      <c r="S529" s="84" t="n"/>
      <c r="T529" s="84" t="n"/>
      <c r="U529" s="82" t="n"/>
      <c r="V529" s="86" t="n"/>
      <c r="W529" s="86" t="n"/>
      <c r="X529" s="86" t="n"/>
      <c r="Y529" s="81" t="n"/>
      <c r="Z529" s="82" t="n"/>
      <c r="AA529" s="81" t="n"/>
      <c r="AB529" s="82" t="n"/>
      <c r="AC529" s="87">
        <f>IF(OR($D529="",$M529="Rejected",$M529="Withdrawn",$M529="Accepted"),"",IF(ISNUMBER($O529),IF(INT($O529)&lt;TODAY(),"FOLLOW UP REQUIRED",IF(INT($O529)=TODAY(),"ACTION DUE TODAY",IF(INT($O529)-TODAY()&lt;=Set_DueSoonDays,"DUE SOON",""))),IF(AND($M529="Applied",$AA529=""),IF(ISNUMBER($C529),IF(TODAY()-$C529&gt;=Set_FollowUpDays,"NO RESPONSE",""),""),"")))</f>
        <v/>
      </c>
      <c r="AD529" s="87">
        <f>IF(ISNUMBER($L529),IF($L529&gt;=90,"Excellent Match",IF($L529&gt;=75,"Strong Match",IF($L529&gt;=60,"Moderate Match","Low Match"))),"")</f>
        <v/>
      </c>
      <c r="AE529" s="87">
        <f>IF($D529="","",IF(OR($M529="Rejected",$M529="Withdrawn"),IF($AB529&lt;&gt;"",$AB529,IF(OR($M529="Rejected",ISNUMBER($C529)),"Applied","Wishlist")),IF($M529="",IF(ISNUMBER($C529),"Applied","Wishlist"),$M529)))</f>
        <v/>
      </c>
      <c r="AF529" s="88">
        <f>IF(AND(ISNUMBER($C529),ISNUMBER($AA529)),$AA529-$C529,"")</f>
        <v/>
      </c>
      <c r="AG529" s="87">
        <f>IF($AE529="","",IFERROR(MATCH($AE529,{"Wishlist","Applied","Screening","Interview 1","Interview 2","Final","Offer","Accepted"},0)-1,""))</f>
        <v/>
      </c>
      <c r="AH529" s="87">
        <f>IF($AC529="","",MATCH($AC529,{"FOLLOW UP REQUIRED","ACTION DUE TODAY","NO RESPONSE","DUE SOON"},0)*100000+IF(ISNUMBER($O529),$O529,IF(ISNUMBER($C529),$C529,0))+ROW()/10000)</f>
        <v/>
      </c>
      <c r="AI529" s="87">
        <f>IF(AND(ISNUMBER($AG529),$AG529&gt;=1,$AG529&lt;=6,$M529&lt;&gt;"Rejected",$M529&lt;&gt;"Withdrawn"),(10-$AG529)*100000+IF(ISNUMBER($C529),$C529,0)+ROW()/10000,"")</f>
        <v/>
      </c>
    </row>
    <row r="530">
      <c r="A530" s="80" t="n"/>
      <c r="B530" s="81" t="n"/>
      <c r="C530" s="81" t="n"/>
      <c r="D530" s="82" t="n"/>
      <c r="E530" s="82" t="n"/>
      <c r="F530" s="82" t="n"/>
      <c r="G530" s="82" t="n"/>
      <c r="H530" s="82" t="n"/>
      <c r="I530" s="83" t="n"/>
      <c r="J530" s="82" t="n"/>
      <c r="K530" s="84" t="n"/>
      <c r="L530" s="85" t="n"/>
      <c r="M530" s="82" t="n"/>
      <c r="N530" s="86" t="n"/>
      <c r="O530" s="81" t="n"/>
      <c r="P530" s="82" t="n"/>
      <c r="Q530" s="83" t="n"/>
      <c r="R530" s="82" t="n"/>
      <c r="S530" s="84" t="n"/>
      <c r="T530" s="84" t="n"/>
      <c r="U530" s="82" t="n"/>
      <c r="V530" s="86" t="n"/>
      <c r="W530" s="86" t="n"/>
      <c r="X530" s="86" t="n"/>
      <c r="Y530" s="81" t="n"/>
      <c r="Z530" s="82" t="n"/>
      <c r="AA530" s="81" t="n"/>
      <c r="AB530" s="82" t="n"/>
      <c r="AC530" s="87">
        <f>IF(OR($D530="",$M530="Rejected",$M530="Withdrawn",$M530="Accepted"),"",IF(ISNUMBER($O530),IF(INT($O530)&lt;TODAY(),"FOLLOW UP REQUIRED",IF(INT($O530)=TODAY(),"ACTION DUE TODAY",IF(INT($O530)-TODAY()&lt;=Set_DueSoonDays,"DUE SOON",""))),IF(AND($M530="Applied",$AA530=""),IF(ISNUMBER($C530),IF(TODAY()-$C530&gt;=Set_FollowUpDays,"NO RESPONSE",""),""),"")))</f>
        <v/>
      </c>
      <c r="AD530" s="87">
        <f>IF(ISNUMBER($L530),IF($L530&gt;=90,"Excellent Match",IF($L530&gt;=75,"Strong Match",IF($L530&gt;=60,"Moderate Match","Low Match"))),"")</f>
        <v/>
      </c>
      <c r="AE530" s="87">
        <f>IF($D530="","",IF(OR($M530="Rejected",$M530="Withdrawn"),IF($AB530&lt;&gt;"",$AB530,IF(OR($M530="Rejected",ISNUMBER($C530)),"Applied","Wishlist")),IF($M530="",IF(ISNUMBER($C530),"Applied","Wishlist"),$M530)))</f>
        <v/>
      </c>
      <c r="AF530" s="88">
        <f>IF(AND(ISNUMBER($C530),ISNUMBER($AA530)),$AA530-$C530,"")</f>
        <v/>
      </c>
      <c r="AG530" s="87">
        <f>IF($AE530="","",IFERROR(MATCH($AE530,{"Wishlist","Applied","Screening","Interview 1","Interview 2","Final","Offer","Accepted"},0)-1,""))</f>
        <v/>
      </c>
      <c r="AH530" s="87">
        <f>IF($AC530="","",MATCH($AC530,{"FOLLOW UP REQUIRED","ACTION DUE TODAY","NO RESPONSE","DUE SOON"},0)*100000+IF(ISNUMBER($O530),$O530,IF(ISNUMBER($C530),$C530,0))+ROW()/10000)</f>
        <v/>
      </c>
      <c r="AI530" s="87">
        <f>IF(AND(ISNUMBER($AG530),$AG530&gt;=1,$AG530&lt;=6,$M530&lt;&gt;"Rejected",$M530&lt;&gt;"Withdrawn"),(10-$AG530)*100000+IF(ISNUMBER($C530),$C530,0)+ROW()/10000,"")</f>
        <v/>
      </c>
    </row>
    <row r="531">
      <c r="A531" s="80" t="n"/>
      <c r="B531" s="81" t="n"/>
      <c r="C531" s="81" t="n"/>
      <c r="D531" s="82" t="n"/>
      <c r="E531" s="82" t="n"/>
      <c r="F531" s="82" t="n"/>
      <c r="G531" s="82" t="n"/>
      <c r="H531" s="82" t="n"/>
      <c r="I531" s="83" t="n"/>
      <c r="J531" s="82" t="n"/>
      <c r="K531" s="84" t="n"/>
      <c r="L531" s="85" t="n"/>
      <c r="M531" s="82" t="n"/>
      <c r="N531" s="86" t="n"/>
      <c r="O531" s="81" t="n"/>
      <c r="P531" s="82" t="n"/>
      <c r="Q531" s="83" t="n"/>
      <c r="R531" s="82" t="n"/>
      <c r="S531" s="84" t="n"/>
      <c r="T531" s="84" t="n"/>
      <c r="U531" s="82" t="n"/>
      <c r="V531" s="86" t="n"/>
      <c r="W531" s="86" t="n"/>
      <c r="X531" s="86" t="n"/>
      <c r="Y531" s="81" t="n"/>
      <c r="Z531" s="82" t="n"/>
      <c r="AA531" s="81" t="n"/>
      <c r="AB531" s="82" t="n"/>
      <c r="AC531" s="87">
        <f>IF(OR($D531="",$M531="Rejected",$M531="Withdrawn",$M531="Accepted"),"",IF(ISNUMBER($O531),IF(INT($O531)&lt;TODAY(),"FOLLOW UP REQUIRED",IF(INT($O531)=TODAY(),"ACTION DUE TODAY",IF(INT($O531)-TODAY()&lt;=Set_DueSoonDays,"DUE SOON",""))),IF(AND($M531="Applied",$AA531=""),IF(ISNUMBER($C531),IF(TODAY()-$C531&gt;=Set_FollowUpDays,"NO RESPONSE",""),""),"")))</f>
        <v/>
      </c>
      <c r="AD531" s="87">
        <f>IF(ISNUMBER($L531),IF($L531&gt;=90,"Excellent Match",IF($L531&gt;=75,"Strong Match",IF($L531&gt;=60,"Moderate Match","Low Match"))),"")</f>
        <v/>
      </c>
      <c r="AE531" s="87">
        <f>IF($D531="","",IF(OR($M531="Rejected",$M531="Withdrawn"),IF($AB531&lt;&gt;"",$AB531,IF(OR($M531="Rejected",ISNUMBER($C531)),"Applied","Wishlist")),IF($M531="",IF(ISNUMBER($C531),"Applied","Wishlist"),$M531)))</f>
        <v/>
      </c>
      <c r="AF531" s="88">
        <f>IF(AND(ISNUMBER($C531),ISNUMBER($AA531)),$AA531-$C531,"")</f>
        <v/>
      </c>
      <c r="AG531" s="87">
        <f>IF($AE531="","",IFERROR(MATCH($AE531,{"Wishlist","Applied","Screening","Interview 1","Interview 2","Final","Offer","Accepted"},0)-1,""))</f>
        <v/>
      </c>
      <c r="AH531" s="87">
        <f>IF($AC531="","",MATCH($AC531,{"FOLLOW UP REQUIRED","ACTION DUE TODAY","NO RESPONSE","DUE SOON"},0)*100000+IF(ISNUMBER($O531),$O531,IF(ISNUMBER($C531),$C531,0))+ROW()/10000)</f>
        <v/>
      </c>
      <c r="AI531" s="87">
        <f>IF(AND(ISNUMBER($AG531),$AG531&gt;=1,$AG531&lt;=6,$M531&lt;&gt;"Rejected",$M531&lt;&gt;"Withdrawn"),(10-$AG531)*100000+IF(ISNUMBER($C531),$C531,0)+ROW()/10000,"")</f>
        <v/>
      </c>
    </row>
    <row r="532">
      <c r="A532" s="80" t="n"/>
      <c r="B532" s="81" t="n"/>
      <c r="C532" s="81" t="n"/>
      <c r="D532" s="82" t="n"/>
      <c r="E532" s="82" t="n"/>
      <c r="F532" s="82" t="n"/>
      <c r="G532" s="82" t="n"/>
      <c r="H532" s="82" t="n"/>
      <c r="I532" s="83" t="n"/>
      <c r="J532" s="82" t="n"/>
      <c r="K532" s="84" t="n"/>
      <c r="L532" s="85" t="n"/>
      <c r="M532" s="82" t="n"/>
      <c r="N532" s="86" t="n"/>
      <c r="O532" s="81" t="n"/>
      <c r="P532" s="82" t="n"/>
      <c r="Q532" s="83" t="n"/>
      <c r="R532" s="82" t="n"/>
      <c r="S532" s="84" t="n"/>
      <c r="T532" s="84" t="n"/>
      <c r="U532" s="82" t="n"/>
      <c r="V532" s="86" t="n"/>
      <c r="W532" s="86" t="n"/>
      <c r="X532" s="86" t="n"/>
      <c r="Y532" s="81" t="n"/>
      <c r="Z532" s="82" t="n"/>
      <c r="AA532" s="81" t="n"/>
      <c r="AB532" s="82" t="n"/>
      <c r="AC532" s="87">
        <f>IF(OR($D532="",$M532="Rejected",$M532="Withdrawn",$M532="Accepted"),"",IF(ISNUMBER($O532),IF(INT($O532)&lt;TODAY(),"FOLLOW UP REQUIRED",IF(INT($O532)=TODAY(),"ACTION DUE TODAY",IF(INT($O532)-TODAY()&lt;=Set_DueSoonDays,"DUE SOON",""))),IF(AND($M532="Applied",$AA532=""),IF(ISNUMBER($C532),IF(TODAY()-$C532&gt;=Set_FollowUpDays,"NO RESPONSE",""),""),"")))</f>
        <v/>
      </c>
      <c r="AD532" s="87">
        <f>IF(ISNUMBER($L532),IF($L532&gt;=90,"Excellent Match",IF($L532&gt;=75,"Strong Match",IF($L532&gt;=60,"Moderate Match","Low Match"))),"")</f>
        <v/>
      </c>
      <c r="AE532" s="87">
        <f>IF($D532="","",IF(OR($M532="Rejected",$M532="Withdrawn"),IF($AB532&lt;&gt;"",$AB532,IF(OR($M532="Rejected",ISNUMBER($C532)),"Applied","Wishlist")),IF($M532="",IF(ISNUMBER($C532),"Applied","Wishlist"),$M532)))</f>
        <v/>
      </c>
      <c r="AF532" s="88">
        <f>IF(AND(ISNUMBER($C532),ISNUMBER($AA532)),$AA532-$C532,"")</f>
        <v/>
      </c>
      <c r="AG532" s="87">
        <f>IF($AE532="","",IFERROR(MATCH($AE532,{"Wishlist","Applied","Screening","Interview 1","Interview 2","Final","Offer","Accepted"},0)-1,""))</f>
        <v/>
      </c>
      <c r="AH532" s="87">
        <f>IF($AC532="","",MATCH($AC532,{"FOLLOW UP REQUIRED","ACTION DUE TODAY","NO RESPONSE","DUE SOON"},0)*100000+IF(ISNUMBER($O532),$O532,IF(ISNUMBER($C532),$C532,0))+ROW()/10000)</f>
        <v/>
      </c>
      <c r="AI532" s="87">
        <f>IF(AND(ISNUMBER($AG532),$AG532&gt;=1,$AG532&lt;=6,$M532&lt;&gt;"Rejected",$M532&lt;&gt;"Withdrawn"),(10-$AG532)*100000+IF(ISNUMBER($C532),$C532,0)+ROW()/10000,"")</f>
        <v/>
      </c>
    </row>
    <row r="533">
      <c r="A533" s="80" t="n"/>
      <c r="B533" s="81" t="n"/>
      <c r="C533" s="81" t="n"/>
      <c r="D533" s="82" t="n"/>
      <c r="E533" s="82" t="n"/>
      <c r="F533" s="82" t="n"/>
      <c r="G533" s="82" t="n"/>
      <c r="H533" s="82" t="n"/>
      <c r="I533" s="83" t="n"/>
      <c r="J533" s="82" t="n"/>
      <c r="K533" s="84" t="n"/>
      <c r="L533" s="85" t="n"/>
      <c r="M533" s="82" t="n"/>
      <c r="N533" s="86" t="n"/>
      <c r="O533" s="81" t="n"/>
      <c r="P533" s="82" t="n"/>
      <c r="Q533" s="83" t="n"/>
      <c r="R533" s="82" t="n"/>
      <c r="S533" s="84" t="n"/>
      <c r="T533" s="84" t="n"/>
      <c r="U533" s="82" t="n"/>
      <c r="V533" s="86" t="n"/>
      <c r="W533" s="86" t="n"/>
      <c r="X533" s="86" t="n"/>
      <c r="Y533" s="81" t="n"/>
      <c r="Z533" s="82" t="n"/>
      <c r="AA533" s="81" t="n"/>
      <c r="AB533" s="82" t="n"/>
      <c r="AC533" s="87">
        <f>IF(OR($D533="",$M533="Rejected",$M533="Withdrawn",$M533="Accepted"),"",IF(ISNUMBER($O533),IF(INT($O533)&lt;TODAY(),"FOLLOW UP REQUIRED",IF(INT($O533)=TODAY(),"ACTION DUE TODAY",IF(INT($O533)-TODAY()&lt;=Set_DueSoonDays,"DUE SOON",""))),IF(AND($M533="Applied",$AA533=""),IF(ISNUMBER($C533),IF(TODAY()-$C533&gt;=Set_FollowUpDays,"NO RESPONSE",""),""),"")))</f>
        <v/>
      </c>
      <c r="AD533" s="87">
        <f>IF(ISNUMBER($L533),IF($L533&gt;=90,"Excellent Match",IF($L533&gt;=75,"Strong Match",IF($L533&gt;=60,"Moderate Match","Low Match"))),"")</f>
        <v/>
      </c>
      <c r="AE533" s="87">
        <f>IF($D533="","",IF(OR($M533="Rejected",$M533="Withdrawn"),IF($AB533&lt;&gt;"",$AB533,IF(OR($M533="Rejected",ISNUMBER($C533)),"Applied","Wishlist")),IF($M533="",IF(ISNUMBER($C533),"Applied","Wishlist"),$M533)))</f>
        <v/>
      </c>
      <c r="AF533" s="88">
        <f>IF(AND(ISNUMBER($C533),ISNUMBER($AA533)),$AA533-$C533,"")</f>
        <v/>
      </c>
      <c r="AG533" s="87">
        <f>IF($AE533="","",IFERROR(MATCH($AE533,{"Wishlist","Applied","Screening","Interview 1","Interview 2","Final","Offer","Accepted"},0)-1,""))</f>
        <v/>
      </c>
      <c r="AH533" s="87">
        <f>IF($AC533="","",MATCH($AC533,{"FOLLOW UP REQUIRED","ACTION DUE TODAY","NO RESPONSE","DUE SOON"},0)*100000+IF(ISNUMBER($O533),$O533,IF(ISNUMBER($C533),$C533,0))+ROW()/10000)</f>
        <v/>
      </c>
      <c r="AI533" s="87">
        <f>IF(AND(ISNUMBER($AG533),$AG533&gt;=1,$AG533&lt;=6,$M533&lt;&gt;"Rejected",$M533&lt;&gt;"Withdrawn"),(10-$AG533)*100000+IF(ISNUMBER($C533),$C533,0)+ROW()/10000,"")</f>
        <v/>
      </c>
    </row>
    <row r="534">
      <c r="A534" s="80" t="n"/>
      <c r="B534" s="81" t="n"/>
      <c r="C534" s="81" t="n"/>
      <c r="D534" s="82" t="n"/>
      <c r="E534" s="82" t="n"/>
      <c r="F534" s="82" t="n"/>
      <c r="G534" s="82" t="n"/>
      <c r="H534" s="82" t="n"/>
      <c r="I534" s="83" t="n"/>
      <c r="J534" s="82" t="n"/>
      <c r="K534" s="84" t="n"/>
      <c r="L534" s="85" t="n"/>
      <c r="M534" s="82" t="n"/>
      <c r="N534" s="86" t="n"/>
      <c r="O534" s="81" t="n"/>
      <c r="P534" s="82" t="n"/>
      <c r="Q534" s="83" t="n"/>
      <c r="R534" s="82" t="n"/>
      <c r="S534" s="84" t="n"/>
      <c r="T534" s="84" t="n"/>
      <c r="U534" s="82" t="n"/>
      <c r="V534" s="86" t="n"/>
      <c r="W534" s="86" t="n"/>
      <c r="X534" s="86" t="n"/>
      <c r="Y534" s="81" t="n"/>
      <c r="Z534" s="82" t="n"/>
      <c r="AA534" s="81" t="n"/>
      <c r="AB534" s="82" t="n"/>
      <c r="AC534" s="87">
        <f>IF(OR($D534="",$M534="Rejected",$M534="Withdrawn",$M534="Accepted"),"",IF(ISNUMBER($O534),IF(INT($O534)&lt;TODAY(),"FOLLOW UP REQUIRED",IF(INT($O534)=TODAY(),"ACTION DUE TODAY",IF(INT($O534)-TODAY()&lt;=Set_DueSoonDays,"DUE SOON",""))),IF(AND($M534="Applied",$AA534=""),IF(ISNUMBER($C534),IF(TODAY()-$C534&gt;=Set_FollowUpDays,"NO RESPONSE",""),""),"")))</f>
        <v/>
      </c>
      <c r="AD534" s="87">
        <f>IF(ISNUMBER($L534),IF($L534&gt;=90,"Excellent Match",IF($L534&gt;=75,"Strong Match",IF($L534&gt;=60,"Moderate Match","Low Match"))),"")</f>
        <v/>
      </c>
      <c r="AE534" s="87">
        <f>IF($D534="","",IF(OR($M534="Rejected",$M534="Withdrawn"),IF($AB534&lt;&gt;"",$AB534,IF(OR($M534="Rejected",ISNUMBER($C534)),"Applied","Wishlist")),IF($M534="",IF(ISNUMBER($C534),"Applied","Wishlist"),$M534)))</f>
        <v/>
      </c>
      <c r="AF534" s="88">
        <f>IF(AND(ISNUMBER($C534),ISNUMBER($AA534)),$AA534-$C534,"")</f>
        <v/>
      </c>
      <c r="AG534" s="87">
        <f>IF($AE534="","",IFERROR(MATCH($AE534,{"Wishlist","Applied","Screening","Interview 1","Interview 2","Final","Offer","Accepted"},0)-1,""))</f>
        <v/>
      </c>
      <c r="AH534" s="87">
        <f>IF($AC534="","",MATCH($AC534,{"FOLLOW UP REQUIRED","ACTION DUE TODAY","NO RESPONSE","DUE SOON"},0)*100000+IF(ISNUMBER($O534),$O534,IF(ISNUMBER($C534),$C534,0))+ROW()/10000)</f>
        <v/>
      </c>
      <c r="AI534" s="87">
        <f>IF(AND(ISNUMBER($AG534),$AG534&gt;=1,$AG534&lt;=6,$M534&lt;&gt;"Rejected",$M534&lt;&gt;"Withdrawn"),(10-$AG534)*100000+IF(ISNUMBER($C534),$C534,0)+ROW()/10000,"")</f>
        <v/>
      </c>
    </row>
    <row r="535">
      <c r="A535" s="80" t="n"/>
      <c r="B535" s="81" t="n"/>
      <c r="C535" s="81" t="n"/>
      <c r="D535" s="82" t="n"/>
      <c r="E535" s="82" t="n"/>
      <c r="F535" s="82" t="n"/>
      <c r="G535" s="82" t="n"/>
      <c r="H535" s="82" t="n"/>
      <c r="I535" s="83" t="n"/>
      <c r="J535" s="82" t="n"/>
      <c r="K535" s="84" t="n"/>
      <c r="L535" s="85" t="n"/>
      <c r="M535" s="82" t="n"/>
      <c r="N535" s="86" t="n"/>
      <c r="O535" s="81" t="n"/>
      <c r="P535" s="82" t="n"/>
      <c r="Q535" s="83" t="n"/>
      <c r="R535" s="82" t="n"/>
      <c r="S535" s="84" t="n"/>
      <c r="T535" s="84" t="n"/>
      <c r="U535" s="82" t="n"/>
      <c r="V535" s="86" t="n"/>
      <c r="W535" s="86" t="n"/>
      <c r="X535" s="86" t="n"/>
      <c r="Y535" s="81" t="n"/>
      <c r="Z535" s="82" t="n"/>
      <c r="AA535" s="81" t="n"/>
      <c r="AB535" s="82" t="n"/>
      <c r="AC535" s="87">
        <f>IF(OR($D535="",$M535="Rejected",$M535="Withdrawn",$M535="Accepted"),"",IF(ISNUMBER($O535),IF(INT($O535)&lt;TODAY(),"FOLLOW UP REQUIRED",IF(INT($O535)=TODAY(),"ACTION DUE TODAY",IF(INT($O535)-TODAY()&lt;=Set_DueSoonDays,"DUE SOON",""))),IF(AND($M535="Applied",$AA535=""),IF(ISNUMBER($C535),IF(TODAY()-$C535&gt;=Set_FollowUpDays,"NO RESPONSE",""),""),"")))</f>
        <v/>
      </c>
      <c r="AD535" s="87">
        <f>IF(ISNUMBER($L535),IF($L535&gt;=90,"Excellent Match",IF($L535&gt;=75,"Strong Match",IF($L535&gt;=60,"Moderate Match","Low Match"))),"")</f>
        <v/>
      </c>
      <c r="AE535" s="87">
        <f>IF($D535="","",IF(OR($M535="Rejected",$M535="Withdrawn"),IF($AB535&lt;&gt;"",$AB535,IF(OR($M535="Rejected",ISNUMBER($C535)),"Applied","Wishlist")),IF($M535="",IF(ISNUMBER($C535),"Applied","Wishlist"),$M535)))</f>
        <v/>
      </c>
      <c r="AF535" s="88">
        <f>IF(AND(ISNUMBER($C535),ISNUMBER($AA535)),$AA535-$C535,"")</f>
        <v/>
      </c>
      <c r="AG535" s="87">
        <f>IF($AE535="","",IFERROR(MATCH($AE535,{"Wishlist","Applied","Screening","Interview 1","Interview 2","Final","Offer","Accepted"},0)-1,""))</f>
        <v/>
      </c>
      <c r="AH535" s="87">
        <f>IF($AC535="","",MATCH($AC535,{"FOLLOW UP REQUIRED","ACTION DUE TODAY","NO RESPONSE","DUE SOON"},0)*100000+IF(ISNUMBER($O535),$O535,IF(ISNUMBER($C535),$C535,0))+ROW()/10000)</f>
        <v/>
      </c>
      <c r="AI535" s="87">
        <f>IF(AND(ISNUMBER($AG535),$AG535&gt;=1,$AG535&lt;=6,$M535&lt;&gt;"Rejected",$M535&lt;&gt;"Withdrawn"),(10-$AG535)*100000+IF(ISNUMBER($C535),$C535,0)+ROW()/10000,"")</f>
        <v/>
      </c>
    </row>
    <row r="536">
      <c r="A536" s="80" t="n"/>
      <c r="B536" s="81" t="n"/>
      <c r="C536" s="81" t="n"/>
      <c r="D536" s="82" t="n"/>
      <c r="E536" s="82" t="n"/>
      <c r="F536" s="82" t="n"/>
      <c r="G536" s="82" t="n"/>
      <c r="H536" s="82" t="n"/>
      <c r="I536" s="83" t="n"/>
      <c r="J536" s="82" t="n"/>
      <c r="K536" s="84" t="n"/>
      <c r="L536" s="85" t="n"/>
      <c r="M536" s="82" t="n"/>
      <c r="N536" s="86" t="n"/>
      <c r="O536" s="81" t="n"/>
      <c r="P536" s="82" t="n"/>
      <c r="Q536" s="83" t="n"/>
      <c r="R536" s="82" t="n"/>
      <c r="S536" s="84" t="n"/>
      <c r="T536" s="84" t="n"/>
      <c r="U536" s="82" t="n"/>
      <c r="V536" s="86" t="n"/>
      <c r="W536" s="86" t="n"/>
      <c r="X536" s="86" t="n"/>
      <c r="Y536" s="81" t="n"/>
      <c r="Z536" s="82" t="n"/>
      <c r="AA536" s="81" t="n"/>
      <c r="AB536" s="82" t="n"/>
      <c r="AC536" s="87">
        <f>IF(OR($D536="",$M536="Rejected",$M536="Withdrawn",$M536="Accepted"),"",IF(ISNUMBER($O536),IF(INT($O536)&lt;TODAY(),"FOLLOW UP REQUIRED",IF(INT($O536)=TODAY(),"ACTION DUE TODAY",IF(INT($O536)-TODAY()&lt;=Set_DueSoonDays,"DUE SOON",""))),IF(AND($M536="Applied",$AA536=""),IF(ISNUMBER($C536),IF(TODAY()-$C536&gt;=Set_FollowUpDays,"NO RESPONSE",""),""),"")))</f>
        <v/>
      </c>
      <c r="AD536" s="87">
        <f>IF(ISNUMBER($L536),IF($L536&gt;=90,"Excellent Match",IF($L536&gt;=75,"Strong Match",IF($L536&gt;=60,"Moderate Match","Low Match"))),"")</f>
        <v/>
      </c>
      <c r="AE536" s="87">
        <f>IF($D536="","",IF(OR($M536="Rejected",$M536="Withdrawn"),IF($AB536&lt;&gt;"",$AB536,IF(OR($M536="Rejected",ISNUMBER($C536)),"Applied","Wishlist")),IF($M536="",IF(ISNUMBER($C536),"Applied","Wishlist"),$M536)))</f>
        <v/>
      </c>
      <c r="AF536" s="88">
        <f>IF(AND(ISNUMBER($C536),ISNUMBER($AA536)),$AA536-$C536,"")</f>
        <v/>
      </c>
      <c r="AG536" s="87">
        <f>IF($AE536="","",IFERROR(MATCH($AE536,{"Wishlist","Applied","Screening","Interview 1","Interview 2","Final","Offer","Accepted"},0)-1,""))</f>
        <v/>
      </c>
      <c r="AH536" s="87">
        <f>IF($AC536="","",MATCH($AC536,{"FOLLOW UP REQUIRED","ACTION DUE TODAY","NO RESPONSE","DUE SOON"},0)*100000+IF(ISNUMBER($O536),$O536,IF(ISNUMBER($C536),$C536,0))+ROW()/10000)</f>
        <v/>
      </c>
      <c r="AI536" s="87">
        <f>IF(AND(ISNUMBER($AG536),$AG536&gt;=1,$AG536&lt;=6,$M536&lt;&gt;"Rejected",$M536&lt;&gt;"Withdrawn"),(10-$AG536)*100000+IF(ISNUMBER($C536),$C536,0)+ROW()/10000,"")</f>
        <v/>
      </c>
    </row>
    <row r="537">
      <c r="A537" s="80" t="n"/>
      <c r="B537" s="81" t="n"/>
      <c r="C537" s="81" t="n"/>
      <c r="D537" s="82" t="n"/>
      <c r="E537" s="82" t="n"/>
      <c r="F537" s="82" t="n"/>
      <c r="G537" s="82" t="n"/>
      <c r="H537" s="82" t="n"/>
      <c r="I537" s="83" t="n"/>
      <c r="J537" s="82" t="n"/>
      <c r="K537" s="84" t="n"/>
      <c r="L537" s="85" t="n"/>
      <c r="M537" s="82" t="n"/>
      <c r="N537" s="86" t="n"/>
      <c r="O537" s="81" t="n"/>
      <c r="P537" s="82" t="n"/>
      <c r="Q537" s="83" t="n"/>
      <c r="R537" s="82" t="n"/>
      <c r="S537" s="84" t="n"/>
      <c r="T537" s="84" t="n"/>
      <c r="U537" s="82" t="n"/>
      <c r="V537" s="86" t="n"/>
      <c r="W537" s="86" t="n"/>
      <c r="X537" s="86" t="n"/>
      <c r="Y537" s="81" t="n"/>
      <c r="Z537" s="82" t="n"/>
      <c r="AA537" s="81" t="n"/>
      <c r="AB537" s="82" t="n"/>
      <c r="AC537" s="87">
        <f>IF(OR($D537="",$M537="Rejected",$M537="Withdrawn",$M537="Accepted"),"",IF(ISNUMBER($O537),IF(INT($O537)&lt;TODAY(),"FOLLOW UP REQUIRED",IF(INT($O537)=TODAY(),"ACTION DUE TODAY",IF(INT($O537)-TODAY()&lt;=Set_DueSoonDays,"DUE SOON",""))),IF(AND($M537="Applied",$AA537=""),IF(ISNUMBER($C537),IF(TODAY()-$C537&gt;=Set_FollowUpDays,"NO RESPONSE",""),""),"")))</f>
        <v/>
      </c>
      <c r="AD537" s="87">
        <f>IF(ISNUMBER($L537),IF($L537&gt;=90,"Excellent Match",IF($L537&gt;=75,"Strong Match",IF($L537&gt;=60,"Moderate Match","Low Match"))),"")</f>
        <v/>
      </c>
      <c r="AE537" s="87">
        <f>IF($D537="","",IF(OR($M537="Rejected",$M537="Withdrawn"),IF($AB537&lt;&gt;"",$AB537,IF(OR($M537="Rejected",ISNUMBER($C537)),"Applied","Wishlist")),IF($M537="",IF(ISNUMBER($C537),"Applied","Wishlist"),$M537)))</f>
        <v/>
      </c>
      <c r="AF537" s="88">
        <f>IF(AND(ISNUMBER($C537),ISNUMBER($AA537)),$AA537-$C537,"")</f>
        <v/>
      </c>
      <c r="AG537" s="87">
        <f>IF($AE537="","",IFERROR(MATCH($AE537,{"Wishlist","Applied","Screening","Interview 1","Interview 2","Final","Offer","Accepted"},0)-1,""))</f>
        <v/>
      </c>
      <c r="AH537" s="87">
        <f>IF($AC537="","",MATCH($AC537,{"FOLLOW UP REQUIRED","ACTION DUE TODAY","NO RESPONSE","DUE SOON"},0)*100000+IF(ISNUMBER($O537),$O537,IF(ISNUMBER($C537),$C537,0))+ROW()/10000)</f>
        <v/>
      </c>
      <c r="AI537" s="87">
        <f>IF(AND(ISNUMBER($AG537),$AG537&gt;=1,$AG537&lt;=6,$M537&lt;&gt;"Rejected",$M537&lt;&gt;"Withdrawn"),(10-$AG537)*100000+IF(ISNUMBER($C537),$C537,0)+ROW()/10000,"")</f>
        <v/>
      </c>
    </row>
    <row r="538">
      <c r="A538" s="80" t="n"/>
      <c r="B538" s="81" t="n"/>
      <c r="C538" s="81" t="n"/>
      <c r="D538" s="82" t="n"/>
      <c r="E538" s="82" t="n"/>
      <c r="F538" s="82" t="n"/>
      <c r="G538" s="82" t="n"/>
      <c r="H538" s="82" t="n"/>
      <c r="I538" s="83" t="n"/>
      <c r="J538" s="82" t="n"/>
      <c r="K538" s="84" t="n"/>
      <c r="L538" s="85" t="n"/>
      <c r="M538" s="82" t="n"/>
      <c r="N538" s="86" t="n"/>
      <c r="O538" s="81" t="n"/>
      <c r="P538" s="82" t="n"/>
      <c r="Q538" s="83" t="n"/>
      <c r="R538" s="82" t="n"/>
      <c r="S538" s="84" t="n"/>
      <c r="T538" s="84" t="n"/>
      <c r="U538" s="82" t="n"/>
      <c r="V538" s="86" t="n"/>
      <c r="W538" s="86" t="n"/>
      <c r="X538" s="86" t="n"/>
      <c r="Y538" s="81" t="n"/>
      <c r="Z538" s="82" t="n"/>
      <c r="AA538" s="81" t="n"/>
      <c r="AB538" s="82" t="n"/>
      <c r="AC538" s="87">
        <f>IF(OR($D538="",$M538="Rejected",$M538="Withdrawn",$M538="Accepted"),"",IF(ISNUMBER($O538),IF(INT($O538)&lt;TODAY(),"FOLLOW UP REQUIRED",IF(INT($O538)=TODAY(),"ACTION DUE TODAY",IF(INT($O538)-TODAY()&lt;=Set_DueSoonDays,"DUE SOON",""))),IF(AND($M538="Applied",$AA538=""),IF(ISNUMBER($C538),IF(TODAY()-$C538&gt;=Set_FollowUpDays,"NO RESPONSE",""),""),"")))</f>
        <v/>
      </c>
      <c r="AD538" s="87">
        <f>IF(ISNUMBER($L538),IF($L538&gt;=90,"Excellent Match",IF($L538&gt;=75,"Strong Match",IF($L538&gt;=60,"Moderate Match","Low Match"))),"")</f>
        <v/>
      </c>
      <c r="AE538" s="87">
        <f>IF($D538="","",IF(OR($M538="Rejected",$M538="Withdrawn"),IF($AB538&lt;&gt;"",$AB538,IF(OR($M538="Rejected",ISNUMBER($C538)),"Applied","Wishlist")),IF($M538="",IF(ISNUMBER($C538),"Applied","Wishlist"),$M538)))</f>
        <v/>
      </c>
      <c r="AF538" s="88">
        <f>IF(AND(ISNUMBER($C538),ISNUMBER($AA538)),$AA538-$C538,"")</f>
        <v/>
      </c>
      <c r="AG538" s="87">
        <f>IF($AE538="","",IFERROR(MATCH($AE538,{"Wishlist","Applied","Screening","Interview 1","Interview 2","Final","Offer","Accepted"},0)-1,""))</f>
        <v/>
      </c>
      <c r="AH538" s="87">
        <f>IF($AC538="","",MATCH($AC538,{"FOLLOW UP REQUIRED","ACTION DUE TODAY","NO RESPONSE","DUE SOON"},0)*100000+IF(ISNUMBER($O538),$O538,IF(ISNUMBER($C538),$C538,0))+ROW()/10000)</f>
        <v/>
      </c>
      <c r="AI538" s="87">
        <f>IF(AND(ISNUMBER($AG538),$AG538&gt;=1,$AG538&lt;=6,$M538&lt;&gt;"Rejected",$M538&lt;&gt;"Withdrawn"),(10-$AG538)*100000+IF(ISNUMBER($C538),$C538,0)+ROW()/10000,"")</f>
        <v/>
      </c>
    </row>
    <row r="539">
      <c r="A539" s="80" t="n"/>
      <c r="B539" s="81" t="n"/>
      <c r="C539" s="81" t="n"/>
      <c r="D539" s="82" t="n"/>
      <c r="E539" s="82" t="n"/>
      <c r="F539" s="82" t="n"/>
      <c r="G539" s="82" t="n"/>
      <c r="H539" s="82" t="n"/>
      <c r="I539" s="83" t="n"/>
      <c r="J539" s="82" t="n"/>
      <c r="K539" s="84" t="n"/>
      <c r="L539" s="85" t="n"/>
      <c r="M539" s="82" t="n"/>
      <c r="N539" s="86" t="n"/>
      <c r="O539" s="81" t="n"/>
      <c r="P539" s="82" t="n"/>
      <c r="Q539" s="83" t="n"/>
      <c r="R539" s="82" t="n"/>
      <c r="S539" s="84" t="n"/>
      <c r="T539" s="84" t="n"/>
      <c r="U539" s="82" t="n"/>
      <c r="V539" s="86" t="n"/>
      <c r="W539" s="86" t="n"/>
      <c r="X539" s="86" t="n"/>
      <c r="Y539" s="81" t="n"/>
      <c r="Z539" s="82" t="n"/>
      <c r="AA539" s="81" t="n"/>
      <c r="AB539" s="82" t="n"/>
      <c r="AC539" s="87">
        <f>IF(OR($D539="",$M539="Rejected",$M539="Withdrawn",$M539="Accepted"),"",IF(ISNUMBER($O539),IF(INT($O539)&lt;TODAY(),"FOLLOW UP REQUIRED",IF(INT($O539)=TODAY(),"ACTION DUE TODAY",IF(INT($O539)-TODAY()&lt;=Set_DueSoonDays,"DUE SOON",""))),IF(AND($M539="Applied",$AA539=""),IF(ISNUMBER($C539),IF(TODAY()-$C539&gt;=Set_FollowUpDays,"NO RESPONSE",""),""),"")))</f>
        <v/>
      </c>
      <c r="AD539" s="87">
        <f>IF(ISNUMBER($L539),IF($L539&gt;=90,"Excellent Match",IF($L539&gt;=75,"Strong Match",IF($L539&gt;=60,"Moderate Match","Low Match"))),"")</f>
        <v/>
      </c>
      <c r="AE539" s="87">
        <f>IF($D539="","",IF(OR($M539="Rejected",$M539="Withdrawn"),IF($AB539&lt;&gt;"",$AB539,IF(OR($M539="Rejected",ISNUMBER($C539)),"Applied","Wishlist")),IF($M539="",IF(ISNUMBER($C539),"Applied","Wishlist"),$M539)))</f>
        <v/>
      </c>
      <c r="AF539" s="88">
        <f>IF(AND(ISNUMBER($C539),ISNUMBER($AA539)),$AA539-$C539,"")</f>
        <v/>
      </c>
      <c r="AG539" s="87">
        <f>IF($AE539="","",IFERROR(MATCH($AE539,{"Wishlist","Applied","Screening","Interview 1","Interview 2","Final","Offer","Accepted"},0)-1,""))</f>
        <v/>
      </c>
      <c r="AH539" s="87">
        <f>IF($AC539="","",MATCH($AC539,{"FOLLOW UP REQUIRED","ACTION DUE TODAY","NO RESPONSE","DUE SOON"},0)*100000+IF(ISNUMBER($O539),$O539,IF(ISNUMBER($C539),$C539,0))+ROW()/10000)</f>
        <v/>
      </c>
      <c r="AI539" s="87">
        <f>IF(AND(ISNUMBER($AG539),$AG539&gt;=1,$AG539&lt;=6,$M539&lt;&gt;"Rejected",$M539&lt;&gt;"Withdrawn"),(10-$AG539)*100000+IF(ISNUMBER($C539),$C539,0)+ROW()/10000,"")</f>
        <v/>
      </c>
    </row>
    <row r="540">
      <c r="A540" s="80" t="n"/>
      <c r="B540" s="81" t="n"/>
      <c r="C540" s="81" t="n"/>
      <c r="D540" s="82" t="n"/>
      <c r="E540" s="82" t="n"/>
      <c r="F540" s="82" t="n"/>
      <c r="G540" s="82" t="n"/>
      <c r="H540" s="82" t="n"/>
      <c r="I540" s="83" t="n"/>
      <c r="J540" s="82" t="n"/>
      <c r="K540" s="84" t="n"/>
      <c r="L540" s="85" t="n"/>
      <c r="M540" s="82" t="n"/>
      <c r="N540" s="86" t="n"/>
      <c r="O540" s="81" t="n"/>
      <c r="P540" s="82" t="n"/>
      <c r="Q540" s="83" t="n"/>
      <c r="R540" s="82" t="n"/>
      <c r="S540" s="84" t="n"/>
      <c r="T540" s="84" t="n"/>
      <c r="U540" s="82" t="n"/>
      <c r="V540" s="86" t="n"/>
      <c r="W540" s="86" t="n"/>
      <c r="X540" s="86" t="n"/>
      <c r="Y540" s="81" t="n"/>
      <c r="Z540" s="82" t="n"/>
      <c r="AA540" s="81" t="n"/>
      <c r="AB540" s="82" t="n"/>
      <c r="AC540" s="87">
        <f>IF(OR($D540="",$M540="Rejected",$M540="Withdrawn",$M540="Accepted"),"",IF(ISNUMBER($O540),IF(INT($O540)&lt;TODAY(),"FOLLOW UP REQUIRED",IF(INT($O540)=TODAY(),"ACTION DUE TODAY",IF(INT($O540)-TODAY()&lt;=Set_DueSoonDays,"DUE SOON",""))),IF(AND($M540="Applied",$AA540=""),IF(ISNUMBER($C540),IF(TODAY()-$C540&gt;=Set_FollowUpDays,"NO RESPONSE",""),""),"")))</f>
        <v/>
      </c>
      <c r="AD540" s="87">
        <f>IF(ISNUMBER($L540),IF($L540&gt;=90,"Excellent Match",IF($L540&gt;=75,"Strong Match",IF($L540&gt;=60,"Moderate Match","Low Match"))),"")</f>
        <v/>
      </c>
      <c r="AE540" s="87">
        <f>IF($D540="","",IF(OR($M540="Rejected",$M540="Withdrawn"),IF($AB540&lt;&gt;"",$AB540,IF(OR($M540="Rejected",ISNUMBER($C540)),"Applied","Wishlist")),IF($M540="",IF(ISNUMBER($C540),"Applied","Wishlist"),$M540)))</f>
        <v/>
      </c>
      <c r="AF540" s="88">
        <f>IF(AND(ISNUMBER($C540),ISNUMBER($AA540)),$AA540-$C540,"")</f>
        <v/>
      </c>
      <c r="AG540" s="87">
        <f>IF($AE540="","",IFERROR(MATCH($AE540,{"Wishlist","Applied","Screening","Interview 1","Interview 2","Final","Offer","Accepted"},0)-1,""))</f>
        <v/>
      </c>
      <c r="AH540" s="87">
        <f>IF($AC540="","",MATCH($AC540,{"FOLLOW UP REQUIRED","ACTION DUE TODAY","NO RESPONSE","DUE SOON"},0)*100000+IF(ISNUMBER($O540),$O540,IF(ISNUMBER($C540),$C540,0))+ROW()/10000)</f>
        <v/>
      </c>
      <c r="AI540" s="87">
        <f>IF(AND(ISNUMBER($AG540),$AG540&gt;=1,$AG540&lt;=6,$M540&lt;&gt;"Rejected",$M540&lt;&gt;"Withdrawn"),(10-$AG540)*100000+IF(ISNUMBER($C540),$C540,0)+ROW()/10000,"")</f>
        <v/>
      </c>
    </row>
    <row r="541">
      <c r="A541" s="80" t="n"/>
      <c r="B541" s="81" t="n"/>
      <c r="C541" s="81" t="n"/>
      <c r="D541" s="82" t="n"/>
      <c r="E541" s="82" t="n"/>
      <c r="F541" s="82" t="n"/>
      <c r="G541" s="82" t="n"/>
      <c r="H541" s="82" t="n"/>
      <c r="I541" s="83" t="n"/>
      <c r="J541" s="82" t="n"/>
      <c r="K541" s="84" t="n"/>
      <c r="L541" s="85" t="n"/>
      <c r="M541" s="82" t="n"/>
      <c r="N541" s="86" t="n"/>
      <c r="O541" s="81" t="n"/>
      <c r="P541" s="82" t="n"/>
      <c r="Q541" s="83" t="n"/>
      <c r="R541" s="82" t="n"/>
      <c r="S541" s="84" t="n"/>
      <c r="T541" s="84" t="n"/>
      <c r="U541" s="82" t="n"/>
      <c r="V541" s="86" t="n"/>
      <c r="W541" s="86" t="n"/>
      <c r="X541" s="86" t="n"/>
      <c r="Y541" s="81" t="n"/>
      <c r="Z541" s="82" t="n"/>
      <c r="AA541" s="81" t="n"/>
      <c r="AB541" s="82" t="n"/>
      <c r="AC541" s="87">
        <f>IF(OR($D541="",$M541="Rejected",$M541="Withdrawn",$M541="Accepted"),"",IF(ISNUMBER($O541),IF(INT($O541)&lt;TODAY(),"FOLLOW UP REQUIRED",IF(INT($O541)=TODAY(),"ACTION DUE TODAY",IF(INT($O541)-TODAY()&lt;=Set_DueSoonDays,"DUE SOON",""))),IF(AND($M541="Applied",$AA541=""),IF(ISNUMBER($C541),IF(TODAY()-$C541&gt;=Set_FollowUpDays,"NO RESPONSE",""),""),"")))</f>
        <v/>
      </c>
      <c r="AD541" s="87">
        <f>IF(ISNUMBER($L541),IF($L541&gt;=90,"Excellent Match",IF($L541&gt;=75,"Strong Match",IF($L541&gt;=60,"Moderate Match","Low Match"))),"")</f>
        <v/>
      </c>
      <c r="AE541" s="87">
        <f>IF($D541="","",IF(OR($M541="Rejected",$M541="Withdrawn"),IF($AB541&lt;&gt;"",$AB541,IF(OR($M541="Rejected",ISNUMBER($C541)),"Applied","Wishlist")),IF($M541="",IF(ISNUMBER($C541),"Applied","Wishlist"),$M541)))</f>
        <v/>
      </c>
      <c r="AF541" s="88">
        <f>IF(AND(ISNUMBER($C541),ISNUMBER($AA541)),$AA541-$C541,"")</f>
        <v/>
      </c>
      <c r="AG541" s="87">
        <f>IF($AE541="","",IFERROR(MATCH($AE541,{"Wishlist","Applied","Screening","Interview 1","Interview 2","Final","Offer","Accepted"},0)-1,""))</f>
        <v/>
      </c>
      <c r="AH541" s="87">
        <f>IF($AC541="","",MATCH($AC541,{"FOLLOW UP REQUIRED","ACTION DUE TODAY","NO RESPONSE","DUE SOON"},0)*100000+IF(ISNUMBER($O541),$O541,IF(ISNUMBER($C541),$C541,0))+ROW()/10000)</f>
        <v/>
      </c>
      <c r="AI541" s="87">
        <f>IF(AND(ISNUMBER($AG541),$AG541&gt;=1,$AG541&lt;=6,$M541&lt;&gt;"Rejected",$M541&lt;&gt;"Withdrawn"),(10-$AG541)*100000+IF(ISNUMBER($C541),$C541,0)+ROW()/10000,"")</f>
        <v/>
      </c>
    </row>
    <row r="542">
      <c r="A542" s="80" t="n"/>
      <c r="B542" s="81" t="n"/>
      <c r="C542" s="81" t="n"/>
      <c r="D542" s="82" t="n"/>
      <c r="E542" s="82" t="n"/>
      <c r="F542" s="82" t="n"/>
      <c r="G542" s="82" t="n"/>
      <c r="H542" s="82" t="n"/>
      <c r="I542" s="83" t="n"/>
      <c r="J542" s="82" t="n"/>
      <c r="K542" s="84" t="n"/>
      <c r="L542" s="85" t="n"/>
      <c r="M542" s="82" t="n"/>
      <c r="N542" s="86" t="n"/>
      <c r="O542" s="81" t="n"/>
      <c r="P542" s="82" t="n"/>
      <c r="Q542" s="83" t="n"/>
      <c r="R542" s="82" t="n"/>
      <c r="S542" s="84" t="n"/>
      <c r="T542" s="84" t="n"/>
      <c r="U542" s="82" t="n"/>
      <c r="V542" s="86" t="n"/>
      <c r="W542" s="86" t="n"/>
      <c r="X542" s="86" t="n"/>
      <c r="Y542" s="81" t="n"/>
      <c r="Z542" s="82" t="n"/>
      <c r="AA542" s="81" t="n"/>
      <c r="AB542" s="82" t="n"/>
      <c r="AC542" s="87">
        <f>IF(OR($D542="",$M542="Rejected",$M542="Withdrawn",$M542="Accepted"),"",IF(ISNUMBER($O542),IF(INT($O542)&lt;TODAY(),"FOLLOW UP REQUIRED",IF(INT($O542)=TODAY(),"ACTION DUE TODAY",IF(INT($O542)-TODAY()&lt;=Set_DueSoonDays,"DUE SOON",""))),IF(AND($M542="Applied",$AA542=""),IF(ISNUMBER($C542),IF(TODAY()-$C542&gt;=Set_FollowUpDays,"NO RESPONSE",""),""),"")))</f>
        <v/>
      </c>
      <c r="AD542" s="87">
        <f>IF(ISNUMBER($L542),IF($L542&gt;=90,"Excellent Match",IF($L542&gt;=75,"Strong Match",IF($L542&gt;=60,"Moderate Match","Low Match"))),"")</f>
        <v/>
      </c>
      <c r="AE542" s="87">
        <f>IF($D542="","",IF(OR($M542="Rejected",$M542="Withdrawn"),IF($AB542&lt;&gt;"",$AB542,IF(OR($M542="Rejected",ISNUMBER($C542)),"Applied","Wishlist")),IF($M542="",IF(ISNUMBER($C542),"Applied","Wishlist"),$M542)))</f>
        <v/>
      </c>
      <c r="AF542" s="88">
        <f>IF(AND(ISNUMBER($C542),ISNUMBER($AA542)),$AA542-$C542,"")</f>
        <v/>
      </c>
      <c r="AG542" s="87">
        <f>IF($AE542="","",IFERROR(MATCH($AE542,{"Wishlist","Applied","Screening","Interview 1","Interview 2","Final","Offer","Accepted"},0)-1,""))</f>
        <v/>
      </c>
      <c r="AH542" s="87">
        <f>IF($AC542="","",MATCH($AC542,{"FOLLOW UP REQUIRED","ACTION DUE TODAY","NO RESPONSE","DUE SOON"},0)*100000+IF(ISNUMBER($O542),$O542,IF(ISNUMBER($C542),$C542,0))+ROW()/10000)</f>
        <v/>
      </c>
      <c r="AI542" s="87">
        <f>IF(AND(ISNUMBER($AG542),$AG542&gt;=1,$AG542&lt;=6,$M542&lt;&gt;"Rejected",$M542&lt;&gt;"Withdrawn"),(10-$AG542)*100000+IF(ISNUMBER($C542),$C542,0)+ROW()/10000,"")</f>
        <v/>
      </c>
    </row>
    <row r="543">
      <c r="A543" s="80" t="n"/>
      <c r="B543" s="81" t="n"/>
      <c r="C543" s="81" t="n"/>
      <c r="D543" s="82" t="n"/>
      <c r="E543" s="82" t="n"/>
      <c r="F543" s="82" t="n"/>
      <c r="G543" s="82" t="n"/>
      <c r="H543" s="82" t="n"/>
      <c r="I543" s="83" t="n"/>
      <c r="J543" s="82" t="n"/>
      <c r="K543" s="84" t="n"/>
      <c r="L543" s="85" t="n"/>
      <c r="M543" s="82" t="n"/>
      <c r="N543" s="86" t="n"/>
      <c r="O543" s="81" t="n"/>
      <c r="P543" s="82" t="n"/>
      <c r="Q543" s="83" t="n"/>
      <c r="R543" s="82" t="n"/>
      <c r="S543" s="84" t="n"/>
      <c r="T543" s="84" t="n"/>
      <c r="U543" s="82" t="n"/>
      <c r="V543" s="86" t="n"/>
      <c r="W543" s="86" t="n"/>
      <c r="X543" s="86" t="n"/>
      <c r="Y543" s="81" t="n"/>
      <c r="Z543" s="82" t="n"/>
      <c r="AA543" s="81" t="n"/>
      <c r="AB543" s="82" t="n"/>
      <c r="AC543" s="87">
        <f>IF(OR($D543="",$M543="Rejected",$M543="Withdrawn",$M543="Accepted"),"",IF(ISNUMBER($O543),IF(INT($O543)&lt;TODAY(),"FOLLOW UP REQUIRED",IF(INT($O543)=TODAY(),"ACTION DUE TODAY",IF(INT($O543)-TODAY()&lt;=Set_DueSoonDays,"DUE SOON",""))),IF(AND($M543="Applied",$AA543=""),IF(ISNUMBER($C543),IF(TODAY()-$C543&gt;=Set_FollowUpDays,"NO RESPONSE",""),""),"")))</f>
        <v/>
      </c>
      <c r="AD543" s="87">
        <f>IF(ISNUMBER($L543),IF($L543&gt;=90,"Excellent Match",IF($L543&gt;=75,"Strong Match",IF($L543&gt;=60,"Moderate Match","Low Match"))),"")</f>
        <v/>
      </c>
      <c r="AE543" s="87">
        <f>IF($D543="","",IF(OR($M543="Rejected",$M543="Withdrawn"),IF($AB543&lt;&gt;"",$AB543,IF(OR($M543="Rejected",ISNUMBER($C543)),"Applied","Wishlist")),IF($M543="",IF(ISNUMBER($C543),"Applied","Wishlist"),$M543)))</f>
        <v/>
      </c>
      <c r="AF543" s="88">
        <f>IF(AND(ISNUMBER($C543),ISNUMBER($AA543)),$AA543-$C543,"")</f>
        <v/>
      </c>
      <c r="AG543" s="87">
        <f>IF($AE543="","",IFERROR(MATCH($AE543,{"Wishlist","Applied","Screening","Interview 1","Interview 2","Final","Offer","Accepted"},0)-1,""))</f>
        <v/>
      </c>
      <c r="AH543" s="87">
        <f>IF($AC543="","",MATCH($AC543,{"FOLLOW UP REQUIRED","ACTION DUE TODAY","NO RESPONSE","DUE SOON"},0)*100000+IF(ISNUMBER($O543),$O543,IF(ISNUMBER($C543),$C543,0))+ROW()/10000)</f>
        <v/>
      </c>
      <c r="AI543" s="87">
        <f>IF(AND(ISNUMBER($AG543),$AG543&gt;=1,$AG543&lt;=6,$M543&lt;&gt;"Rejected",$M543&lt;&gt;"Withdrawn"),(10-$AG543)*100000+IF(ISNUMBER($C543),$C543,0)+ROW()/10000,"")</f>
        <v/>
      </c>
    </row>
    <row r="544">
      <c r="A544" s="80" t="n"/>
      <c r="B544" s="81" t="n"/>
      <c r="C544" s="81" t="n"/>
      <c r="D544" s="82" t="n"/>
      <c r="E544" s="82" t="n"/>
      <c r="F544" s="82" t="n"/>
      <c r="G544" s="82" t="n"/>
      <c r="H544" s="82" t="n"/>
      <c r="I544" s="83" t="n"/>
      <c r="J544" s="82" t="n"/>
      <c r="K544" s="84" t="n"/>
      <c r="L544" s="85" t="n"/>
      <c r="M544" s="82" t="n"/>
      <c r="N544" s="86" t="n"/>
      <c r="O544" s="81" t="n"/>
      <c r="P544" s="82" t="n"/>
      <c r="Q544" s="83" t="n"/>
      <c r="R544" s="82" t="n"/>
      <c r="S544" s="84" t="n"/>
      <c r="T544" s="84" t="n"/>
      <c r="U544" s="82" t="n"/>
      <c r="V544" s="86" t="n"/>
      <c r="W544" s="86" t="n"/>
      <c r="X544" s="86" t="n"/>
      <c r="Y544" s="81" t="n"/>
      <c r="Z544" s="82" t="n"/>
      <c r="AA544" s="81" t="n"/>
      <c r="AB544" s="82" t="n"/>
      <c r="AC544" s="87">
        <f>IF(OR($D544="",$M544="Rejected",$M544="Withdrawn",$M544="Accepted"),"",IF(ISNUMBER($O544),IF(INT($O544)&lt;TODAY(),"FOLLOW UP REQUIRED",IF(INT($O544)=TODAY(),"ACTION DUE TODAY",IF(INT($O544)-TODAY()&lt;=Set_DueSoonDays,"DUE SOON",""))),IF(AND($M544="Applied",$AA544=""),IF(ISNUMBER($C544),IF(TODAY()-$C544&gt;=Set_FollowUpDays,"NO RESPONSE",""),""),"")))</f>
        <v/>
      </c>
      <c r="AD544" s="87">
        <f>IF(ISNUMBER($L544),IF($L544&gt;=90,"Excellent Match",IF($L544&gt;=75,"Strong Match",IF($L544&gt;=60,"Moderate Match","Low Match"))),"")</f>
        <v/>
      </c>
      <c r="AE544" s="87">
        <f>IF($D544="","",IF(OR($M544="Rejected",$M544="Withdrawn"),IF($AB544&lt;&gt;"",$AB544,IF(OR($M544="Rejected",ISNUMBER($C544)),"Applied","Wishlist")),IF($M544="",IF(ISNUMBER($C544),"Applied","Wishlist"),$M544)))</f>
        <v/>
      </c>
      <c r="AF544" s="88">
        <f>IF(AND(ISNUMBER($C544),ISNUMBER($AA544)),$AA544-$C544,"")</f>
        <v/>
      </c>
      <c r="AG544" s="87">
        <f>IF($AE544="","",IFERROR(MATCH($AE544,{"Wishlist","Applied","Screening","Interview 1","Interview 2","Final","Offer","Accepted"},0)-1,""))</f>
        <v/>
      </c>
      <c r="AH544" s="87">
        <f>IF($AC544="","",MATCH($AC544,{"FOLLOW UP REQUIRED","ACTION DUE TODAY","NO RESPONSE","DUE SOON"},0)*100000+IF(ISNUMBER($O544),$O544,IF(ISNUMBER($C544),$C544,0))+ROW()/10000)</f>
        <v/>
      </c>
      <c r="AI544" s="87">
        <f>IF(AND(ISNUMBER($AG544),$AG544&gt;=1,$AG544&lt;=6,$M544&lt;&gt;"Rejected",$M544&lt;&gt;"Withdrawn"),(10-$AG544)*100000+IF(ISNUMBER($C544),$C544,0)+ROW()/10000,"")</f>
        <v/>
      </c>
    </row>
    <row r="545">
      <c r="A545" s="80" t="n"/>
      <c r="B545" s="81" t="n"/>
      <c r="C545" s="81" t="n"/>
      <c r="D545" s="82" t="n"/>
      <c r="E545" s="82" t="n"/>
      <c r="F545" s="82" t="n"/>
      <c r="G545" s="82" t="n"/>
      <c r="H545" s="82" t="n"/>
      <c r="I545" s="83" t="n"/>
      <c r="J545" s="82" t="n"/>
      <c r="K545" s="84" t="n"/>
      <c r="L545" s="85" t="n"/>
      <c r="M545" s="82" t="n"/>
      <c r="N545" s="86" t="n"/>
      <c r="O545" s="81" t="n"/>
      <c r="P545" s="82" t="n"/>
      <c r="Q545" s="83" t="n"/>
      <c r="R545" s="82" t="n"/>
      <c r="S545" s="84" t="n"/>
      <c r="T545" s="84" t="n"/>
      <c r="U545" s="82" t="n"/>
      <c r="V545" s="86" t="n"/>
      <c r="W545" s="86" t="n"/>
      <c r="X545" s="86" t="n"/>
      <c r="Y545" s="81" t="n"/>
      <c r="Z545" s="82" t="n"/>
      <c r="AA545" s="81" t="n"/>
      <c r="AB545" s="82" t="n"/>
      <c r="AC545" s="87">
        <f>IF(OR($D545="",$M545="Rejected",$M545="Withdrawn",$M545="Accepted"),"",IF(ISNUMBER($O545),IF(INT($O545)&lt;TODAY(),"FOLLOW UP REQUIRED",IF(INT($O545)=TODAY(),"ACTION DUE TODAY",IF(INT($O545)-TODAY()&lt;=Set_DueSoonDays,"DUE SOON",""))),IF(AND($M545="Applied",$AA545=""),IF(ISNUMBER($C545),IF(TODAY()-$C545&gt;=Set_FollowUpDays,"NO RESPONSE",""),""),"")))</f>
        <v/>
      </c>
      <c r="AD545" s="87">
        <f>IF(ISNUMBER($L545),IF($L545&gt;=90,"Excellent Match",IF($L545&gt;=75,"Strong Match",IF($L545&gt;=60,"Moderate Match","Low Match"))),"")</f>
        <v/>
      </c>
      <c r="AE545" s="87">
        <f>IF($D545="","",IF(OR($M545="Rejected",$M545="Withdrawn"),IF($AB545&lt;&gt;"",$AB545,IF(OR($M545="Rejected",ISNUMBER($C545)),"Applied","Wishlist")),IF($M545="",IF(ISNUMBER($C545),"Applied","Wishlist"),$M545)))</f>
        <v/>
      </c>
      <c r="AF545" s="88">
        <f>IF(AND(ISNUMBER($C545),ISNUMBER($AA545)),$AA545-$C545,"")</f>
        <v/>
      </c>
      <c r="AG545" s="87">
        <f>IF($AE545="","",IFERROR(MATCH($AE545,{"Wishlist","Applied","Screening","Interview 1","Interview 2","Final","Offer","Accepted"},0)-1,""))</f>
        <v/>
      </c>
      <c r="AH545" s="87">
        <f>IF($AC545="","",MATCH($AC545,{"FOLLOW UP REQUIRED","ACTION DUE TODAY","NO RESPONSE","DUE SOON"},0)*100000+IF(ISNUMBER($O545),$O545,IF(ISNUMBER($C545),$C545,0))+ROW()/10000)</f>
        <v/>
      </c>
      <c r="AI545" s="87">
        <f>IF(AND(ISNUMBER($AG545),$AG545&gt;=1,$AG545&lt;=6,$M545&lt;&gt;"Rejected",$M545&lt;&gt;"Withdrawn"),(10-$AG545)*100000+IF(ISNUMBER($C545),$C545,0)+ROW()/10000,"")</f>
        <v/>
      </c>
    </row>
    <row r="546">
      <c r="A546" s="80" t="n"/>
      <c r="B546" s="81" t="n"/>
      <c r="C546" s="81" t="n"/>
      <c r="D546" s="82" t="n"/>
      <c r="E546" s="82" t="n"/>
      <c r="F546" s="82" t="n"/>
      <c r="G546" s="82" t="n"/>
      <c r="H546" s="82" t="n"/>
      <c r="I546" s="83" t="n"/>
      <c r="J546" s="82" t="n"/>
      <c r="K546" s="84" t="n"/>
      <c r="L546" s="85" t="n"/>
      <c r="M546" s="82" t="n"/>
      <c r="N546" s="86" t="n"/>
      <c r="O546" s="81" t="n"/>
      <c r="P546" s="82" t="n"/>
      <c r="Q546" s="83" t="n"/>
      <c r="R546" s="82" t="n"/>
      <c r="S546" s="84" t="n"/>
      <c r="T546" s="84" t="n"/>
      <c r="U546" s="82" t="n"/>
      <c r="V546" s="86" t="n"/>
      <c r="W546" s="86" t="n"/>
      <c r="X546" s="86" t="n"/>
      <c r="Y546" s="81" t="n"/>
      <c r="Z546" s="82" t="n"/>
      <c r="AA546" s="81" t="n"/>
      <c r="AB546" s="82" t="n"/>
      <c r="AC546" s="87">
        <f>IF(OR($D546="",$M546="Rejected",$M546="Withdrawn",$M546="Accepted"),"",IF(ISNUMBER($O546),IF(INT($O546)&lt;TODAY(),"FOLLOW UP REQUIRED",IF(INT($O546)=TODAY(),"ACTION DUE TODAY",IF(INT($O546)-TODAY()&lt;=Set_DueSoonDays,"DUE SOON",""))),IF(AND($M546="Applied",$AA546=""),IF(ISNUMBER($C546),IF(TODAY()-$C546&gt;=Set_FollowUpDays,"NO RESPONSE",""),""),"")))</f>
        <v/>
      </c>
      <c r="AD546" s="87">
        <f>IF(ISNUMBER($L546),IF($L546&gt;=90,"Excellent Match",IF($L546&gt;=75,"Strong Match",IF($L546&gt;=60,"Moderate Match","Low Match"))),"")</f>
        <v/>
      </c>
      <c r="AE546" s="87">
        <f>IF($D546="","",IF(OR($M546="Rejected",$M546="Withdrawn"),IF($AB546&lt;&gt;"",$AB546,IF(OR($M546="Rejected",ISNUMBER($C546)),"Applied","Wishlist")),IF($M546="",IF(ISNUMBER($C546),"Applied","Wishlist"),$M546)))</f>
        <v/>
      </c>
      <c r="AF546" s="88">
        <f>IF(AND(ISNUMBER($C546),ISNUMBER($AA546)),$AA546-$C546,"")</f>
        <v/>
      </c>
      <c r="AG546" s="87">
        <f>IF($AE546="","",IFERROR(MATCH($AE546,{"Wishlist","Applied","Screening","Interview 1","Interview 2","Final","Offer","Accepted"},0)-1,""))</f>
        <v/>
      </c>
      <c r="AH546" s="87">
        <f>IF($AC546="","",MATCH($AC546,{"FOLLOW UP REQUIRED","ACTION DUE TODAY","NO RESPONSE","DUE SOON"},0)*100000+IF(ISNUMBER($O546),$O546,IF(ISNUMBER($C546),$C546,0))+ROW()/10000)</f>
        <v/>
      </c>
      <c r="AI546" s="87">
        <f>IF(AND(ISNUMBER($AG546),$AG546&gt;=1,$AG546&lt;=6,$M546&lt;&gt;"Rejected",$M546&lt;&gt;"Withdrawn"),(10-$AG546)*100000+IF(ISNUMBER($C546),$C546,0)+ROW()/10000,"")</f>
        <v/>
      </c>
    </row>
    <row r="547">
      <c r="A547" s="80" t="n"/>
      <c r="B547" s="81" t="n"/>
      <c r="C547" s="81" t="n"/>
      <c r="D547" s="82" t="n"/>
      <c r="E547" s="82" t="n"/>
      <c r="F547" s="82" t="n"/>
      <c r="G547" s="82" t="n"/>
      <c r="H547" s="82" t="n"/>
      <c r="I547" s="83" t="n"/>
      <c r="J547" s="82" t="n"/>
      <c r="K547" s="84" t="n"/>
      <c r="L547" s="85" t="n"/>
      <c r="M547" s="82" t="n"/>
      <c r="N547" s="86" t="n"/>
      <c r="O547" s="81" t="n"/>
      <c r="P547" s="82" t="n"/>
      <c r="Q547" s="83" t="n"/>
      <c r="R547" s="82" t="n"/>
      <c r="S547" s="84" t="n"/>
      <c r="T547" s="84" t="n"/>
      <c r="U547" s="82" t="n"/>
      <c r="V547" s="86" t="n"/>
      <c r="W547" s="86" t="n"/>
      <c r="X547" s="86" t="n"/>
      <c r="Y547" s="81" t="n"/>
      <c r="Z547" s="82" t="n"/>
      <c r="AA547" s="81" t="n"/>
      <c r="AB547" s="82" t="n"/>
      <c r="AC547" s="87">
        <f>IF(OR($D547="",$M547="Rejected",$M547="Withdrawn",$M547="Accepted"),"",IF(ISNUMBER($O547),IF(INT($O547)&lt;TODAY(),"FOLLOW UP REQUIRED",IF(INT($O547)=TODAY(),"ACTION DUE TODAY",IF(INT($O547)-TODAY()&lt;=Set_DueSoonDays,"DUE SOON",""))),IF(AND($M547="Applied",$AA547=""),IF(ISNUMBER($C547),IF(TODAY()-$C547&gt;=Set_FollowUpDays,"NO RESPONSE",""),""),"")))</f>
        <v/>
      </c>
      <c r="AD547" s="87">
        <f>IF(ISNUMBER($L547),IF($L547&gt;=90,"Excellent Match",IF($L547&gt;=75,"Strong Match",IF($L547&gt;=60,"Moderate Match","Low Match"))),"")</f>
        <v/>
      </c>
      <c r="AE547" s="87">
        <f>IF($D547="","",IF(OR($M547="Rejected",$M547="Withdrawn"),IF($AB547&lt;&gt;"",$AB547,IF(OR($M547="Rejected",ISNUMBER($C547)),"Applied","Wishlist")),IF($M547="",IF(ISNUMBER($C547),"Applied","Wishlist"),$M547)))</f>
        <v/>
      </c>
      <c r="AF547" s="88">
        <f>IF(AND(ISNUMBER($C547),ISNUMBER($AA547)),$AA547-$C547,"")</f>
        <v/>
      </c>
      <c r="AG547" s="87">
        <f>IF($AE547="","",IFERROR(MATCH($AE547,{"Wishlist","Applied","Screening","Interview 1","Interview 2","Final","Offer","Accepted"},0)-1,""))</f>
        <v/>
      </c>
      <c r="AH547" s="87">
        <f>IF($AC547="","",MATCH($AC547,{"FOLLOW UP REQUIRED","ACTION DUE TODAY","NO RESPONSE","DUE SOON"},0)*100000+IF(ISNUMBER($O547),$O547,IF(ISNUMBER($C547),$C547,0))+ROW()/10000)</f>
        <v/>
      </c>
      <c r="AI547" s="87">
        <f>IF(AND(ISNUMBER($AG547),$AG547&gt;=1,$AG547&lt;=6,$M547&lt;&gt;"Rejected",$M547&lt;&gt;"Withdrawn"),(10-$AG547)*100000+IF(ISNUMBER($C547),$C547,0)+ROW()/10000,"")</f>
        <v/>
      </c>
    </row>
    <row r="548">
      <c r="A548" s="80" t="n"/>
      <c r="B548" s="81" t="n"/>
      <c r="C548" s="81" t="n"/>
      <c r="D548" s="82" t="n"/>
      <c r="E548" s="82" t="n"/>
      <c r="F548" s="82" t="n"/>
      <c r="G548" s="82" t="n"/>
      <c r="H548" s="82" t="n"/>
      <c r="I548" s="83" t="n"/>
      <c r="J548" s="82" t="n"/>
      <c r="K548" s="84" t="n"/>
      <c r="L548" s="85" t="n"/>
      <c r="M548" s="82" t="n"/>
      <c r="N548" s="86" t="n"/>
      <c r="O548" s="81" t="n"/>
      <c r="P548" s="82" t="n"/>
      <c r="Q548" s="83" t="n"/>
      <c r="R548" s="82" t="n"/>
      <c r="S548" s="84" t="n"/>
      <c r="T548" s="84" t="n"/>
      <c r="U548" s="82" t="n"/>
      <c r="V548" s="86" t="n"/>
      <c r="W548" s="86" t="n"/>
      <c r="X548" s="86" t="n"/>
      <c r="Y548" s="81" t="n"/>
      <c r="Z548" s="82" t="n"/>
      <c r="AA548" s="81" t="n"/>
      <c r="AB548" s="82" t="n"/>
      <c r="AC548" s="87">
        <f>IF(OR($D548="",$M548="Rejected",$M548="Withdrawn",$M548="Accepted"),"",IF(ISNUMBER($O548),IF(INT($O548)&lt;TODAY(),"FOLLOW UP REQUIRED",IF(INT($O548)=TODAY(),"ACTION DUE TODAY",IF(INT($O548)-TODAY()&lt;=Set_DueSoonDays,"DUE SOON",""))),IF(AND($M548="Applied",$AA548=""),IF(ISNUMBER($C548),IF(TODAY()-$C548&gt;=Set_FollowUpDays,"NO RESPONSE",""),""),"")))</f>
        <v/>
      </c>
      <c r="AD548" s="87">
        <f>IF(ISNUMBER($L548),IF($L548&gt;=90,"Excellent Match",IF($L548&gt;=75,"Strong Match",IF($L548&gt;=60,"Moderate Match","Low Match"))),"")</f>
        <v/>
      </c>
      <c r="AE548" s="87">
        <f>IF($D548="","",IF(OR($M548="Rejected",$M548="Withdrawn"),IF($AB548&lt;&gt;"",$AB548,IF(OR($M548="Rejected",ISNUMBER($C548)),"Applied","Wishlist")),IF($M548="",IF(ISNUMBER($C548),"Applied","Wishlist"),$M548)))</f>
        <v/>
      </c>
      <c r="AF548" s="88">
        <f>IF(AND(ISNUMBER($C548),ISNUMBER($AA548)),$AA548-$C548,"")</f>
        <v/>
      </c>
      <c r="AG548" s="87">
        <f>IF($AE548="","",IFERROR(MATCH($AE548,{"Wishlist","Applied","Screening","Interview 1","Interview 2","Final","Offer","Accepted"},0)-1,""))</f>
        <v/>
      </c>
      <c r="AH548" s="87">
        <f>IF($AC548="","",MATCH($AC548,{"FOLLOW UP REQUIRED","ACTION DUE TODAY","NO RESPONSE","DUE SOON"},0)*100000+IF(ISNUMBER($O548),$O548,IF(ISNUMBER($C548),$C548,0))+ROW()/10000)</f>
        <v/>
      </c>
      <c r="AI548" s="87">
        <f>IF(AND(ISNUMBER($AG548),$AG548&gt;=1,$AG548&lt;=6,$M548&lt;&gt;"Rejected",$M548&lt;&gt;"Withdrawn"),(10-$AG548)*100000+IF(ISNUMBER($C548),$C548,0)+ROW()/10000,"")</f>
        <v/>
      </c>
    </row>
    <row r="549">
      <c r="A549" s="80" t="n"/>
      <c r="B549" s="81" t="n"/>
      <c r="C549" s="81" t="n"/>
      <c r="D549" s="82" t="n"/>
      <c r="E549" s="82" t="n"/>
      <c r="F549" s="82" t="n"/>
      <c r="G549" s="82" t="n"/>
      <c r="H549" s="82" t="n"/>
      <c r="I549" s="83" t="n"/>
      <c r="J549" s="82" t="n"/>
      <c r="K549" s="84" t="n"/>
      <c r="L549" s="85" t="n"/>
      <c r="M549" s="82" t="n"/>
      <c r="N549" s="86" t="n"/>
      <c r="O549" s="81" t="n"/>
      <c r="P549" s="82" t="n"/>
      <c r="Q549" s="83" t="n"/>
      <c r="R549" s="82" t="n"/>
      <c r="S549" s="84" t="n"/>
      <c r="T549" s="84" t="n"/>
      <c r="U549" s="82" t="n"/>
      <c r="V549" s="86" t="n"/>
      <c r="W549" s="86" t="n"/>
      <c r="X549" s="86" t="n"/>
      <c r="Y549" s="81" t="n"/>
      <c r="Z549" s="82" t="n"/>
      <c r="AA549" s="81" t="n"/>
      <c r="AB549" s="82" t="n"/>
      <c r="AC549" s="87">
        <f>IF(OR($D549="",$M549="Rejected",$M549="Withdrawn",$M549="Accepted"),"",IF(ISNUMBER($O549),IF(INT($O549)&lt;TODAY(),"FOLLOW UP REQUIRED",IF(INT($O549)=TODAY(),"ACTION DUE TODAY",IF(INT($O549)-TODAY()&lt;=Set_DueSoonDays,"DUE SOON",""))),IF(AND($M549="Applied",$AA549=""),IF(ISNUMBER($C549),IF(TODAY()-$C549&gt;=Set_FollowUpDays,"NO RESPONSE",""),""),"")))</f>
        <v/>
      </c>
      <c r="AD549" s="87">
        <f>IF(ISNUMBER($L549),IF($L549&gt;=90,"Excellent Match",IF($L549&gt;=75,"Strong Match",IF($L549&gt;=60,"Moderate Match","Low Match"))),"")</f>
        <v/>
      </c>
      <c r="AE549" s="87">
        <f>IF($D549="","",IF(OR($M549="Rejected",$M549="Withdrawn"),IF($AB549&lt;&gt;"",$AB549,IF(OR($M549="Rejected",ISNUMBER($C549)),"Applied","Wishlist")),IF($M549="",IF(ISNUMBER($C549),"Applied","Wishlist"),$M549)))</f>
        <v/>
      </c>
      <c r="AF549" s="88">
        <f>IF(AND(ISNUMBER($C549),ISNUMBER($AA549)),$AA549-$C549,"")</f>
        <v/>
      </c>
      <c r="AG549" s="87">
        <f>IF($AE549="","",IFERROR(MATCH($AE549,{"Wishlist","Applied","Screening","Interview 1","Interview 2","Final","Offer","Accepted"},0)-1,""))</f>
        <v/>
      </c>
      <c r="AH549" s="87">
        <f>IF($AC549="","",MATCH($AC549,{"FOLLOW UP REQUIRED","ACTION DUE TODAY","NO RESPONSE","DUE SOON"},0)*100000+IF(ISNUMBER($O549),$O549,IF(ISNUMBER($C549),$C549,0))+ROW()/10000)</f>
        <v/>
      </c>
      <c r="AI549" s="87">
        <f>IF(AND(ISNUMBER($AG549),$AG549&gt;=1,$AG549&lt;=6,$M549&lt;&gt;"Rejected",$M549&lt;&gt;"Withdrawn"),(10-$AG549)*100000+IF(ISNUMBER($C549),$C549,0)+ROW()/10000,"")</f>
        <v/>
      </c>
    </row>
    <row r="550">
      <c r="A550" s="80" t="n"/>
      <c r="B550" s="81" t="n"/>
      <c r="C550" s="81" t="n"/>
      <c r="D550" s="82" t="n"/>
      <c r="E550" s="82" t="n"/>
      <c r="F550" s="82" t="n"/>
      <c r="G550" s="82" t="n"/>
      <c r="H550" s="82" t="n"/>
      <c r="I550" s="83" t="n"/>
      <c r="J550" s="82" t="n"/>
      <c r="K550" s="84" t="n"/>
      <c r="L550" s="85" t="n"/>
      <c r="M550" s="82" t="n"/>
      <c r="N550" s="86" t="n"/>
      <c r="O550" s="81" t="n"/>
      <c r="P550" s="82" t="n"/>
      <c r="Q550" s="83" t="n"/>
      <c r="R550" s="82" t="n"/>
      <c r="S550" s="84" t="n"/>
      <c r="T550" s="84" t="n"/>
      <c r="U550" s="82" t="n"/>
      <c r="V550" s="86" t="n"/>
      <c r="W550" s="86" t="n"/>
      <c r="X550" s="86" t="n"/>
      <c r="Y550" s="81" t="n"/>
      <c r="Z550" s="82" t="n"/>
      <c r="AA550" s="81" t="n"/>
      <c r="AB550" s="82" t="n"/>
      <c r="AC550" s="87">
        <f>IF(OR($D550="",$M550="Rejected",$M550="Withdrawn",$M550="Accepted"),"",IF(ISNUMBER($O550),IF(INT($O550)&lt;TODAY(),"FOLLOW UP REQUIRED",IF(INT($O550)=TODAY(),"ACTION DUE TODAY",IF(INT($O550)-TODAY()&lt;=Set_DueSoonDays,"DUE SOON",""))),IF(AND($M550="Applied",$AA550=""),IF(ISNUMBER($C550),IF(TODAY()-$C550&gt;=Set_FollowUpDays,"NO RESPONSE",""),""),"")))</f>
        <v/>
      </c>
      <c r="AD550" s="87">
        <f>IF(ISNUMBER($L550),IF($L550&gt;=90,"Excellent Match",IF($L550&gt;=75,"Strong Match",IF($L550&gt;=60,"Moderate Match","Low Match"))),"")</f>
        <v/>
      </c>
      <c r="AE550" s="87">
        <f>IF($D550="","",IF(OR($M550="Rejected",$M550="Withdrawn"),IF($AB550&lt;&gt;"",$AB550,IF(OR($M550="Rejected",ISNUMBER($C550)),"Applied","Wishlist")),IF($M550="",IF(ISNUMBER($C550),"Applied","Wishlist"),$M550)))</f>
        <v/>
      </c>
      <c r="AF550" s="88">
        <f>IF(AND(ISNUMBER($C550),ISNUMBER($AA550)),$AA550-$C550,"")</f>
        <v/>
      </c>
      <c r="AG550" s="87">
        <f>IF($AE550="","",IFERROR(MATCH($AE550,{"Wishlist","Applied","Screening","Interview 1","Interview 2","Final","Offer","Accepted"},0)-1,""))</f>
        <v/>
      </c>
      <c r="AH550" s="87">
        <f>IF($AC550="","",MATCH($AC550,{"FOLLOW UP REQUIRED","ACTION DUE TODAY","NO RESPONSE","DUE SOON"},0)*100000+IF(ISNUMBER($O550),$O550,IF(ISNUMBER($C550),$C550,0))+ROW()/10000)</f>
        <v/>
      </c>
      <c r="AI550" s="87">
        <f>IF(AND(ISNUMBER($AG550),$AG550&gt;=1,$AG550&lt;=6,$M550&lt;&gt;"Rejected",$M550&lt;&gt;"Withdrawn"),(10-$AG550)*100000+IF(ISNUMBER($C550),$C550,0)+ROW()/10000,"")</f>
        <v/>
      </c>
    </row>
    <row r="551">
      <c r="A551" s="80" t="n"/>
      <c r="B551" s="81" t="n"/>
      <c r="C551" s="81" t="n"/>
      <c r="D551" s="82" t="n"/>
      <c r="E551" s="82" t="n"/>
      <c r="F551" s="82" t="n"/>
      <c r="G551" s="82" t="n"/>
      <c r="H551" s="82" t="n"/>
      <c r="I551" s="83" t="n"/>
      <c r="J551" s="82" t="n"/>
      <c r="K551" s="84" t="n"/>
      <c r="L551" s="85" t="n"/>
      <c r="M551" s="82" t="n"/>
      <c r="N551" s="86" t="n"/>
      <c r="O551" s="81" t="n"/>
      <c r="P551" s="82" t="n"/>
      <c r="Q551" s="83" t="n"/>
      <c r="R551" s="82" t="n"/>
      <c r="S551" s="84" t="n"/>
      <c r="T551" s="84" t="n"/>
      <c r="U551" s="82" t="n"/>
      <c r="V551" s="86" t="n"/>
      <c r="W551" s="86" t="n"/>
      <c r="X551" s="86" t="n"/>
      <c r="Y551" s="81" t="n"/>
      <c r="Z551" s="82" t="n"/>
      <c r="AA551" s="81" t="n"/>
      <c r="AB551" s="82" t="n"/>
      <c r="AC551" s="87">
        <f>IF(OR($D551="",$M551="Rejected",$M551="Withdrawn",$M551="Accepted"),"",IF(ISNUMBER($O551),IF(INT($O551)&lt;TODAY(),"FOLLOW UP REQUIRED",IF(INT($O551)=TODAY(),"ACTION DUE TODAY",IF(INT($O551)-TODAY()&lt;=Set_DueSoonDays,"DUE SOON",""))),IF(AND($M551="Applied",$AA551=""),IF(ISNUMBER($C551),IF(TODAY()-$C551&gt;=Set_FollowUpDays,"NO RESPONSE",""),""),"")))</f>
        <v/>
      </c>
      <c r="AD551" s="87">
        <f>IF(ISNUMBER($L551),IF($L551&gt;=90,"Excellent Match",IF($L551&gt;=75,"Strong Match",IF($L551&gt;=60,"Moderate Match","Low Match"))),"")</f>
        <v/>
      </c>
      <c r="AE551" s="87">
        <f>IF($D551="","",IF(OR($M551="Rejected",$M551="Withdrawn"),IF($AB551&lt;&gt;"",$AB551,IF(OR($M551="Rejected",ISNUMBER($C551)),"Applied","Wishlist")),IF($M551="",IF(ISNUMBER($C551),"Applied","Wishlist"),$M551)))</f>
        <v/>
      </c>
      <c r="AF551" s="88">
        <f>IF(AND(ISNUMBER($C551),ISNUMBER($AA551)),$AA551-$C551,"")</f>
        <v/>
      </c>
      <c r="AG551" s="87">
        <f>IF($AE551="","",IFERROR(MATCH($AE551,{"Wishlist","Applied","Screening","Interview 1","Interview 2","Final","Offer","Accepted"},0)-1,""))</f>
        <v/>
      </c>
      <c r="AH551" s="87">
        <f>IF($AC551="","",MATCH($AC551,{"FOLLOW UP REQUIRED","ACTION DUE TODAY","NO RESPONSE","DUE SOON"},0)*100000+IF(ISNUMBER($O551),$O551,IF(ISNUMBER($C551),$C551,0))+ROW()/10000)</f>
        <v/>
      </c>
      <c r="AI551" s="87">
        <f>IF(AND(ISNUMBER($AG551),$AG551&gt;=1,$AG551&lt;=6,$M551&lt;&gt;"Rejected",$M551&lt;&gt;"Withdrawn"),(10-$AG551)*100000+IF(ISNUMBER($C551),$C551,0)+ROW()/10000,"")</f>
        <v/>
      </c>
    </row>
    <row r="552">
      <c r="A552" s="80" t="n"/>
      <c r="B552" s="81" t="n"/>
      <c r="C552" s="81" t="n"/>
      <c r="D552" s="82" t="n"/>
      <c r="E552" s="82" t="n"/>
      <c r="F552" s="82" t="n"/>
      <c r="G552" s="82" t="n"/>
      <c r="H552" s="82" t="n"/>
      <c r="I552" s="83" t="n"/>
      <c r="J552" s="82" t="n"/>
      <c r="K552" s="84" t="n"/>
      <c r="L552" s="85" t="n"/>
      <c r="M552" s="82" t="n"/>
      <c r="N552" s="86" t="n"/>
      <c r="O552" s="81" t="n"/>
      <c r="P552" s="82" t="n"/>
      <c r="Q552" s="83" t="n"/>
      <c r="R552" s="82" t="n"/>
      <c r="S552" s="84" t="n"/>
      <c r="T552" s="84" t="n"/>
      <c r="U552" s="82" t="n"/>
      <c r="V552" s="86" t="n"/>
      <c r="W552" s="86" t="n"/>
      <c r="X552" s="86" t="n"/>
      <c r="Y552" s="81" t="n"/>
      <c r="Z552" s="82" t="n"/>
      <c r="AA552" s="81" t="n"/>
      <c r="AB552" s="82" t="n"/>
      <c r="AC552" s="87">
        <f>IF(OR($D552="",$M552="Rejected",$M552="Withdrawn",$M552="Accepted"),"",IF(ISNUMBER($O552),IF(INT($O552)&lt;TODAY(),"FOLLOW UP REQUIRED",IF(INT($O552)=TODAY(),"ACTION DUE TODAY",IF(INT($O552)-TODAY()&lt;=Set_DueSoonDays,"DUE SOON",""))),IF(AND($M552="Applied",$AA552=""),IF(ISNUMBER($C552),IF(TODAY()-$C552&gt;=Set_FollowUpDays,"NO RESPONSE",""),""),"")))</f>
        <v/>
      </c>
      <c r="AD552" s="87">
        <f>IF(ISNUMBER($L552),IF($L552&gt;=90,"Excellent Match",IF($L552&gt;=75,"Strong Match",IF($L552&gt;=60,"Moderate Match","Low Match"))),"")</f>
        <v/>
      </c>
      <c r="AE552" s="87">
        <f>IF($D552="","",IF(OR($M552="Rejected",$M552="Withdrawn"),IF($AB552&lt;&gt;"",$AB552,IF(OR($M552="Rejected",ISNUMBER($C552)),"Applied","Wishlist")),IF($M552="",IF(ISNUMBER($C552),"Applied","Wishlist"),$M552)))</f>
        <v/>
      </c>
      <c r="AF552" s="88">
        <f>IF(AND(ISNUMBER($C552),ISNUMBER($AA552)),$AA552-$C552,"")</f>
        <v/>
      </c>
      <c r="AG552" s="87">
        <f>IF($AE552="","",IFERROR(MATCH($AE552,{"Wishlist","Applied","Screening","Interview 1","Interview 2","Final","Offer","Accepted"},0)-1,""))</f>
        <v/>
      </c>
      <c r="AH552" s="87">
        <f>IF($AC552="","",MATCH($AC552,{"FOLLOW UP REQUIRED","ACTION DUE TODAY","NO RESPONSE","DUE SOON"},0)*100000+IF(ISNUMBER($O552),$O552,IF(ISNUMBER($C552),$C552,0))+ROW()/10000)</f>
        <v/>
      </c>
      <c r="AI552" s="87">
        <f>IF(AND(ISNUMBER($AG552),$AG552&gt;=1,$AG552&lt;=6,$M552&lt;&gt;"Rejected",$M552&lt;&gt;"Withdrawn"),(10-$AG552)*100000+IF(ISNUMBER($C552),$C552,0)+ROW()/10000,"")</f>
        <v/>
      </c>
    </row>
    <row r="553">
      <c r="A553" s="80" t="n"/>
      <c r="B553" s="81" t="n"/>
      <c r="C553" s="81" t="n"/>
      <c r="D553" s="82" t="n"/>
      <c r="E553" s="82" t="n"/>
      <c r="F553" s="82" t="n"/>
      <c r="G553" s="82" t="n"/>
      <c r="H553" s="82" t="n"/>
      <c r="I553" s="83" t="n"/>
      <c r="J553" s="82" t="n"/>
      <c r="K553" s="84" t="n"/>
      <c r="L553" s="85" t="n"/>
      <c r="M553" s="82" t="n"/>
      <c r="N553" s="86" t="n"/>
      <c r="O553" s="81" t="n"/>
      <c r="P553" s="82" t="n"/>
      <c r="Q553" s="83" t="n"/>
      <c r="R553" s="82" t="n"/>
      <c r="S553" s="84" t="n"/>
      <c r="T553" s="84" t="n"/>
      <c r="U553" s="82" t="n"/>
      <c r="V553" s="86" t="n"/>
      <c r="W553" s="86" t="n"/>
      <c r="X553" s="86" t="n"/>
      <c r="Y553" s="81" t="n"/>
      <c r="Z553" s="82" t="n"/>
      <c r="AA553" s="81" t="n"/>
      <c r="AB553" s="82" t="n"/>
      <c r="AC553" s="87">
        <f>IF(OR($D553="",$M553="Rejected",$M553="Withdrawn",$M553="Accepted"),"",IF(ISNUMBER($O553),IF(INT($O553)&lt;TODAY(),"FOLLOW UP REQUIRED",IF(INT($O553)=TODAY(),"ACTION DUE TODAY",IF(INT($O553)-TODAY()&lt;=Set_DueSoonDays,"DUE SOON",""))),IF(AND($M553="Applied",$AA553=""),IF(ISNUMBER($C553),IF(TODAY()-$C553&gt;=Set_FollowUpDays,"NO RESPONSE",""),""),"")))</f>
        <v/>
      </c>
      <c r="AD553" s="87">
        <f>IF(ISNUMBER($L553),IF($L553&gt;=90,"Excellent Match",IF($L553&gt;=75,"Strong Match",IF($L553&gt;=60,"Moderate Match","Low Match"))),"")</f>
        <v/>
      </c>
      <c r="AE553" s="87">
        <f>IF($D553="","",IF(OR($M553="Rejected",$M553="Withdrawn"),IF($AB553&lt;&gt;"",$AB553,IF(OR($M553="Rejected",ISNUMBER($C553)),"Applied","Wishlist")),IF($M553="",IF(ISNUMBER($C553),"Applied","Wishlist"),$M553)))</f>
        <v/>
      </c>
      <c r="AF553" s="88">
        <f>IF(AND(ISNUMBER($C553),ISNUMBER($AA553)),$AA553-$C553,"")</f>
        <v/>
      </c>
      <c r="AG553" s="87">
        <f>IF($AE553="","",IFERROR(MATCH($AE553,{"Wishlist","Applied","Screening","Interview 1","Interview 2","Final","Offer","Accepted"},0)-1,""))</f>
        <v/>
      </c>
      <c r="AH553" s="87">
        <f>IF($AC553="","",MATCH($AC553,{"FOLLOW UP REQUIRED","ACTION DUE TODAY","NO RESPONSE","DUE SOON"},0)*100000+IF(ISNUMBER($O553),$O553,IF(ISNUMBER($C553),$C553,0))+ROW()/10000)</f>
        <v/>
      </c>
      <c r="AI553" s="87">
        <f>IF(AND(ISNUMBER($AG553),$AG553&gt;=1,$AG553&lt;=6,$M553&lt;&gt;"Rejected",$M553&lt;&gt;"Withdrawn"),(10-$AG553)*100000+IF(ISNUMBER($C553),$C553,0)+ROW()/10000,"")</f>
        <v/>
      </c>
    </row>
    <row r="554">
      <c r="A554" s="80" t="n"/>
      <c r="B554" s="81" t="n"/>
      <c r="C554" s="81" t="n"/>
      <c r="D554" s="82" t="n"/>
      <c r="E554" s="82" t="n"/>
      <c r="F554" s="82" t="n"/>
      <c r="G554" s="82" t="n"/>
      <c r="H554" s="82" t="n"/>
      <c r="I554" s="83" t="n"/>
      <c r="J554" s="82" t="n"/>
      <c r="K554" s="84" t="n"/>
      <c r="L554" s="85" t="n"/>
      <c r="M554" s="82" t="n"/>
      <c r="N554" s="86" t="n"/>
      <c r="O554" s="81" t="n"/>
      <c r="P554" s="82" t="n"/>
      <c r="Q554" s="83" t="n"/>
      <c r="R554" s="82" t="n"/>
      <c r="S554" s="84" t="n"/>
      <c r="T554" s="84" t="n"/>
      <c r="U554" s="82" t="n"/>
      <c r="V554" s="86" t="n"/>
      <c r="W554" s="86" t="n"/>
      <c r="X554" s="86" t="n"/>
      <c r="Y554" s="81" t="n"/>
      <c r="Z554" s="82" t="n"/>
      <c r="AA554" s="81" t="n"/>
      <c r="AB554" s="82" t="n"/>
      <c r="AC554" s="87">
        <f>IF(OR($D554="",$M554="Rejected",$M554="Withdrawn",$M554="Accepted"),"",IF(ISNUMBER($O554),IF(INT($O554)&lt;TODAY(),"FOLLOW UP REQUIRED",IF(INT($O554)=TODAY(),"ACTION DUE TODAY",IF(INT($O554)-TODAY()&lt;=Set_DueSoonDays,"DUE SOON",""))),IF(AND($M554="Applied",$AA554=""),IF(ISNUMBER($C554),IF(TODAY()-$C554&gt;=Set_FollowUpDays,"NO RESPONSE",""),""),"")))</f>
        <v/>
      </c>
      <c r="AD554" s="87">
        <f>IF(ISNUMBER($L554),IF($L554&gt;=90,"Excellent Match",IF($L554&gt;=75,"Strong Match",IF($L554&gt;=60,"Moderate Match","Low Match"))),"")</f>
        <v/>
      </c>
      <c r="AE554" s="87">
        <f>IF($D554="","",IF(OR($M554="Rejected",$M554="Withdrawn"),IF($AB554&lt;&gt;"",$AB554,IF(OR($M554="Rejected",ISNUMBER($C554)),"Applied","Wishlist")),IF($M554="",IF(ISNUMBER($C554),"Applied","Wishlist"),$M554)))</f>
        <v/>
      </c>
      <c r="AF554" s="88">
        <f>IF(AND(ISNUMBER($C554),ISNUMBER($AA554)),$AA554-$C554,"")</f>
        <v/>
      </c>
      <c r="AG554" s="87">
        <f>IF($AE554="","",IFERROR(MATCH($AE554,{"Wishlist","Applied","Screening","Interview 1","Interview 2","Final","Offer","Accepted"},0)-1,""))</f>
        <v/>
      </c>
      <c r="AH554" s="87">
        <f>IF($AC554="","",MATCH($AC554,{"FOLLOW UP REQUIRED","ACTION DUE TODAY","NO RESPONSE","DUE SOON"},0)*100000+IF(ISNUMBER($O554),$O554,IF(ISNUMBER($C554),$C554,0))+ROW()/10000)</f>
        <v/>
      </c>
      <c r="AI554" s="87">
        <f>IF(AND(ISNUMBER($AG554),$AG554&gt;=1,$AG554&lt;=6,$M554&lt;&gt;"Rejected",$M554&lt;&gt;"Withdrawn"),(10-$AG554)*100000+IF(ISNUMBER($C554),$C554,0)+ROW()/10000,"")</f>
        <v/>
      </c>
    </row>
    <row r="555">
      <c r="A555" s="80" t="n"/>
      <c r="B555" s="81" t="n"/>
      <c r="C555" s="81" t="n"/>
      <c r="D555" s="82" t="n"/>
      <c r="E555" s="82" t="n"/>
      <c r="F555" s="82" t="n"/>
      <c r="G555" s="82" t="n"/>
      <c r="H555" s="82" t="n"/>
      <c r="I555" s="83" t="n"/>
      <c r="J555" s="82" t="n"/>
      <c r="K555" s="84" t="n"/>
      <c r="L555" s="85" t="n"/>
      <c r="M555" s="82" t="n"/>
      <c r="N555" s="86" t="n"/>
      <c r="O555" s="81" t="n"/>
      <c r="P555" s="82" t="n"/>
      <c r="Q555" s="83" t="n"/>
      <c r="R555" s="82" t="n"/>
      <c r="S555" s="84" t="n"/>
      <c r="T555" s="84" t="n"/>
      <c r="U555" s="82" t="n"/>
      <c r="V555" s="86" t="n"/>
      <c r="W555" s="86" t="n"/>
      <c r="X555" s="86" t="n"/>
      <c r="Y555" s="81" t="n"/>
      <c r="Z555" s="82" t="n"/>
      <c r="AA555" s="81" t="n"/>
      <c r="AB555" s="82" t="n"/>
      <c r="AC555" s="87">
        <f>IF(OR($D555="",$M555="Rejected",$M555="Withdrawn",$M555="Accepted"),"",IF(ISNUMBER($O555),IF(INT($O555)&lt;TODAY(),"FOLLOW UP REQUIRED",IF(INT($O555)=TODAY(),"ACTION DUE TODAY",IF(INT($O555)-TODAY()&lt;=Set_DueSoonDays,"DUE SOON",""))),IF(AND($M555="Applied",$AA555=""),IF(ISNUMBER($C555),IF(TODAY()-$C555&gt;=Set_FollowUpDays,"NO RESPONSE",""),""),"")))</f>
        <v/>
      </c>
      <c r="AD555" s="87">
        <f>IF(ISNUMBER($L555),IF($L555&gt;=90,"Excellent Match",IF($L555&gt;=75,"Strong Match",IF($L555&gt;=60,"Moderate Match","Low Match"))),"")</f>
        <v/>
      </c>
      <c r="AE555" s="87">
        <f>IF($D555="","",IF(OR($M555="Rejected",$M555="Withdrawn"),IF($AB555&lt;&gt;"",$AB555,IF(OR($M555="Rejected",ISNUMBER($C555)),"Applied","Wishlist")),IF($M555="",IF(ISNUMBER($C555),"Applied","Wishlist"),$M555)))</f>
        <v/>
      </c>
      <c r="AF555" s="88">
        <f>IF(AND(ISNUMBER($C555),ISNUMBER($AA555)),$AA555-$C555,"")</f>
        <v/>
      </c>
      <c r="AG555" s="87">
        <f>IF($AE555="","",IFERROR(MATCH($AE555,{"Wishlist","Applied","Screening","Interview 1","Interview 2","Final","Offer","Accepted"},0)-1,""))</f>
        <v/>
      </c>
      <c r="AH555" s="87">
        <f>IF($AC555="","",MATCH($AC555,{"FOLLOW UP REQUIRED","ACTION DUE TODAY","NO RESPONSE","DUE SOON"},0)*100000+IF(ISNUMBER($O555),$O555,IF(ISNUMBER($C555),$C555,0))+ROW()/10000)</f>
        <v/>
      </c>
      <c r="AI555" s="87">
        <f>IF(AND(ISNUMBER($AG555),$AG555&gt;=1,$AG555&lt;=6,$M555&lt;&gt;"Rejected",$M555&lt;&gt;"Withdrawn"),(10-$AG555)*100000+IF(ISNUMBER($C555),$C555,0)+ROW()/10000,"")</f>
        <v/>
      </c>
    </row>
    <row r="556">
      <c r="A556" s="80" t="n"/>
      <c r="B556" s="81" t="n"/>
      <c r="C556" s="81" t="n"/>
      <c r="D556" s="82" t="n"/>
      <c r="E556" s="82" t="n"/>
      <c r="F556" s="82" t="n"/>
      <c r="G556" s="82" t="n"/>
      <c r="H556" s="82" t="n"/>
      <c r="I556" s="83" t="n"/>
      <c r="J556" s="82" t="n"/>
      <c r="K556" s="84" t="n"/>
      <c r="L556" s="85" t="n"/>
      <c r="M556" s="82" t="n"/>
      <c r="N556" s="86" t="n"/>
      <c r="O556" s="81" t="n"/>
      <c r="P556" s="82" t="n"/>
      <c r="Q556" s="83" t="n"/>
      <c r="R556" s="82" t="n"/>
      <c r="S556" s="84" t="n"/>
      <c r="T556" s="84" t="n"/>
      <c r="U556" s="82" t="n"/>
      <c r="V556" s="86" t="n"/>
      <c r="W556" s="86" t="n"/>
      <c r="X556" s="86" t="n"/>
      <c r="Y556" s="81" t="n"/>
      <c r="Z556" s="82" t="n"/>
      <c r="AA556" s="81" t="n"/>
      <c r="AB556" s="82" t="n"/>
      <c r="AC556" s="87">
        <f>IF(OR($D556="",$M556="Rejected",$M556="Withdrawn",$M556="Accepted"),"",IF(ISNUMBER($O556),IF(INT($O556)&lt;TODAY(),"FOLLOW UP REQUIRED",IF(INT($O556)=TODAY(),"ACTION DUE TODAY",IF(INT($O556)-TODAY()&lt;=Set_DueSoonDays,"DUE SOON",""))),IF(AND($M556="Applied",$AA556=""),IF(ISNUMBER($C556),IF(TODAY()-$C556&gt;=Set_FollowUpDays,"NO RESPONSE",""),""),"")))</f>
        <v/>
      </c>
      <c r="AD556" s="87">
        <f>IF(ISNUMBER($L556),IF($L556&gt;=90,"Excellent Match",IF($L556&gt;=75,"Strong Match",IF($L556&gt;=60,"Moderate Match","Low Match"))),"")</f>
        <v/>
      </c>
      <c r="AE556" s="87">
        <f>IF($D556="","",IF(OR($M556="Rejected",$M556="Withdrawn"),IF($AB556&lt;&gt;"",$AB556,IF(OR($M556="Rejected",ISNUMBER($C556)),"Applied","Wishlist")),IF($M556="",IF(ISNUMBER($C556),"Applied","Wishlist"),$M556)))</f>
        <v/>
      </c>
      <c r="AF556" s="88">
        <f>IF(AND(ISNUMBER($C556),ISNUMBER($AA556)),$AA556-$C556,"")</f>
        <v/>
      </c>
      <c r="AG556" s="87">
        <f>IF($AE556="","",IFERROR(MATCH($AE556,{"Wishlist","Applied","Screening","Interview 1","Interview 2","Final","Offer","Accepted"},0)-1,""))</f>
        <v/>
      </c>
      <c r="AH556" s="87">
        <f>IF($AC556="","",MATCH($AC556,{"FOLLOW UP REQUIRED","ACTION DUE TODAY","NO RESPONSE","DUE SOON"},0)*100000+IF(ISNUMBER($O556),$O556,IF(ISNUMBER($C556),$C556,0))+ROW()/10000)</f>
        <v/>
      </c>
      <c r="AI556" s="87">
        <f>IF(AND(ISNUMBER($AG556),$AG556&gt;=1,$AG556&lt;=6,$M556&lt;&gt;"Rejected",$M556&lt;&gt;"Withdrawn"),(10-$AG556)*100000+IF(ISNUMBER($C556),$C556,0)+ROW()/10000,"")</f>
        <v/>
      </c>
    </row>
    <row r="557">
      <c r="A557" s="80" t="n"/>
      <c r="B557" s="81" t="n"/>
      <c r="C557" s="81" t="n"/>
      <c r="D557" s="82" t="n"/>
      <c r="E557" s="82" t="n"/>
      <c r="F557" s="82" t="n"/>
      <c r="G557" s="82" t="n"/>
      <c r="H557" s="82" t="n"/>
      <c r="I557" s="83" t="n"/>
      <c r="J557" s="82" t="n"/>
      <c r="K557" s="84" t="n"/>
      <c r="L557" s="85" t="n"/>
      <c r="M557" s="82" t="n"/>
      <c r="N557" s="86" t="n"/>
      <c r="O557" s="81" t="n"/>
      <c r="P557" s="82" t="n"/>
      <c r="Q557" s="83" t="n"/>
      <c r="R557" s="82" t="n"/>
      <c r="S557" s="84" t="n"/>
      <c r="T557" s="84" t="n"/>
      <c r="U557" s="82" t="n"/>
      <c r="V557" s="86" t="n"/>
      <c r="W557" s="86" t="n"/>
      <c r="X557" s="86" t="n"/>
      <c r="Y557" s="81" t="n"/>
      <c r="Z557" s="82" t="n"/>
      <c r="AA557" s="81" t="n"/>
      <c r="AB557" s="82" t="n"/>
      <c r="AC557" s="87">
        <f>IF(OR($D557="",$M557="Rejected",$M557="Withdrawn",$M557="Accepted"),"",IF(ISNUMBER($O557),IF(INT($O557)&lt;TODAY(),"FOLLOW UP REQUIRED",IF(INT($O557)=TODAY(),"ACTION DUE TODAY",IF(INT($O557)-TODAY()&lt;=Set_DueSoonDays,"DUE SOON",""))),IF(AND($M557="Applied",$AA557=""),IF(ISNUMBER($C557),IF(TODAY()-$C557&gt;=Set_FollowUpDays,"NO RESPONSE",""),""),"")))</f>
        <v/>
      </c>
      <c r="AD557" s="87">
        <f>IF(ISNUMBER($L557),IF($L557&gt;=90,"Excellent Match",IF($L557&gt;=75,"Strong Match",IF($L557&gt;=60,"Moderate Match","Low Match"))),"")</f>
        <v/>
      </c>
      <c r="AE557" s="87">
        <f>IF($D557="","",IF(OR($M557="Rejected",$M557="Withdrawn"),IF($AB557&lt;&gt;"",$AB557,IF(OR($M557="Rejected",ISNUMBER($C557)),"Applied","Wishlist")),IF($M557="",IF(ISNUMBER($C557),"Applied","Wishlist"),$M557)))</f>
        <v/>
      </c>
      <c r="AF557" s="88">
        <f>IF(AND(ISNUMBER($C557),ISNUMBER($AA557)),$AA557-$C557,"")</f>
        <v/>
      </c>
      <c r="AG557" s="87">
        <f>IF($AE557="","",IFERROR(MATCH($AE557,{"Wishlist","Applied","Screening","Interview 1","Interview 2","Final","Offer","Accepted"},0)-1,""))</f>
        <v/>
      </c>
      <c r="AH557" s="87">
        <f>IF($AC557="","",MATCH($AC557,{"FOLLOW UP REQUIRED","ACTION DUE TODAY","NO RESPONSE","DUE SOON"},0)*100000+IF(ISNUMBER($O557),$O557,IF(ISNUMBER($C557),$C557,0))+ROW()/10000)</f>
        <v/>
      </c>
      <c r="AI557" s="87">
        <f>IF(AND(ISNUMBER($AG557),$AG557&gt;=1,$AG557&lt;=6,$M557&lt;&gt;"Rejected",$M557&lt;&gt;"Withdrawn"),(10-$AG557)*100000+IF(ISNUMBER($C557),$C557,0)+ROW()/10000,"")</f>
        <v/>
      </c>
    </row>
    <row r="558">
      <c r="A558" s="80" t="n"/>
      <c r="B558" s="81" t="n"/>
      <c r="C558" s="81" t="n"/>
      <c r="D558" s="82" t="n"/>
      <c r="E558" s="82" t="n"/>
      <c r="F558" s="82" t="n"/>
      <c r="G558" s="82" t="n"/>
      <c r="H558" s="82" t="n"/>
      <c r="I558" s="83" t="n"/>
      <c r="J558" s="82" t="n"/>
      <c r="K558" s="84" t="n"/>
      <c r="L558" s="85" t="n"/>
      <c r="M558" s="82" t="n"/>
      <c r="N558" s="86" t="n"/>
      <c r="O558" s="81" t="n"/>
      <c r="P558" s="82" t="n"/>
      <c r="Q558" s="83" t="n"/>
      <c r="R558" s="82" t="n"/>
      <c r="S558" s="84" t="n"/>
      <c r="T558" s="84" t="n"/>
      <c r="U558" s="82" t="n"/>
      <c r="V558" s="86" t="n"/>
      <c r="W558" s="86" t="n"/>
      <c r="X558" s="86" t="n"/>
      <c r="Y558" s="81" t="n"/>
      <c r="Z558" s="82" t="n"/>
      <c r="AA558" s="81" t="n"/>
      <c r="AB558" s="82" t="n"/>
      <c r="AC558" s="87">
        <f>IF(OR($D558="",$M558="Rejected",$M558="Withdrawn",$M558="Accepted"),"",IF(ISNUMBER($O558),IF(INT($O558)&lt;TODAY(),"FOLLOW UP REQUIRED",IF(INT($O558)=TODAY(),"ACTION DUE TODAY",IF(INT($O558)-TODAY()&lt;=Set_DueSoonDays,"DUE SOON",""))),IF(AND($M558="Applied",$AA558=""),IF(ISNUMBER($C558),IF(TODAY()-$C558&gt;=Set_FollowUpDays,"NO RESPONSE",""),""),"")))</f>
        <v/>
      </c>
      <c r="AD558" s="87">
        <f>IF(ISNUMBER($L558),IF($L558&gt;=90,"Excellent Match",IF($L558&gt;=75,"Strong Match",IF($L558&gt;=60,"Moderate Match","Low Match"))),"")</f>
        <v/>
      </c>
      <c r="AE558" s="87">
        <f>IF($D558="","",IF(OR($M558="Rejected",$M558="Withdrawn"),IF($AB558&lt;&gt;"",$AB558,IF(OR($M558="Rejected",ISNUMBER($C558)),"Applied","Wishlist")),IF($M558="",IF(ISNUMBER($C558),"Applied","Wishlist"),$M558)))</f>
        <v/>
      </c>
      <c r="AF558" s="88">
        <f>IF(AND(ISNUMBER($C558),ISNUMBER($AA558)),$AA558-$C558,"")</f>
        <v/>
      </c>
      <c r="AG558" s="87">
        <f>IF($AE558="","",IFERROR(MATCH($AE558,{"Wishlist","Applied","Screening","Interview 1","Interview 2","Final","Offer","Accepted"},0)-1,""))</f>
        <v/>
      </c>
      <c r="AH558" s="87">
        <f>IF($AC558="","",MATCH($AC558,{"FOLLOW UP REQUIRED","ACTION DUE TODAY","NO RESPONSE","DUE SOON"},0)*100000+IF(ISNUMBER($O558),$O558,IF(ISNUMBER($C558),$C558,0))+ROW()/10000)</f>
        <v/>
      </c>
      <c r="AI558" s="87">
        <f>IF(AND(ISNUMBER($AG558),$AG558&gt;=1,$AG558&lt;=6,$M558&lt;&gt;"Rejected",$M558&lt;&gt;"Withdrawn"),(10-$AG558)*100000+IF(ISNUMBER($C558),$C558,0)+ROW()/10000,"")</f>
        <v/>
      </c>
    </row>
    <row r="559">
      <c r="A559" s="80" t="n"/>
      <c r="B559" s="81" t="n"/>
      <c r="C559" s="81" t="n"/>
      <c r="D559" s="82" t="n"/>
      <c r="E559" s="82" t="n"/>
      <c r="F559" s="82" t="n"/>
      <c r="G559" s="82" t="n"/>
      <c r="H559" s="82" t="n"/>
      <c r="I559" s="83" t="n"/>
      <c r="J559" s="82" t="n"/>
      <c r="K559" s="84" t="n"/>
      <c r="L559" s="85" t="n"/>
      <c r="M559" s="82" t="n"/>
      <c r="N559" s="86" t="n"/>
      <c r="O559" s="81" t="n"/>
      <c r="P559" s="82" t="n"/>
      <c r="Q559" s="83" t="n"/>
      <c r="R559" s="82" t="n"/>
      <c r="S559" s="84" t="n"/>
      <c r="T559" s="84" t="n"/>
      <c r="U559" s="82" t="n"/>
      <c r="V559" s="86" t="n"/>
      <c r="W559" s="86" t="n"/>
      <c r="X559" s="86" t="n"/>
      <c r="Y559" s="81" t="n"/>
      <c r="Z559" s="82" t="n"/>
      <c r="AA559" s="81" t="n"/>
      <c r="AB559" s="82" t="n"/>
      <c r="AC559" s="87">
        <f>IF(OR($D559="",$M559="Rejected",$M559="Withdrawn",$M559="Accepted"),"",IF(ISNUMBER($O559),IF(INT($O559)&lt;TODAY(),"FOLLOW UP REQUIRED",IF(INT($O559)=TODAY(),"ACTION DUE TODAY",IF(INT($O559)-TODAY()&lt;=Set_DueSoonDays,"DUE SOON",""))),IF(AND($M559="Applied",$AA559=""),IF(ISNUMBER($C559),IF(TODAY()-$C559&gt;=Set_FollowUpDays,"NO RESPONSE",""),""),"")))</f>
        <v/>
      </c>
      <c r="AD559" s="87">
        <f>IF(ISNUMBER($L559),IF($L559&gt;=90,"Excellent Match",IF($L559&gt;=75,"Strong Match",IF($L559&gt;=60,"Moderate Match","Low Match"))),"")</f>
        <v/>
      </c>
      <c r="AE559" s="87">
        <f>IF($D559="","",IF(OR($M559="Rejected",$M559="Withdrawn"),IF($AB559&lt;&gt;"",$AB559,IF(OR($M559="Rejected",ISNUMBER($C559)),"Applied","Wishlist")),IF($M559="",IF(ISNUMBER($C559),"Applied","Wishlist"),$M559)))</f>
        <v/>
      </c>
      <c r="AF559" s="88">
        <f>IF(AND(ISNUMBER($C559),ISNUMBER($AA559)),$AA559-$C559,"")</f>
        <v/>
      </c>
      <c r="AG559" s="87">
        <f>IF($AE559="","",IFERROR(MATCH($AE559,{"Wishlist","Applied","Screening","Interview 1","Interview 2","Final","Offer","Accepted"},0)-1,""))</f>
        <v/>
      </c>
      <c r="AH559" s="87">
        <f>IF($AC559="","",MATCH($AC559,{"FOLLOW UP REQUIRED","ACTION DUE TODAY","NO RESPONSE","DUE SOON"},0)*100000+IF(ISNUMBER($O559),$O559,IF(ISNUMBER($C559),$C559,0))+ROW()/10000)</f>
        <v/>
      </c>
      <c r="AI559" s="87">
        <f>IF(AND(ISNUMBER($AG559),$AG559&gt;=1,$AG559&lt;=6,$M559&lt;&gt;"Rejected",$M559&lt;&gt;"Withdrawn"),(10-$AG559)*100000+IF(ISNUMBER($C559),$C559,0)+ROW()/10000,"")</f>
        <v/>
      </c>
    </row>
    <row r="560">
      <c r="A560" s="80" t="n"/>
      <c r="B560" s="81" t="n"/>
      <c r="C560" s="81" t="n"/>
      <c r="D560" s="82" t="n"/>
      <c r="E560" s="82" t="n"/>
      <c r="F560" s="82" t="n"/>
      <c r="G560" s="82" t="n"/>
      <c r="H560" s="82" t="n"/>
      <c r="I560" s="83" t="n"/>
      <c r="J560" s="82" t="n"/>
      <c r="K560" s="84" t="n"/>
      <c r="L560" s="85" t="n"/>
      <c r="M560" s="82" t="n"/>
      <c r="N560" s="86" t="n"/>
      <c r="O560" s="81" t="n"/>
      <c r="P560" s="82" t="n"/>
      <c r="Q560" s="83" t="n"/>
      <c r="R560" s="82" t="n"/>
      <c r="S560" s="84" t="n"/>
      <c r="T560" s="84" t="n"/>
      <c r="U560" s="82" t="n"/>
      <c r="V560" s="86" t="n"/>
      <c r="W560" s="86" t="n"/>
      <c r="X560" s="86" t="n"/>
      <c r="Y560" s="81" t="n"/>
      <c r="Z560" s="82" t="n"/>
      <c r="AA560" s="81" t="n"/>
      <c r="AB560" s="82" t="n"/>
      <c r="AC560" s="87">
        <f>IF(OR($D560="",$M560="Rejected",$M560="Withdrawn",$M560="Accepted"),"",IF(ISNUMBER($O560),IF(INT($O560)&lt;TODAY(),"FOLLOW UP REQUIRED",IF(INT($O560)=TODAY(),"ACTION DUE TODAY",IF(INT($O560)-TODAY()&lt;=Set_DueSoonDays,"DUE SOON",""))),IF(AND($M560="Applied",$AA560=""),IF(ISNUMBER($C560),IF(TODAY()-$C560&gt;=Set_FollowUpDays,"NO RESPONSE",""),""),"")))</f>
        <v/>
      </c>
      <c r="AD560" s="87">
        <f>IF(ISNUMBER($L560),IF($L560&gt;=90,"Excellent Match",IF($L560&gt;=75,"Strong Match",IF($L560&gt;=60,"Moderate Match","Low Match"))),"")</f>
        <v/>
      </c>
      <c r="AE560" s="87">
        <f>IF($D560="","",IF(OR($M560="Rejected",$M560="Withdrawn"),IF($AB560&lt;&gt;"",$AB560,IF(OR($M560="Rejected",ISNUMBER($C560)),"Applied","Wishlist")),IF($M560="",IF(ISNUMBER($C560),"Applied","Wishlist"),$M560)))</f>
        <v/>
      </c>
      <c r="AF560" s="88">
        <f>IF(AND(ISNUMBER($C560),ISNUMBER($AA560)),$AA560-$C560,"")</f>
        <v/>
      </c>
      <c r="AG560" s="87">
        <f>IF($AE560="","",IFERROR(MATCH($AE560,{"Wishlist","Applied","Screening","Interview 1","Interview 2","Final","Offer","Accepted"},0)-1,""))</f>
        <v/>
      </c>
      <c r="AH560" s="87">
        <f>IF($AC560="","",MATCH($AC560,{"FOLLOW UP REQUIRED","ACTION DUE TODAY","NO RESPONSE","DUE SOON"},0)*100000+IF(ISNUMBER($O560),$O560,IF(ISNUMBER($C560),$C560,0))+ROW()/10000)</f>
        <v/>
      </c>
      <c r="AI560" s="87">
        <f>IF(AND(ISNUMBER($AG560),$AG560&gt;=1,$AG560&lt;=6,$M560&lt;&gt;"Rejected",$M560&lt;&gt;"Withdrawn"),(10-$AG560)*100000+IF(ISNUMBER($C560),$C560,0)+ROW()/10000,"")</f>
        <v/>
      </c>
    </row>
    <row r="561">
      <c r="A561" s="80" t="n"/>
      <c r="B561" s="81" t="n"/>
      <c r="C561" s="81" t="n"/>
      <c r="D561" s="82" t="n"/>
      <c r="E561" s="82" t="n"/>
      <c r="F561" s="82" t="n"/>
      <c r="G561" s="82" t="n"/>
      <c r="H561" s="82" t="n"/>
      <c r="I561" s="83" t="n"/>
      <c r="J561" s="82" t="n"/>
      <c r="K561" s="84" t="n"/>
      <c r="L561" s="85" t="n"/>
      <c r="M561" s="82" t="n"/>
      <c r="N561" s="86" t="n"/>
      <c r="O561" s="81" t="n"/>
      <c r="P561" s="82" t="n"/>
      <c r="Q561" s="83" t="n"/>
      <c r="R561" s="82" t="n"/>
      <c r="S561" s="84" t="n"/>
      <c r="T561" s="84" t="n"/>
      <c r="U561" s="82" t="n"/>
      <c r="V561" s="86" t="n"/>
      <c r="W561" s="86" t="n"/>
      <c r="X561" s="86" t="n"/>
      <c r="Y561" s="81" t="n"/>
      <c r="Z561" s="82" t="n"/>
      <c r="AA561" s="81" t="n"/>
      <c r="AB561" s="82" t="n"/>
      <c r="AC561" s="87">
        <f>IF(OR($D561="",$M561="Rejected",$M561="Withdrawn",$M561="Accepted"),"",IF(ISNUMBER($O561),IF(INT($O561)&lt;TODAY(),"FOLLOW UP REQUIRED",IF(INT($O561)=TODAY(),"ACTION DUE TODAY",IF(INT($O561)-TODAY()&lt;=Set_DueSoonDays,"DUE SOON",""))),IF(AND($M561="Applied",$AA561=""),IF(ISNUMBER($C561),IF(TODAY()-$C561&gt;=Set_FollowUpDays,"NO RESPONSE",""),""),"")))</f>
        <v/>
      </c>
      <c r="AD561" s="87">
        <f>IF(ISNUMBER($L561),IF($L561&gt;=90,"Excellent Match",IF($L561&gt;=75,"Strong Match",IF($L561&gt;=60,"Moderate Match","Low Match"))),"")</f>
        <v/>
      </c>
      <c r="AE561" s="87">
        <f>IF($D561="","",IF(OR($M561="Rejected",$M561="Withdrawn"),IF($AB561&lt;&gt;"",$AB561,IF(OR($M561="Rejected",ISNUMBER($C561)),"Applied","Wishlist")),IF($M561="",IF(ISNUMBER($C561),"Applied","Wishlist"),$M561)))</f>
        <v/>
      </c>
      <c r="AF561" s="88">
        <f>IF(AND(ISNUMBER($C561),ISNUMBER($AA561)),$AA561-$C561,"")</f>
        <v/>
      </c>
      <c r="AG561" s="87">
        <f>IF($AE561="","",IFERROR(MATCH($AE561,{"Wishlist","Applied","Screening","Interview 1","Interview 2","Final","Offer","Accepted"},0)-1,""))</f>
        <v/>
      </c>
      <c r="AH561" s="87">
        <f>IF($AC561="","",MATCH($AC561,{"FOLLOW UP REQUIRED","ACTION DUE TODAY","NO RESPONSE","DUE SOON"},0)*100000+IF(ISNUMBER($O561),$O561,IF(ISNUMBER($C561),$C561,0))+ROW()/10000)</f>
        <v/>
      </c>
      <c r="AI561" s="87">
        <f>IF(AND(ISNUMBER($AG561),$AG561&gt;=1,$AG561&lt;=6,$M561&lt;&gt;"Rejected",$M561&lt;&gt;"Withdrawn"),(10-$AG561)*100000+IF(ISNUMBER($C561),$C561,0)+ROW()/10000,"")</f>
        <v/>
      </c>
    </row>
    <row r="562">
      <c r="A562" s="80" t="n"/>
      <c r="B562" s="81" t="n"/>
      <c r="C562" s="81" t="n"/>
      <c r="D562" s="82" t="n"/>
      <c r="E562" s="82" t="n"/>
      <c r="F562" s="82" t="n"/>
      <c r="G562" s="82" t="n"/>
      <c r="H562" s="82" t="n"/>
      <c r="I562" s="83" t="n"/>
      <c r="J562" s="82" t="n"/>
      <c r="K562" s="84" t="n"/>
      <c r="L562" s="85" t="n"/>
      <c r="M562" s="82" t="n"/>
      <c r="N562" s="86" t="n"/>
      <c r="O562" s="81" t="n"/>
      <c r="P562" s="82" t="n"/>
      <c r="Q562" s="83" t="n"/>
      <c r="R562" s="82" t="n"/>
      <c r="S562" s="84" t="n"/>
      <c r="T562" s="84" t="n"/>
      <c r="U562" s="82" t="n"/>
      <c r="V562" s="86" t="n"/>
      <c r="W562" s="86" t="n"/>
      <c r="X562" s="86" t="n"/>
      <c r="Y562" s="81" t="n"/>
      <c r="Z562" s="82" t="n"/>
      <c r="AA562" s="81" t="n"/>
      <c r="AB562" s="82" t="n"/>
      <c r="AC562" s="87">
        <f>IF(OR($D562="",$M562="Rejected",$M562="Withdrawn",$M562="Accepted"),"",IF(ISNUMBER($O562),IF(INT($O562)&lt;TODAY(),"FOLLOW UP REQUIRED",IF(INT($O562)=TODAY(),"ACTION DUE TODAY",IF(INT($O562)-TODAY()&lt;=Set_DueSoonDays,"DUE SOON",""))),IF(AND($M562="Applied",$AA562=""),IF(ISNUMBER($C562),IF(TODAY()-$C562&gt;=Set_FollowUpDays,"NO RESPONSE",""),""),"")))</f>
        <v/>
      </c>
      <c r="AD562" s="87">
        <f>IF(ISNUMBER($L562),IF($L562&gt;=90,"Excellent Match",IF($L562&gt;=75,"Strong Match",IF($L562&gt;=60,"Moderate Match","Low Match"))),"")</f>
        <v/>
      </c>
      <c r="AE562" s="87">
        <f>IF($D562="","",IF(OR($M562="Rejected",$M562="Withdrawn"),IF($AB562&lt;&gt;"",$AB562,IF(OR($M562="Rejected",ISNUMBER($C562)),"Applied","Wishlist")),IF($M562="",IF(ISNUMBER($C562),"Applied","Wishlist"),$M562)))</f>
        <v/>
      </c>
      <c r="AF562" s="88">
        <f>IF(AND(ISNUMBER($C562),ISNUMBER($AA562)),$AA562-$C562,"")</f>
        <v/>
      </c>
      <c r="AG562" s="87">
        <f>IF($AE562="","",IFERROR(MATCH($AE562,{"Wishlist","Applied","Screening","Interview 1","Interview 2","Final","Offer","Accepted"},0)-1,""))</f>
        <v/>
      </c>
      <c r="AH562" s="87">
        <f>IF($AC562="","",MATCH($AC562,{"FOLLOW UP REQUIRED","ACTION DUE TODAY","NO RESPONSE","DUE SOON"},0)*100000+IF(ISNUMBER($O562),$O562,IF(ISNUMBER($C562),$C562,0))+ROW()/10000)</f>
        <v/>
      </c>
      <c r="AI562" s="87">
        <f>IF(AND(ISNUMBER($AG562),$AG562&gt;=1,$AG562&lt;=6,$M562&lt;&gt;"Rejected",$M562&lt;&gt;"Withdrawn"),(10-$AG562)*100000+IF(ISNUMBER($C562),$C562,0)+ROW()/10000,"")</f>
        <v/>
      </c>
    </row>
    <row r="563">
      <c r="A563" s="80" t="n"/>
      <c r="B563" s="81" t="n"/>
      <c r="C563" s="81" t="n"/>
      <c r="D563" s="82" t="n"/>
      <c r="E563" s="82" t="n"/>
      <c r="F563" s="82" t="n"/>
      <c r="G563" s="82" t="n"/>
      <c r="H563" s="82" t="n"/>
      <c r="I563" s="83" t="n"/>
      <c r="J563" s="82" t="n"/>
      <c r="K563" s="84" t="n"/>
      <c r="L563" s="85" t="n"/>
      <c r="M563" s="82" t="n"/>
      <c r="N563" s="86" t="n"/>
      <c r="O563" s="81" t="n"/>
      <c r="P563" s="82" t="n"/>
      <c r="Q563" s="83" t="n"/>
      <c r="R563" s="82" t="n"/>
      <c r="S563" s="84" t="n"/>
      <c r="T563" s="84" t="n"/>
      <c r="U563" s="82" t="n"/>
      <c r="V563" s="86" t="n"/>
      <c r="W563" s="86" t="n"/>
      <c r="X563" s="86" t="n"/>
      <c r="Y563" s="81" t="n"/>
      <c r="Z563" s="82" t="n"/>
      <c r="AA563" s="81" t="n"/>
      <c r="AB563" s="82" t="n"/>
      <c r="AC563" s="87">
        <f>IF(OR($D563="",$M563="Rejected",$M563="Withdrawn",$M563="Accepted"),"",IF(ISNUMBER($O563),IF(INT($O563)&lt;TODAY(),"FOLLOW UP REQUIRED",IF(INT($O563)=TODAY(),"ACTION DUE TODAY",IF(INT($O563)-TODAY()&lt;=Set_DueSoonDays,"DUE SOON",""))),IF(AND($M563="Applied",$AA563=""),IF(ISNUMBER($C563),IF(TODAY()-$C563&gt;=Set_FollowUpDays,"NO RESPONSE",""),""),"")))</f>
        <v/>
      </c>
      <c r="AD563" s="87">
        <f>IF(ISNUMBER($L563),IF($L563&gt;=90,"Excellent Match",IF($L563&gt;=75,"Strong Match",IF($L563&gt;=60,"Moderate Match","Low Match"))),"")</f>
        <v/>
      </c>
      <c r="AE563" s="87">
        <f>IF($D563="","",IF(OR($M563="Rejected",$M563="Withdrawn"),IF($AB563&lt;&gt;"",$AB563,IF(OR($M563="Rejected",ISNUMBER($C563)),"Applied","Wishlist")),IF($M563="",IF(ISNUMBER($C563),"Applied","Wishlist"),$M563)))</f>
        <v/>
      </c>
      <c r="AF563" s="88">
        <f>IF(AND(ISNUMBER($C563),ISNUMBER($AA563)),$AA563-$C563,"")</f>
        <v/>
      </c>
      <c r="AG563" s="87">
        <f>IF($AE563="","",IFERROR(MATCH($AE563,{"Wishlist","Applied","Screening","Interview 1","Interview 2","Final","Offer","Accepted"},0)-1,""))</f>
        <v/>
      </c>
      <c r="AH563" s="87">
        <f>IF($AC563="","",MATCH($AC563,{"FOLLOW UP REQUIRED","ACTION DUE TODAY","NO RESPONSE","DUE SOON"},0)*100000+IF(ISNUMBER($O563),$O563,IF(ISNUMBER($C563),$C563,0))+ROW()/10000)</f>
        <v/>
      </c>
      <c r="AI563" s="87">
        <f>IF(AND(ISNUMBER($AG563),$AG563&gt;=1,$AG563&lt;=6,$M563&lt;&gt;"Rejected",$M563&lt;&gt;"Withdrawn"),(10-$AG563)*100000+IF(ISNUMBER($C563),$C563,0)+ROW()/10000,"")</f>
        <v/>
      </c>
    </row>
    <row r="564">
      <c r="A564" s="80" t="n"/>
      <c r="B564" s="81" t="n"/>
      <c r="C564" s="81" t="n"/>
      <c r="D564" s="82" t="n"/>
      <c r="E564" s="82" t="n"/>
      <c r="F564" s="82" t="n"/>
      <c r="G564" s="82" t="n"/>
      <c r="H564" s="82" t="n"/>
      <c r="I564" s="83" t="n"/>
      <c r="J564" s="82" t="n"/>
      <c r="K564" s="84" t="n"/>
      <c r="L564" s="85" t="n"/>
      <c r="M564" s="82" t="n"/>
      <c r="N564" s="86" t="n"/>
      <c r="O564" s="81" t="n"/>
      <c r="P564" s="82" t="n"/>
      <c r="Q564" s="83" t="n"/>
      <c r="R564" s="82" t="n"/>
      <c r="S564" s="84" t="n"/>
      <c r="T564" s="84" t="n"/>
      <c r="U564" s="82" t="n"/>
      <c r="V564" s="86" t="n"/>
      <c r="W564" s="86" t="n"/>
      <c r="X564" s="86" t="n"/>
      <c r="Y564" s="81" t="n"/>
      <c r="Z564" s="82" t="n"/>
      <c r="AA564" s="81" t="n"/>
      <c r="AB564" s="82" t="n"/>
      <c r="AC564" s="87">
        <f>IF(OR($D564="",$M564="Rejected",$M564="Withdrawn",$M564="Accepted"),"",IF(ISNUMBER($O564),IF(INT($O564)&lt;TODAY(),"FOLLOW UP REQUIRED",IF(INT($O564)=TODAY(),"ACTION DUE TODAY",IF(INT($O564)-TODAY()&lt;=Set_DueSoonDays,"DUE SOON",""))),IF(AND($M564="Applied",$AA564=""),IF(ISNUMBER($C564),IF(TODAY()-$C564&gt;=Set_FollowUpDays,"NO RESPONSE",""),""),"")))</f>
        <v/>
      </c>
      <c r="AD564" s="87">
        <f>IF(ISNUMBER($L564),IF($L564&gt;=90,"Excellent Match",IF($L564&gt;=75,"Strong Match",IF($L564&gt;=60,"Moderate Match","Low Match"))),"")</f>
        <v/>
      </c>
      <c r="AE564" s="87">
        <f>IF($D564="","",IF(OR($M564="Rejected",$M564="Withdrawn"),IF($AB564&lt;&gt;"",$AB564,IF(OR($M564="Rejected",ISNUMBER($C564)),"Applied","Wishlist")),IF($M564="",IF(ISNUMBER($C564),"Applied","Wishlist"),$M564)))</f>
        <v/>
      </c>
      <c r="AF564" s="88">
        <f>IF(AND(ISNUMBER($C564),ISNUMBER($AA564)),$AA564-$C564,"")</f>
        <v/>
      </c>
      <c r="AG564" s="87">
        <f>IF($AE564="","",IFERROR(MATCH($AE564,{"Wishlist","Applied","Screening","Interview 1","Interview 2","Final","Offer","Accepted"},0)-1,""))</f>
        <v/>
      </c>
      <c r="AH564" s="87">
        <f>IF($AC564="","",MATCH($AC564,{"FOLLOW UP REQUIRED","ACTION DUE TODAY","NO RESPONSE","DUE SOON"},0)*100000+IF(ISNUMBER($O564),$O564,IF(ISNUMBER($C564),$C564,0))+ROW()/10000)</f>
        <v/>
      </c>
      <c r="AI564" s="87">
        <f>IF(AND(ISNUMBER($AG564),$AG564&gt;=1,$AG564&lt;=6,$M564&lt;&gt;"Rejected",$M564&lt;&gt;"Withdrawn"),(10-$AG564)*100000+IF(ISNUMBER($C564),$C564,0)+ROW()/10000,"")</f>
        <v/>
      </c>
    </row>
    <row r="565">
      <c r="A565" s="80" t="n"/>
      <c r="B565" s="81" t="n"/>
      <c r="C565" s="81" t="n"/>
      <c r="D565" s="82" t="n"/>
      <c r="E565" s="82" t="n"/>
      <c r="F565" s="82" t="n"/>
      <c r="G565" s="82" t="n"/>
      <c r="H565" s="82" t="n"/>
      <c r="I565" s="83" t="n"/>
      <c r="J565" s="82" t="n"/>
      <c r="K565" s="84" t="n"/>
      <c r="L565" s="85" t="n"/>
      <c r="M565" s="82" t="n"/>
      <c r="N565" s="86" t="n"/>
      <c r="O565" s="81" t="n"/>
      <c r="P565" s="82" t="n"/>
      <c r="Q565" s="83" t="n"/>
      <c r="R565" s="82" t="n"/>
      <c r="S565" s="84" t="n"/>
      <c r="T565" s="84" t="n"/>
      <c r="U565" s="82" t="n"/>
      <c r="V565" s="86" t="n"/>
      <c r="W565" s="86" t="n"/>
      <c r="X565" s="86" t="n"/>
      <c r="Y565" s="81" t="n"/>
      <c r="Z565" s="82" t="n"/>
      <c r="AA565" s="81" t="n"/>
      <c r="AB565" s="82" t="n"/>
      <c r="AC565" s="87">
        <f>IF(OR($D565="",$M565="Rejected",$M565="Withdrawn",$M565="Accepted"),"",IF(ISNUMBER($O565),IF(INT($O565)&lt;TODAY(),"FOLLOW UP REQUIRED",IF(INT($O565)=TODAY(),"ACTION DUE TODAY",IF(INT($O565)-TODAY()&lt;=Set_DueSoonDays,"DUE SOON",""))),IF(AND($M565="Applied",$AA565=""),IF(ISNUMBER($C565),IF(TODAY()-$C565&gt;=Set_FollowUpDays,"NO RESPONSE",""),""),"")))</f>
        <v/>
      </c>
      <c r="AD565" s="87">
        <f>IF(ISNUMBER($L565),IF($L565&gt;=90,"Excellent Match",IF($L565&gt;=75,"Strong Match",IF($L565&gt;=60,"Moderate Match","Low Match"))),"")</f>
        <v/>
      </c>
      <c r="AE565" s="87">
        <f>IF($D565="","",IF(OR($M565="Rejected",$M565="Withdrawn"),IF($AB565&lt;&gt;"",$AB565,IF(OR($M565="Rejected",ISNUMBER($C565)),"Applied","Wishlist")),IF($M565="",IF(ISNUMBER($C565),"Applied","Wishlist"),$M565)))</f>
        <v/>
      </c>
      <c r="AF565" s="88">
        <f>IF(AND(ISNUMBER($C565),ISNUMBER($AA565)),$AA565-$C565,"")</f>
        <v/>
      </c>
      <c r="AG565" s="87">
        <f>IF($AE565="","",IFERROR(MATCH($AE565,{"Wishlist","Applied","Screening","Interview 1","Interview 2","Final","Offer","Accepted"},0)-1,""))</f>
        <v/>
      </c>
      <c r="AH565" s="87">
        <f>IF($AC565="","",MATCH($AC565,{"FOLLOW UP REQUIRED","ACTION DUE TODAY","NO RESPONSE","DUE SOON"},0)*100000+IF(ISNUMBER($O565),$O565,IF(ISNUMBER($C565),$C565,0))+ROW()/10000)</f>
        <v/>
      </c>
      <c r="AI565" s="87">
        <f>IF(AND(ISNUMBER($AG565),$AG565&gt;=1,$AG565&lt;=6,$M565&lt;&gt;"Rejected",$M565&lt;&gt;"Withdrawn"),(10-$AG565)*100000+IF(ISNUMBER($C565),$C565,0)+ROW()/10000,"")</f>
        <v/>
      </c>
    </row>
    <row r="566">
      <c r="A566" s="80" t="n"/>
      <c r="B566" s="81" t="n"/>
      <c r="C566" s="81" t="n"/>
      <c r="D566" s="82" t="n"/>
      <c r="E566" s="82" t="n"/>
      <c r="F566" s="82" t="n"/>
      <c r="G566" s="82" t="n"/>
      <c r="H566" s="82" t="n"/>
      <c r="I566" s="83" t="n"/>
      <c r="J566" s="82" t="n"/>
      <c r="K566" s="84" t="n"/>
      <c r="L566" s="85" t="n"/>
      <c r="M566" s="82" t="n"/>
      <c r="N566" s="86" t="n"/>
      <c r="O566" s="81" t="n"/>
      <c r="P566" s="82" t="n"/>
      <c r="Q566" s="83" t="n"/>
      <c r="R566" s="82" t="n"/>
      <c r="S566" s="84" t="n"/>
      <c r="T566" s="84" t="n"/>
      <c r="U566" s="82" t="n"/>
      <c r="V566" s="86" t="n"/>
      <c r="W566" s="86" t="n"/>
      <c r="X566" s="86" t="n"/>
      <c r="Y566" s="81" t="n"/>
      <c r="Z566" s="82" t="n"/>
      <c r="AA566" s="81" t="n"/>
      <c r="AB566" s="82" t="n"/>
      <c r="AC566" s="87">
        <f>IF(OR($D566="",$M566="Rejected",$M566="Withdrawn",$M566="Accepted"),"",IF(ISNUMBER($O566),IF(INT($O566)&lt;TODAY(),"FOLLOW UP REQUIRED",IF(INT($O566)=TODAY(),"ACTION DUE TODAY",IF(INT($O566)-TODAY()&lt;=Set_DueSoonDays,"DUE SOON",""))),IF(AND($M566="Applied",$AA566=""),IF(ISNUMBER($C566),IF(TODAY()-$C566&gt;=Set_FollowUpDays,"NO RESPONSE",""),""),"")))</f>
        <v/>
      </c>
      <c r="AD566" s="87">
        <f>IF(ISNUMBER($L566),IF($L566&gt;=90,"Excellent Match",IF($L566&gt;=75,"Strong Match",IF($L566&gt;=60,"Moderate Match","Low Match"))),"")</f>
        <v/>
      </c>
      <c r="AE566" s="87">
        <f>IF($D566="","",IF(OR($M566="Rejected",$M566="Withdrawn"),IF($AB566&lt;&gt;"",$AB566,IF(OR($M566="Rejected",ISNUMBER($C566)),"Applied","Wishlist")),IF($M566="",IF(ISNUMBER($C566),"Applied","Wishlist"),$M566)))</f>
        <v/>
      </c>
      <c r="AF566" s="88">
        <f>IF(AND(ISNUMBER($C566),ISNUMBER($AA566)),$AA566-$C566,"")</f>
        <v/>
      </c>
      <c r="AG566" s="87">
        <f>IF($AE566="","",IFERROR(MATCH($AE566,{"Wishlist","Applied","Screening","Interview 1","Interview 2","Final","Offer","Accepted"},0)-1,""))</f>
        <v/>
      </c>
      <c r="AH566" s="87">
        <f>IF($AC566="","",MATCH($AC566,{"FOLLOW UP REQUIRED","ACTION DUE TODAY","NO RESPONSE","DUE SOON"},0)*100000+IF(ISNUMBER($O566),$O566,IF(ISNUMBER($C566),$C566,0))+ROW()/10000)</f>
        <v/>
      </c>
      <c r="AI566" s="87">
        <f>IF(AND(ISNUMBER($AG566),$AG566&gt;=1,$AG566&lt;=6,$M566&lt;&gt;"Rejected",$M566&lt;&gt;"Withdrawn"),(10-$AG566)*100000+IF(ISNUMBER($C566),$C566,0)+ROW()/10000,"")</f>
        <v/>
      </c>
    </row>
    <row r="567">
      <c r="A567" s="80" t="n"/>
      <c r="B567" s="81" t="n"/>
      <c r="C567" s="81" t="n"/>
      <c r="D567" s="82" t="n"/>
      <c r="E567" s="82" t="n"/>
      <c r="F567" s="82" t="n"/>
      <c r="G567" s="82" t="n"/>
      <c r="H567" s="82" t="n"/>
      <c r="I567" s="83" t="n"/>
      <c r="J567" s="82" t="n"/>
      <c r="K567" s="84" t="n"/>
      <c r="L567" s="85" t="n"/>
      <c r="M567" s="82" t="n"/>
      <c r="N567" s="86" t="n"/>
      <c r="O567" s="81" t="n"/>
      <c r="P567" s="82" t="n"/>
      <c r="Q567" s="83" t="n"/>
      <c r="R567" s="82" t="n"/>
      <c r="S567" s="84" t="n"/>
      <c r="T567" s="84" t="n"/>
      <c r="U567" s="82" t="n"/>
      <c r="V567" s="86" t="n"/>
      <c r="W567" s="86" t="n"/>
      <c r="X567" s="86" t="n"/>
      <c r="Y567" s="81" t="n"/>
      <c r="Z567" s="82" t="n"/>
      <c r="AA567" s="81" t="n"/>
      <c r="AB567" s="82" t="n"/>
      <c r="AC567" s="87">
        <f>IF(OR($D567="",$M567="Rejected",$M567="Withdrawn",$M567="Accepted"),"",IF(ISNUMBER($O567),IF(INT($O567)&lt;TODAY(),"FOLLOW UP REQUIRED",IF(INT($O567)=TODAY(),"ACTION DUE TODAY",IF(INT($O567)-TODAY()&lt;=Set_DueSoonDays,"DUE SOON",""))),IF(AND($M567="Applied",$AA567=""),IF(ISNUMBER($C567),IF(TODAY()-$C567&gt;=Set_FollowUpDays,"NO RESPONSE",""),""),"")))</f>
        <v/>
      </c>
      <c r="AD567" s="87">
        <f>IF(ISNUMBER($L567),IF($L567&gt;=90,"Excellent Match",IF($L567&gt;=75,"Strong Match",IF($L567&gt;=60,"Moderate Match","Low Match"))),"")</f>
        <v/>
      </c>
      <c r="AE567" s="87">
        <f>IF($D567="","",IF(OR($M567="Rejected",$M567="Withdrawn"),IF($AB567&lt;&gt;"",$AB567,IF(OR($M567="Rejected",ISNUMBER($C567)),"Applied","Wishlist")),IF($M567="",IF(ISNUMBER($C567),"Applied","Wishlist"),$M567)))</f>
        <v/>
      </c>
      <c r="AF567" s="88">
        <f>IF(AND(ISNUMBER($C567),ISNUMBER($AA567)),$AA567-$C567,"")</f>
        <v/>
      </c>
      <c r="AG567" s="87">
        <f>IF($AE567="","",IFERROR(MATCH($AE567,{"Wishlist","Applied","Screening","Interview 1","Interview 2","Final","Offer","Accepted"},0)-1,""))</f>
        <v/>
      </c>
      <c r="AH567" s="87">
        <f>IF($AC567="","",MATCH($AC567,{"FOLLOW UP REQUIRED","ACTION DUE TODAY","NO RESPONSE","DUE SOON"},0)*100000+IF(ISNUMBER($O567),$O567,IF(ISNUMBER($C567),$C567,0))+ROW()/10000)</f>
        <v/>
      </c>
      <c r="AI567" s="87">
        <f>IF(AND(ISNUMBER($AG567),$AG567&gt;=1,$AG567&lt;=6,$M567&lt;&gt;"Rejected",$M567&lt;&gt;"Withdrawn"),(10-$AG567)*100000+IF(ISNUMBER($C567),$C567,0)+ROW()/10000,"")</f>
        <v/>
      </c>
    </row>
    <row r="568">
      <c r="A568" s="80" t="n"/>
      <c r="B568" s="81" t="n"/>
      <c r="C568" s="81" t="n"/>
      <c r="D568" s="82" t="n"/>
      <c r="E568" s="82" t="n"/>
      <c r="F568" s="82" t="n"/>
      <c r="G568" s="82" t="n"/>
      <c r="H568" s="82" t="n"/>
      <c r="I568" s="83" t="n"/>
      <c r="J568" s="82" t="n"/>
      <c r="K568" s="84" t="n"/>
      <c r="L568" s="85" t="n"/>
      <c r="M568" s="82" t="n"/>
      <c r="N568" s="86" t="n"/>
      <c r="O568" s="81" t="n"/>
      <c r="P568" s="82" t="n"/>
      <c r="Q568" s="83" t="n"/>
      <c r="R568" s="82" t="n"/>
      <c r="S568" s="84" t="n"/>
      <c r="T568" s="84" t="n"/>
      <c r="U568" s="82" t="n"/>
      <c r="V568" s="86" t="n"/>
      <c r="W568" s="86" t="n"/>
      <c r="X568" s="86" t="n"/>
      <c r="Y568" s="81" t="n"/>
      <c r="Z568" s="82" t="n"/>
      <c r="AA568" s="81" t="n"/>
      <c r="AB568" s="82" t="n"/>
      <c r="AC568" s="87">
        <f>IF(OR($D568="",$M568="Rejected",$M568="Withdrawn",$M568="Accepted"),"",IF(ISNUMBER($O568),IF(INT($O568)&lt;TODAY(),"FOLLOW UP REQUIRED",IF(INT($O568)=TODAY(),"ACTION DUE TODAY",IF(INT($O568)-TODAY()&lt;=Set_DueSoonDays,"DUE SOON",""))),IF(AND($M568="Applied",$AA568=""),IF(ISNUMBER($C568),IF(TODAY()-$C568&gt;=Set_FollowUpDays,"NO RESPONSE",""),""),"")))</f>
        <v/>
      </c>
      <c r="AD568" s="87">
        <f>IF(ISNUMBER($L568),IF($L568&gt;=90,"Excellent Match",IF($L568&gt;=75,"Strong Match",IF($L568&gt;=60,"Moderate Match","Low Match"))),"")</f>
        <v/>
      </c>
      <c r="AE568" s="87">
        <f>IF($D568="","",IF(OR($M568="Rejected",$M568="Withdrawn"),IF($AB568&lt;&gt;"",$AB568,IF(OR($M568="Rejected",ISNUMBER($C568)),"Applied","Wishlist")),IF($M568="",IF(ISNUMBER($C568),"Applied","Wishlist"),$M568)))</f>
        <v/>
      </c>
      <c r="AF568" s="88">
        <f>IF(AND(ISNUMBER($C568),ISNUMBER($AA568)),$AA568-$C568,"")</f>
        <v/>
      </c>
      <c r="AG568" s="87">
        <f>IF($AE568="","",IFERROR(MATCH($AE568,{"Wishlist","Applied","Screening","Interview 1","Interview 2","Final","Offer","Accepted"},0)-1,""))</f>
        <v/>
      </c>
      <c r="AH568" s="87">
        <f>IF($AC568="","",MATCH($AC568,{"FOLLOW UP REQUIRED","ACTION DUE TODAY","NO RESPONSE","DUE SOON"},0)*100000+IF(ISNUMBER($O568),$O568,IF(ISNUMBER($C568),$C568,0))+ROW()/10000)</f>
        <v/>
      </c>
      <c r="AI568" s="87">
        <f>IF(AND(ISNUMBER($AG568),$AG568&gt;=1,$AG568&lt;=6,$M568&lt;&gt;"Rejected",$M568&lt;&gt;"Withdrawn"),(10-$AG568)*100000+IF(ISNUMBER($C568),$C568,0)+ROW()/10000,"")</f>
        <v/>
      </c>
    </row>
    <row r="569">
      <c r="A569" s="80" t="n"/>
      <c r="B569" s="81" t="n"/>
      <c r="C569" s="81" t="n"/>
      <c r="D569" s="82" t="n"/>
      <c r="E569" s="82" t="n"/>
      <c r="F569" s="82" t="n"/>
      <c r="G569" s="82" t="n"/>
      <c r="H569" s="82" t="n"/>
      <c r="I569" s="83" t="n"/>
      <c r="J569" s="82" t="n"/>
      <c r="K569" s="84" t="n"/>
      <c r="L569" s="85" t="n"/>
      <c r="M569" s="82" t="n"/>
      <c r="N569" s="86" t="n"/>
      <c r="O569" s="81" t="n"/>
      <c r="P569" s="82" t="n"/>
      <c r="Q569" s="83" t="n"/>
      <c r="R569" s="82" t="n"/>
      <c r="S569" s="84" t="n"/>
      <c r="T569" s="84" t="n"/>
      <c r="U569" s="82" t="n"/>
      <c r="V569" s="86" t="n"/>
      <c r="W569" s="86" t="n"/>
      <c r="X569" s="86" t="n"/>
      <c r="Y569" s="81" t="n"/>
      <c r="Z569" s="82" t="n"/>
      <c r="AA569" s="81" t="n"/>
      <c r="AB569" s="82" t="n"/>
      <c r="AC569" s="87">
        <f>IF(OR($D569="",$M569="Rejected",$M569="Withdrawn",$M569="Accepted"),"",IF(ISNUMBER($O569),IF(INT($O569)&lt;TODAY(),"FOLLOW UP REQUIRED",IF(INT($O569)=TODAY(),"ACTION DUE TODAY",IF(INT($O569)-TODAY()&lt;=Set_DueSoonDays,"DUE SOON",""))),IF(AND($M569="Applied",$AA569=""),IF(ISNUMBER($C569),IF(TODAY()-$C569&gt;=Set_FollowUpDays,"NO RESPONSE",""),""),"")))</f>
        <v/>
      </c>
      <c r="AD569" s="87">
        <f>IF(ISNUMBER($L569),IF($L569&gt;=90,"Excellent Match",IF($L569&gt;=75,"Strong Match",IF($L569&gt;=60,"Moderate Match","Low Match"))),"")</f>
        <v/>
      </c>
      <c r="AE569" s="87">
        <f>IF($D569="","",IF(OR($M569="Rejected",$M569="Withdrawn"),IF($AB569&lt;&gt;"",$AB569,IF(OR($M569="Rejected",ISNUMBER($C569)),"Applied","Wishlist")),IF($M569="",IF(ISNUMBER($C569),"Applied","Wishlist"),$M569)))</f>
        <v/>
      </c>
      <c r="AF569" s="88">
        <f>IF(AND(ISNUMBER($C569),ISNUMBER($AA569)),$AA569-$C569,"")</f>
        <v/>
      </c>
      <c r="AG569" s="87">
        <f>IF($AE569="","",IFERROR(MATCH($AE569,{"Wishlist","Applied","Screening","Interview 1","Interview 2","Final","Offer","Accepted"},0)-1,""))</f>
        <v/>
      </c>
      <c r="AH569" s="87">
        <f>IF($AC569="","",MATCH($AC569,{"FOLLOW UP REQUIRED","ACTION DUE TODAY","NO RESPONSE","DUE SOON"},0)*100000+IF(ISNUMBER($O569),$O569,IF(ISNUMBER($C569),$C569,0))+ROW()/10000)</f>
        <v/>
      </c>
      <c r="AI569" s="87">
        <f>IF(AND(ISNUMBER($AG569),$AG569&gt;=1,$AG569&lt;=6,$M569&lt;&gt;"Rejected",$M569&lt;&gt;"Withdrawn"),(10-$AG569)*100000+IF(ISNUMBER($C569),$C569,0)+ROW()/10000,"")</f>
        <v/>
      </c>
    </row>
    <row r="570">
      <c r="A570" s="80" t="n"/>
      <c r="B570" s="81" t="n"/>
      <c r="C570" s="81" t="n"/>
      <c r="D570" s="82" t="n"/>
      <c r="E570" s="82" t="n"/>
      <c r="F570" s="82" t="n"/>
      <c r="G570" s="82" t="n"/>
      <c r="H570" s="82" t="n"/>
      <c r="I570" s="83" t="n"/>
      <c r="J570" s="82" t="n"/>
      <c r="K570" s="84" t="n"/>
      <c r="L570" s="85" t="n"/>
      <c r="M570" s="82" t="n"/>
      <c r="N570" s="86" t="n"/>
      <c r="O570" s="81" t="n"/>
      <c r="P570" s="82" t="n"/>
      <c r="Q570" s="83" t="n"/>
      <c r="R570" s="82" t="n"/>
      <c r="S570" s="84" t="n"/>
      <c r="T570" s="84" t="n"/>
      <c r="U570" s="82" t="n"/>
      <c r="V570" s="86" t="n"/>
      <c r="W570" s="86" t="n"/>
      <c r="X570" s="86" t="n"/>
      <c r="Y570" s="81" t="n"/>
      <c r="Z570" s="82" t="n"/>
      <c r="AA570" s="81" t="n"/>
      <c r="AB570" s="82" t="n"/>
      <c r="AC570" s="87">
        <f>IF(OR($D570="",$M570="Rejected",$M570="Withdrawn",$M570="Accepted"),"",IF(ISNUMBER($O570),IF(INT($O570)&lt;TODAY(),"FOLLOW UP REQUIRED",IF(INT($O570)=TODAY(),"ACTION DUE TODAY",IF(INT($O570)-TODAY()&lt;=Set_DueSoonDays,"DUE SOON",""))),IF(AND($M570="Applied",$AA570=""),IF(ISNUMBER($C570),IF(TODAY()-$C570&gt;=Set_FollowUpDays,"NO RESPONSE",""),""),"")))</f>
        <v/>
      </c>
      <c r="AD570" s="87">
        <f>IF(ISNUMBER($L570),IF($L570&gt;=90,"Excellent Match",IF($L570&gt;=75,"Strong Match",IF($L570&gt;=60,"Moderate Match","Low Match"))),"")</f>
        <v/>
      </c>
      <c r="AE570" s="87">
        <f>IF($D570="","",IF(OR($M570="Rejected",$M570="Withdrawn"),IF($AB570&lt;&gt;"",$AB570,IF(OR($M570="Rejected",ISNUMBER($C570)),"Applied","Wishlist")),IF($M570="",IF(ISNUMBER($C570),"Applied","Wishlist"),$M570)))</f>
        <v/>
      </c>
      <c r="AF570" s="88">
        <f>IF(AND(ISNUMBER($C570),ISNUMBER($AA570)),$AA570-$C570,"")</f>
        <v/>
      </c>
      <c r="AG570" s="87">
        <f>IF($AE570="","",IFERROR(MATCH($AE570,{"Wishlist","Applied","Screening","Interview 1","Interview 2","Final","Offer","Accepted"},0)-1,""))</f>
        <v/>
      </c>
      <c r="AH570" s="87">
        <f>IF($AC570="","",MATCH($AC570,{"FOLLOW UP REQUIRED","ACTION DUE TODAY","NO RESPONSE","DUE SOON"},0)*100000+IF(ISNUMBER($O570),$O570,IF(ISNUMBER($C570),$C570,0))+ROW()/10000)</f>
        <v/>
      </c>
      <c r="AI570" s="87">
        <f>IF(AND(ISNUMBER($AG570),$AG570&gt;=1,$AG570&lt;=6,$M570&lt;&gt;"Rejected",$M570&lt;&gt;"Withdrawn"),(10-$AG570)*100000+IF(ISNUMBER($C570),$C570,0)+ROW()/10000,"")</f>
        <v/>
      </c>
    </row>
    <row r="571">
      <c r="A571" s="80" t="n"/>
      <c r="B571" s="81" t="n"/>
      <c r="C571" s="81" t="n"/>
      <c r="D571" s="82" t="n"/>
      <c r="E571" s="82" t="n"/>
      <c r="F571" s="82" t="n"/>
      <c r="G571" s="82" t="n"/>
      <c r="H571" s="82" t="n"/>
      <c r="I571" s="83" t="n"/>
      <c r="J571" s="82" t="n"/>
      <c r="K571" s="84" t="n"/>
      <c r="L571" s="85" t="n"/>
      <c r="M571" s="82" t="n"/>
      <c r="N571" s="86" t="n"/>
      <c r="O571" s="81" t="n"/>
      <c r="P571" s="82" t="n"/>
      <c r="Q571" s="83" t="n"/>
      <c r="R571" s="82" t="n"/>
      <c r="S571" s="84" t="n"/>
      <c r="T571" s="84" t="n"/>
      <c r="U571" s="82" t="n"/>
      <c r="V571" s="86" t="n"/>
      <c r="W571" s="86" t="n"/>
      <c r="X571" s="86" t="n"/>
      <c r="Y571" s="81" t="n"/>
      <c r="Z571" s="82" t="n"/>
      <c r="AA571" s="81" t="n"/>
      <c r="AB571" s="82" t="n"/>
      <c r="AC571" s="87">
        <f>IF(OR($D571="",$M571="Rejected",$M571="Withdrawn",$M571="Accepted"),"",IF(ISNUMBER($O571),IF(INT($O571)&lt;TODAY(),"FOLLOW UP REQUIRED",IF(INT($O571)=TODAY(),"ACTION DUE TODAY",IF(INT($O571)-TODAY()&lt;=Set_DueSoonDays,"DUE SOON",""))),IF(AND($M571="Applied",$AA571=""),IF(ISNUMBER($C571),IF(TODAY()-$C571&gt;=Set_FollowUpDays,"NO RESPONSE",""),""),"")))</f>
        <v/>
      </c>
      <c r="AD571" s="87">
        <f>IF(ISNUMBER($L571),IF($L571&gt;=90,"Excellent Match",IF($L571&gt;=75,"Strong Match",IF($L571&gt;=60,"Moderate Match","Low Match"))),"")</f>
        <v/>
      </c>
      <c r="AE571" s="87">
        <f>IF($D571="","",IF(OR($M571="Rejected",$M571="Withdrawn"),IF($AB571&lt;&gt;"",$AB571,IF(OR($M571="Rejected",ISNUMBER($C571)),"Applied","Wishlist")),IF($M571="",IF(ISNUMBER($C571),"Applied","Wishlist"),$M571)))</f>
        <v/>
      </c>
      <c r="AF571" s="88">
        <f>IF(AND(ISNUMBER($C571),ISNUMBER($AA571)),$AA571-$C571,"")</f>
        <v/>
      </c>
      <c r="AG571" s="87">
        <f>IF($AE571="","",IFERROR(MATCH($AE571,{"Wishlist","Applied","Screening","Interview 1","Interview 2","Final","Offer","Accepted"},0)-1,""))</f>
        <v/>
      </c>
      <c r="AH571" s="87">
        <f>IF($AC571="","",MATCH($AC571,{"FOLLOW UP REQUIRED","ACTION DUE TODAY","NO RESPONSE","DUE SOON"},0)*100000+IF(ISNUMBER($O571),$O571,IF(ISNUMBER($C571),$C571,0))+ROW()/10000)</f>
        <v/>
      </c>
      <c r="AI571" s="87">
        <f>IF(AND(ISNUMBER($AG571),$AG571&gt;=1,$AG571&lt;=6,$M571&lt;&gt;"Rejected",$M571&lt;&gt;"Withdrawn"),(10-$AG571)*100000+IF(ISNUMBER($C571),$C571,0)+ROW()/10000,"")</f>
        <v/>
      </c>
    </row>
    <row r="572">
      <c r="A572" s="80" t="n"/>
      <c r="B572" s="81" t="n"/>
      <c r="C572" s="81" t="n"/>
      <c r="D572" s="82" t="n"/>
      <c r="E572" s="82" t="n"/>
      <c r="F572" s="82" t="n"/>
      <c r="G572" s="82" t="n"/>
      <c r="H572" s="82" t="n"/>
      <c r="I572" s="83" t="n"/>
      <c r="J572" s="82" t="n"/>
      <c r="K572" s="84" t="n"/>
      <c r="L572" s="85" t="n"/>
      <c r="M572" s="82" t="n"/>
      <c r="N572" s="86" t="n"/>
      <c r="O572" s="81" t="n"/>
      <c r="P572" s="82" t="n"/>
      <c r="Q572" s="83" t="n"/>
      <c r="R572" s="82" t="n"/>
      <c r="S572" s="84" t="n"/>
      <c r="T572" s="84" t="n"/>
      <c r="U572" s="82" t="n"/>
      <c r="V572" s="86" t="n"/>
      <c r="W572" s="86" t="n"/>
      <c r="X572" s="86" t="n"/>
      <c r="Y572" s="81" t="n"/>
      <c r="Z572" s="82" t="n"/>
      <c r="AA572" s="81" t="n"/>
      <c r="AB572" s="82" t="n"/>
      <c r="AC572" s="87">
        <f>IF(OR($D572="",$M572="Rejected",$M572="Withdrawn",$M572="Accepted"),"",IF(ISNUMBER($O572),IF(INT($O572)&lt;TODAY(),"FOLLOW UP REQUIRED",IF(INT($O572)=TODAY(),"ACTION DUE TODAY",IF(INT($O572)-TODAY()&lt;=Set_DueSoonDays,"DUE SOON",""))),IF(AND($M572="Applied",$AA572=""),IF(ISNUMBER($C572),IF(TODAY()-$C572&gt;=Set_FollowUpDays,"NO RESPONSE",""),""),"")))</f>
        <v/>
      </c>
      <c r="AD572" s="87">
        <f>IF(ISNUMBER($L572),IF($L572&gt;=90,"Excellent Match",IF($L572&gt;=75,"Strong Match",IF($L572&gt;=60,"Moderate Match","Low Match"))),"")</f>
        <v/>
      </c>
      <c r="AE572" s="87">
        <f>IF($D572="","",IF(OR($M572="Rejected",$M572="Withdrawn"),IF($AB572&lt;&gt;"",$AB572,IF(OR($M572="Rejected",ISNUMBER($C572)),"Applied","Wishlist")),IF($M572="",IF(ISNUMBER($C572),"Applied","Wishlist"),$M572)))</f>
        <v/>
      </c>
      <c r="AF572" s="88">
        <f>IF(AND(ISNUMBER($C572),ISNUMBER($AA572)),$AA572-$C572,"")</f>
        <v/>
      </c>
      <c r="AG572" s="87">
        <f>IF($AE572="","",IFERROR(MATCH($AE572,{"Wishlist","Applied","Screening","Interview 1","Interview 2","Final","Offer","Accepted"},0)-1,""))</f>
        <v/>
      </c>
      <c r="AH572" s="87">
        <f>IF($AC572="","",MATCH($AC572,{"FOLLOW UP REQUIRED","ACTION DUE TODAY","NO RESPONSE","DUE SOON"},0)*100000+IF(ISNUMBER($O572),$O572,IF(ISNUMBER($C572),$C572,0))+ROW()/10000)</f>
        <v/>
      </c>
      <c r="AI572" s="87">
        <f>IF(AND(ISNUMBER($AG572),$AG572&gt;=1,$AG572&lt;=6,$M572&lt;&gt;"Rejected",$M572&lt;&gt;"Withdrawn"),(10-$AG572)*100000+IF(ISNUMBER($C572),$C572,0)+ROW()/10000,"")</f>
        <v/>
      </c>
    </row>
    <row r="573">
      <c r="A573" s="80" t="n"/>
      <c r="B573" s="81" t="n"/>
      <c r="C573" s="81" t="n"/>
      <c r="D573" s="82" t="n"/>
      <c r="E573" s="82" t="n"/>
      <c r="F573" s="82" t="n"/>
      <c r="G573" s="82" t="n"/>
      <c r="H573" s="82" t="n"/>
      <c r="I573" s="83" t="n"/>
      <c r="J573" s="82" t="n"/>
      <c r="K573" s="84" t="n"/>
      <c r="L573" s="85" t="n"/>
      <c r="M573" s="82" t="n"/>
      <c r="N573" s="86" t="n"/>
      <c r="O573" s="81" t="n"/>
      <c r="P573" s="82" t="n"/>
      <c r="Q573" s="83" t="n"/>
      <c r="R573" s="82" t="n"/>
      <c r="S573" s="84" t="n"/>
      <c r="T573" s="84" t="n"/>
      <c r="U573" s="82" t="n"/>
      <c r="V573" s="86" t="n"/>
      <c r="W573" s="86" t="n"/>
      <c r="X573" s="86" t="n"/>
      <c r="Y573" s="81" t="n"/>
      <c r="Z573" s="82" t="n"/>
      <c r="AA573" s="81" t="n"/>
      <c r="AB573" s="82" t="n"/>
      <c r="AC573" s="87">
        <f>IF(OR($D573="",$M573="Rejected",$M573="Withdrawn",$M573="Accepted"),"",IF(ISNUMBER($O573),IF(INT($O573)&lt;TODAY(),"FOLLOW UP REQUIRED",IF(INT($O573)=TODAY(),"ACTION DUE TODAY",IF(INT($O573)-TODAY()&lt;=Set_DueSoonDays,"DUE SOON",""))),IF(AND($M573="Applied",$AA573=""),IF(ISNUMBER($C573),IF(TODAY()-$C573&gt;=Set_FollowUpDays,"NO RESPONSE",""),""),"")))</f>
        <v/>
      </c>
      <c r="AD573" s="87">
        <f>IF(ISNUMBER($L573),IF($L573&gt;=90,"Excellent Match",IF($L573&gt;=75,"Strong Match",IF($L573&gt;=60,"Moderate Match","Low Match"))),"")</f>
        <v/>
      </c>
      <c r="AE573" s="87">
        <f>IF($D573="","",IF(OR($M573="Rejected",$M573="Withdrawn"),IF($AB573&lt;&gt;"",$AB573,IF(OR($M573="Rejected",ISNUMBER($C573)),"Applied","Wishlist")),IF($M573="",IF(ISNUMBER($C573),"Applied","Wishlist"),$M573)))</f>
        <v/>
      </c>
      <c r="AF573" s="88">
        <f>IF(AND(ISNUMBER($C573),ISNUMBER($AA573)),$AA573-$C573,"")</f>
        <v/>
      </c>
      <c r="AG573" s="87">
        <f>IF($AE573="","",IFERROR(MATCH($AE573,{"Wishlist","Applied","Screening","Interview 1","Interview 2","Final","Offer","Accepted"},0)-1,""))</f>
        <v/>
      </c>
      <c r="AH573" s="87">
        <f>IF($AC573="","",MATCH($AC573,{"FOLLOW UP REQUIRED","ACTION DUE TODAY","NO RESPONSE","DUE SOON"},0)*100000+IF(ISNUMBER($O573),$O573,IF(ISNUMBER($C573),$C573,0))+ROW()/10000)</f>
        <v/>
      </c>
      <c r="AI573" s="87">
        <f>IF(AND(ISNUMBER($AG573),$AG573&gt;=1,$AG573&lt;=6,$M573&lt;&gt;"Rejected",$M573&lt;&gt;"Withdrawn"),(10-$AG573)*100000+IF(ISNUMBER($C573),$C573,0)+ROW()/10000,"")</f>
        <v/>
      </c>
    </row>
    <row r="574">
      <c r="A574" s="80" t="n"/>
      <c r="B574" s="81" t="n"/>
      <c r="C574" s="81" t="n"/>
      <c r="D574" s="82" t="n"/>
      <c r="E574" s="82" t="n"/>
      <c r="F574" s="82" t="n"/>
      <c r="G574" s="82" t="n"/>
      <c r="H574" s="82" t="n"/>
      <c r="I574" s="83" t="n"/>
      <c r="J574" s="82" t="n"/>
      <c r="K574" s="84" t="n"/>
      <c r="L574" s="85" t="n"/>
      <c r="M574" s="82" t="n"/>
      <c r="N574" s="86" t="n"/>
      <c r="O574" s="81" t="n"/>
      <c r="P574" s="82" t="n"/>
      <c r="Q574" s="83" t="n"/>
      <c r="R574" s="82" t="n"/>
      <c r="S574" s="84" t="n"/>
      <c r="T574" s="84" t="n"/>
      <c r="U574" s="82" t="n"/>
      <c r="V574" s="86" t="n"/>
      <c r="W574" s="86" t="n"/>
      <c r="X574" s="86" t="n"/>
      <c r="Y574" s="81" t="n"/>
      <c r="Z574" s="82" t="n"/>
      <c r="AA574" s="81" t="n"/>
      <c r="AB574" s="82" t="n"/>
      <c r="AC574" s="87">
        <f>IF(OR($D574="",$M574="Rejected",$M574="Withdrawn",$M574="Accepted"),"",IF(ISNUMBER($O574),IF(INT($O574)&lt;TODAY(),"FOLLOW UP REQUIRED",IF(INT($O574)=TODAY(),"ACTION DUE TODAY",IF(INT($O574)-TODAY()&lt;=Set_DueSoonDays,"DUE SOON",""))),IF(AND($M574="Applied",$AA574=""),IF(ISNUMBER($C574),IF(TODAY()-$C574&gt;=Set_FollowUpDays,"NO RESPONSE",""),""),"")))</f>
        <v/>
      </c>
      <c r="AD574" s="87">
        <f>IF(ISNUMBER($L574),IF($L574&gt;=90,"Excellent Match",IF($L574&gt;=75,"Strong Match",IF($L574&gt;=60,"Moderate Match","Low Match"))),"")</f>
        <v/>
      </c>
      <c r="AE574" s="87">
        <f>IF($D574="","",IF(OR($M574="Rejected",$M574="Withdrawn"),IF($AB574&lt;&gt;"",$AB574,IF(OR($M574="Rejected",ISNUMBER($C574)),"Applied","Wishlist")),IF($M574="",IF(ISNUMBER($C574),"Applied","Wishlist"),$M574)))</f>
        <v/>
      </c>
      <c r="AF574" s="88">
        <f>IF(AND(ISNUMBER($C574),ISNUMBER($AA574)),$AA574-$C574,"")</f>
        <v/>
      </c>
      <c r="AG574" s="87">
        <f>IF($AE574="","",IFERROR(MATCH($AE574,{"Wishlist","Applied","Screening","Interview 1","Interview 2","Final","Offer","Accepted"},0)-1,""))</f>
        <v/>
      </c>
      <c r="AH574" s="87">
        <f>IF($AC574="","",MATCH($AC574,{"FOLLOW UP REQUIRED","ACTION DUE TODAY","NO RESPONSE","DUE SOON"},0)*100000+IF(ISNUMBER($O574),$O574,IF(ISNUMBER($C574),$C574,0))+ROW()/10000)</f>
        <v/>
      </c>
      <c r="AI574" s="87">
        <f>IF(AND(ISNUMBER($AG574),$AG574&gt;=1,$AG574&lt;=6,$M574&lt;&gt;"Rejected",$M574&lt;&gt;"Withdrawn"),(10-$AG574)*100000+IF(ISNUMBER($C574),$C574,0)+ROW()/10000,"")</f>
        <v/>
      </c>
    </row>
    <row r="575">
      <c r="A575" s="80" t="n"/>
      <c r="B575" s="81" t="n"/>
      <c r="C575" s="81" t="n"/>
      <c r="D575" s="82" t="n"/>
      <c r="E575" s="82" t="n"/>
      <c r="F575" s="82" t="n"/>
      <c r="G575" s="82" t="n"/>
      <c r="H575" s="82" t="n"/>
      <c r="I575" s="83" t="n"/>
      <c r="J575" s="82" t="n"/>
      <c r="K575" s="84" t="n"/>
      <c r="L575" s="85" t="n"/>
      <c r="M575" s="82" t="n"/>
      <c r="N575" s="86" t="n"/>
      <c r="O575" s="81" t="n"/>
      <c r="P575" s="82" t="n"/>
      <c r="Q575" s="83" t="n"/>
      <c r="R575" s="82" t="n"/>
      <c r="S575" s="84" t="n"/>
      <c r="T575" s="84" t="n"/>
      <c r="U575" s="82" t="n"/>
      <c r="V575" s="86" t="n"/>
      <c r="W575" s="86" t="n"/>
      <c r="X575" s="86" t="n"/>
      <c r="Y575" s="81" t="n"/>
      <c r="Z575" s="82" t="n"/>
      <c r="AA575" s="81" t="n"/>
      <c r="AB575" s="82" t="n"/>
      <c r="AC575" s="87">
        <f>IF(OR($D575="",$M575="Rejected",$M575="Withdrawn",$M575="Accepted"),"",IF(ISNUMBER($O575),IF(INT($O575)&lt;TODAY(),"FOLLOW UP REQUIRED",IF(INT($O575)=TODAY(),"ACTION DUE TODAY",IF(INT($O575)-TODAY()&lt;=Set_DueSoonDays,"DUE SOON",""))),IF(AND($M575="Applied",$AA575=""),IF(ISNUMBER($C575),IF(TODAY()-$C575&gt;=Set_FollowUpDays,"NO RESPONSE",""),""),"")))</f>
        <v/>
      </c>
      <c r="AD575" s="87">
        <f>IF(ISNUMBER($L575),IF($L575&gt;=90,"Excellent Match",IF($L575&gt;=75,"Strong Match",IF($L575&gt;=60,"Moderate Match","Low Match"))),"")</f>
        <v/>
      </c>
      <c r="AE575" s="87">
        <f>IF($D575="","",IF(OR($M575="Rejected",$M575="Withdrawn"),IF($AB575&lt;&gt;"",$AB575,IF(OR($M575="Rejected",ISNUMBER($C575)),"Applied","Wishlist")),IF($M575="",IF(ISNUMBER($C575),"Applied","Wishlist"),$M575)))</f>
        <v/>
      </c>
      <c r="AF575" s="88">
        <f>IF(AND(ISNUMBER($C575),ISNUMBER($AA575)),$AA575-$C575,"")</f>
        <v/>
      </c>
      <c r="AG575" s="87">
        <f>IF($AE575="","",IFERROR(MATCH($AE575,{"Wishlist","Applied","Screening","Interview 1","Interview 2","Final","Offer","Accepted"},0)-1,""))</f>
        <v/>
      </c>
      <c r="AH575" s="87">
        <f>IF($AC575="","",MATCH($AC575,{"FOLLOW UP REQUIRED","ACTION DUE TODAY","NO RESPONSE","DUE SOON"},0)*100000+IF(ISNUMBER($O575),$O575,IF(ISNUMBER($C575),$C575,0))+ROW()/10000)</f>
        <v/>
      </c>
      <c r="AI575" s="87">
        <f>IF(AND(ISNUMBER($AG575),$AG575&gt;=1,$AG575&lt;=6,$M575&lt;&gt;"Rejected",$M575&lt;&gt;"Withdrawn"),(10-$AG575)*100000+IF(ISNUMBER($C575),$C575,0)+ROW()/10000,"")</f>
        <v/>
      </c>
    </row>
    <row r="576">
      <c r="A576" s="80" t="n"/>
      <c r="B576" s="81" t="n"/>
      <c r="C576" s="81" t="n"/>
      <c r="D576" s="82" t="n"/>
      <c r="E576" s="82" t="n"/>
      <c r="F576" s="82" t="n"/>
      <c r="G576" s="82" t="n"/>
      <c r="H576" s="82" t="n"/>
      <c r="I576" s="83" t="n"/>
      <c r="J576" s="82" t="n"/>
      <c r="K576" s="84" t="n"/>
      <c r="L576" s="85" t="n"/>
      <c r="M576" s="82" t="n"/>
      <c r="N576" s="86" t="n"/>
      <c r="O576" s="81" t="n"/>
      <c r="P576" s="82" t="n"/>
      <c r="Q576" s="83" t="n"/>
      <c r="R576" s="82" t="n"/>
      <c r="S576" s="84" t="n"/>
      <c r="T576" s="84" t="n"/>
      <c r="U576" s="82" t="n"/>
      <c r="V576" s="86" t="n"/>
      <c r="W576" s="86" t="n"/>
      <c r="X576" s="86" t="n"/>
      <c r="Y576" s="81" t="n"/>
      <c r="Z576" s="82" t="n"/>
      <c r="AA576" s="81" t="n"/>
      <c r="AB576" s="82" t="n"/>
      <c r="AC576" s="87">
        <f>IF(OR($D576="",$M576="Rejected",$M576="Withdrawn",$M576="Accepted"),"",IF(ISNUMBER($O576),IF(INT($O576)&lt;TODAY(),"FOLLOW UP REQUIRED",IF(INT($O576)=TODAY(),"ACTION DUE TODAY",IF(INT($O576)-TODAY()&lt;=Set_DueSoonDays,"DUE SOON",""))),IF(AND($M576="Applied",$AA576=""),IF(ISNUMBER($C576),IF(TODAY()-$C576&gt;=Set_FollowUpDays,"NO RESPONSE",""),""),"")))</f>
        <v/>
      </c>
      <c r="AD576" s="87">
        <f>IF(ISNUMBER($L576),IF($L576&gt;=90,"Excellent Match",IF($L576&gt;=75,"Strong Match",IF($L576&gt;=60,"Moderate Match","Low Match"))),"")</f>
        <v/>
      </c>
      <c r="AE576" s="87">
        <f>IF($D576="","",IF(OR($M576="Rejected",$M576="Withdrawn"),IF($AB576&lt;&gt;"",$AB576,IF(OR($M576="Rejected",ISNUMBER($C576)),"Applied","Wishlist")),IF($M576="",IF(ISNUMBER($C576),"Applied","Wishlist"),$M576)))</f>
        <v/>
      </c>
      <c r="AF576" s="88">
        <f>IF(AND(ISNUMBER($C576),ISNUMBER($AA576)),$AA576-$C576,"")</f>
        <v/>
      </c>
      <c r="AG576" s="87">
        <f>IF($AE576="","",IFERROR(MATCH($AE576,{"Wishlist","Applied","Screening","Interview 1","Interview 2","Final","Offer","Accepted"},0)-1,""))</f>
        <v/>
      </c>
      <c r="AH576" s="87">
        <f>IF($AC576="","",MATCH($AC576,{"FOLLOW UP REQUIRED","ACTION DUE TODAY","NO RESPONSE","DUE SOON"},0)*100000+IF(ISNUMBER($O576),$O576,IF(ISNUMBER($C576),$C576,0))+ROW()/10000)</f>
        <v/>
      </c>
      <c r="AI576" s="87">
        <f>IF(AND(ISNUMBER($AG576),$AG576&gt;=1,$AG576&lt;=6,$M576&lt;&gt;"Rejected",$M576&lt;&gt;"Withdrawn"),(10-$AG576)*100000+IF(ISNUMBER($C576),$C576,0)+ROW()/10000,"")</f>
        <v/>
      </c>
    </row>
    <row r="577">
      <c r="A577" s="80" t="n"/>
      <c r="B577" s="81" t="n"/>
      <c r="C577" s="81" t="n"/>
      <c r="D577" s="82" t="n"/>
      <c r="E577" s="82" t="n"/>
      <c r="F577" s="82" t="n"/>
      <c r="G577" s="82" t="n"/>
      <c r="H577" s="82" t="n"/>
      <c r="I577" s="83" t="n"/>
      <c r="J577" s="82" t="n"/>
      <c r="K577" s="84" t="n"/>
      <c r="L577" s="85" t="n"/>
      <c r="M577" s="82" t="n"/>
      <c r="N577" s="86" t="n"/>
      <c r="O577" s="81" t="n"/>
      <c r="P577" s="82" t="n"/>
      <c r="Q577" s="83" t="n"/>
      <c r="R577" s="82" t="n"/>
      <c r="S577" s="84" t="n"/>
      <c r="T577" s="84" t="n"/>
      <c r="U577" s="82" t="n"/>
      <c r="V577" s="86" t="n"/>
      <c r="W577" s="86" t="n"/>
      <c r="X577" s="86" t="n"/>
      <c r="Y577" s="81" t="n"/>
      <c r="Z577" s="82" t="n"/>
      <c r="AA577" s="81" t="n"/>
      <c r="AB577" s="82" t="n"/>
      <c r="AC577" s="87">
        <f>IF(OR($D577="",$M577="Rejected",$M577="Withdrawn",$M577="Accepted"),"",IF(ISNUMBER($O577),IF(INT($O577)&lt;TODAY(),"FOLLOW UP REQUIRED",IF(INT($O577)=TODAY(),"ACTION DUE TODAY",IF(INT($O577)-TODAY()&lt;=Set_DueSoonDays,"DUE SOON",""))),IF(AND($M577="Applied",$AA577=""),IF(ISNUMBER($C577),IF(TODAY()-$C577&gt;=Set_FollowUpDays,"NO RESPONSE",""),""),"")))</f>
        <v/>
      </c>
      <c r="AD577" s="87">
        <f>IF(ISNUMBER($L577),IF($L577&gt;=90,"Excellent Match",IF($L577&gt;=75,"Strong Match",IF($L577&gt;=60,"Moderate Match","Low Match"))),"")</f>
        <v/>
      </c>
      <c r="AE577" s="87">
        <f>IF($D577="","",IF(OR($M577="Rejected",$M577="Withdrawn"),IF($AB577&lt;&gt;"",$AB577,IF(OR($M577="Rejected",ISNUMBER($C577)),"Applied","Wishlist")),IF($M577="",IF(ISNUMBER($C577),"Applied","Wishlist"),$M577)))</f>
        <v/>
      </c>
      <c r="AF577" s="88">
        <f>IF(AND(ISNUMBER($C577),ISNUMBER($AA577)),$AA577-$C577,"")</f>
        <v/>
      </c>
      <c r="AG577" s="87">
        <f>IF($AE577="","",IFERROR(MATCH($AE577,{"Wishlist","Applied","Screening","Interview 1","Interview 2","Final","Offer","Accepted"},0)-1,""))</f>
        <v/>
      </c>
      <c r="AH577" s="87">
        <f>IF($AC577="","",MATCH($AC577,{"FOLLOW UP REQUIRED","ACTION DUE TODAY","NO RESPONSE","DUE SOON"},0)*100000+IF(ISNUMBER($O577),$O577,IF(ISNUMBER($C577),$C577,0))+ROW()/10000)</f>
        <v/>
      </c>
      <c r="AI577" s="87">
        <f>IF(AND(ISNUMBER($AG577),$AG577&gt;=1,$AG577&lt;=6,$M577&lt;&gt;"Rejected",$M577&lt;&gt;"Withdrawn"),(10-$AG577)*100000+IF(ISNUMBER($C577),$C577,0)+ROW()/10000,"")</f>
        <v/>
      </c>
    </row>
    <row r="578">
      <c r="A578" s="80" t="n"/>
      <c r="B578" s="81" t="n"/>
      <c r="C578" s="81" t="n"/>
      <c r="D578" s="82" t="n"/>
      <c r="E578" s="82" t="n"/>
      <c r="F578" s="82" t="n"/>
      <c r="G578" s="82" t="n"/>
      <c r="H578" s="82" t="n"/>
      <c r="I578" s="83" t="n"/>
      <c r="J578" s="82" t="n"/>
      <c r="K578" s="84" t="n"/>
      <c r="L578" s="85" t="n"/>
      <c r="M578" s="82" t="n"/>
      <c r="N578" s="86" t="n"/>
      <c r="O578" s="81" t="n"/>
      <c r="P578" s="82" t="n"/>
      <c r="Q578" s="83" t="n"/>
      <c r="R578" s="82" t="n"/>
      <c r="S578" s="84" t="n"/>
      <c r="T578" s="84" t="n"/>
      <c r="U578" s="82" t="n"/>
      <c r="V578" s="86" t="n"/>
      <c r="W578" s="86" t="n"/>
      <c r="X578" s="86" t="n"/>
      <c r="Y578" s="81" t="n"/>
      <c r="Z578" s="82" t="n"/>
      <c r="AA578" s="81" t="n"/>
      <c r="AB578" s="82" t="n"/>
      <c r="AC578" s="87">
        <f>IF(OR($D578="",$M578="Rejected",$M578="Withdrawn",$M578="Accepted"),"",IF(ISNUMBER($O578),IF(INT($O578)&lt;TODAY(),"FOLLOW UP REQUIRED",IF(INT($O578)=TODAY(),"ACTION DUE TODAY",IF(INT($O578)-TODAY()&lt;=Set_DueSoonDays,"DUE SOON",""))),IF(AND($M578="Applied",$AA578=""),IF(ISNUMBER($C578),IF(TODAY()-$C578&gt;=Set_FollowUpDays,"NO RESPONSE",""),""),"")))</f>
        <v/>
      </c>
      <c r="AD578" s="87">
        <f>IF(ISNUMBER($L578),IF($L578&gt;=90,"Excellent Match",IF($L578&gt;=75,"Strong Match",IF($L578&gt;=60,"Moderate Match","Low Match"))),"")</f>
        <v/>
      </c>
      <c r="AE578" s="87">
        <f>IF($D578="","",IF(OR($M578="Rejected",$M578="Withdrawn"),IF($AB578&lt;&gt;"",$AB578,IF(OR($M578="Rejected",ISNUMBER($C578)),"Applied","Wishlist")),IF($M578="",IF(ISNUMBER($C578),"Applied","Wishlist"),$M578)))</f>
        <v/>
      </c>
      <c r="AF578" s="88">
        <f>IF(AND(ISNUMBER($C578),ISNUMBER($AA578)),$AA578-$C578,"")</f>
        <v/>
      </c>
      <c r="AG578" s="87">
        <f>IF($AE578="","",IFERROR(MATCH($AE578,{"Wishlist","Applied","Screening","Interview 1","Interview 2","Final","Offer","Accepted"},0)-1,""))</f>
        <v/>
      </c>
      <c r="AH578" s="87">
        <f>IF($AC578="","",MATCH($AC578,{"FOLLOW UP REQUIRED","ACTION DUE TODAY","NO RESPONSE","DUE SOON"},0)*100000+IF(ISNUMBER($O578),$O578,IF(ISNUMBER($C578),$C578,0))+ROW()/10000)</f>
        <v/>
      </c>
      <c r="AI578" s="87">
        <f>IF(AND(ISNUMBER($AG578),$AG578&gt;=1,$AG578&lt;=6,$M578&lt;&gt;"Rejected",$M578&lt;&gt;"Withdrawn"),(10-$AG578)*100000+IF(ISNUMBER($C578),$C578,0)+ROW()/10000,"")</f>
        <v/>
      </c>
    </row>
    <row r="579">
      <c r="A579" s="80" t="n"/>
      <c r="B579" s="81" t="n"/>
      <c r="C579" s="81" t="n"/>
      <c r="D579" s="82" t="n"/>
      <c r="E579" s="82" t="n"/>
      <c r="F579" s="82" t="n"/>
      <c r="G579" s="82" t="n"/>
      <c r="H579" s="82" t="n"/>
      <c r="I579" s="83" t="n"/>
      <c r="J579" s="82" t="n"/>
      <c r="K579" s="84" t="n"/>
      <c r="L579" s="85" t="n"/>
      <c r="M579" s="82" t="n"/>
      <c r="N579" s="86" t="n"/>
      <c r="O579" s="81" t="n"/>
      <c r="P579" s="82" t="n"/>
      <c r="Q579" s="83" t="n"/>
      <c r="R579" s="82" t="n"/>
      <c r="S579" s="84" t="n"/>
      <c r="T579" s="84" t="n"/>
      <c r="U579" s="82" t="n"/>
      <c r="V579" s="86" t="n"/>
      <c r="W579" s="86" t="n"/>
      <c r="X579" s="86" t="n"/>
      <c r="Y579" s="81" t="n"/>
      <c r="Z579" s="82" t="n"/>
      <c r="AA579" s="81" t="n"/>
      <c r="AB579" s="82" t="n"/>
      <c r="AC579" s="87">
        <f>IF(OR($D579="",$M579="Rejected",$M579="Withdrawn",$M579="Accepted"),"",IF(ISNUMBER($O579),IF(INT($O579)&lt;TODAY(),"FOLLOW UP REQUIRED",IF(INT($O579)=TODAY(),"ACTION DUE TODAY",IF(INT($O579)-TODAY()&lt;=Set_DueSoonDays,"DUE SOON",""))),IF(AND($M579="Applied",$AA579=""),IF(ISNUMBER($C579),IF(TODAY()-$C579&gt;=Set_FollowUpDays,"NO RESPONSE",""),""),"")))</f>
        <v/>
      </c>
      <c r="AD579" s="87">
        <f>IF(ISNUMBER($L579),IF($L579&gt;=90,"Excellent Match",IF($L579&gt;=75,"Strong Match",IF($L579&gt;=60,"Moderate Match","Low Match"))),"")</f>
        <v/>
      </c>
      <c r="AE579" s="87">
        <f>IF($D579="","",IF(OR($M579="Rejected",$M579="Withdrawn"),IF($AB579&lt;&gt;"",$AB579,IF(OR($M579="Rejected",ISNUMBER($C579)),"Applied","Wishlist")),IF($M579="",IF(ISNUMBER($C579),"Applied","Wishlist"),$M579)))</f>
        <v/>
      </c>
      <c r="AF579" s="88">
        <f>IF(AND(ISNUMBER($C579),ISNUMBER($AA579)),$AA579-$C579,"")</f>
        <v/>
      </c>
      <c r="AG579" s="87">
        <f>IF($AE579="","",IFERROR(MATCH($AE579,{"Wishlist","Applied","Screening","Interview 1","Interview 2","Final","Offer","Accepted"},0)-1,""))</f>
        <v/>
      </c>
      <c r="AH579" s="87">
        <f>IF($AC579="","",MATCH($AC579,{"FOLLOW UP REQUIRED","ACTION DUE TODAY","NO RESPONSE","DUE SOON"},0)*100000+IF(ISNUMBER($O579),$O579,IF(ISNUMBER($C579),$C579,0))+ROW()/10000)</f>
        <v/>
      </c>
      <c r="AI579" s="87">
        <f>IF(AND(ISNUMBER($AG579),$AG579&gt;=1,$AG579&lt;=6,$M579&lt;&gt;"Rejected",$M579&lt;&gt;"Withdrawn"),(10-$AG579)*100000+IF(ISNUMBER($C579),$C579,0)+ROW()/10000,"")</f>
        <v/>
      </c>
    </row>
    <row r="580">
      <c r="A580" s="80" t="n"/>
      <c r="B580" s="81" t="n"/>
      <c r="C580" s="81" t="n"/>
      <c r="D580" s="82" t="n"/>
      <c r="E580" s="82" t="n"/>
      <c r="F580" s="82" t="n"/>
      <c r="G580" s="82" t="n"/>
      <c r="H580" s="82" t="n"/>
      <c r="I580" s="83" t="n"/>
      <c r="J580" s="82" t="n"/>
      <c r="K580" s="84" t="n"/>
      <c r="L580" s="85" t="n"/>
      <c r="M580" s="82" t="n"/>
      <c r="N580" s="86" t="n"/>
      <c r="O580" s="81" t="n"/>
      <c r="P580" s="82" t="n"/>
      <c r="Q580" s="83" t="n"/>
      <c r="R580" s="82" t="n"/>
      <c r="S580" s="84" t="n"/>
      <c r="T580" s="84" t="n"/>
      <c r="U580" s="82" t="n"/>
      <c r="V580" s="86" t="n"/>
      <c r="W580" s="86" t="n"/>
      <c r="X580" s="86" t="n"/>
      <c r="Y580" s="81" t="n"/>
      <c r="Z580" s="82" t="n"/>
      <c r="AA580" s="81" t="n"/>
      <c r="AB580" s="82" t="n"/>
      <c r="AC580" s="87">
        <f>IF(OR($D580="",$M580="Rejected",$M580="Withdrawn",$M580="Accepted"),"",IF(ISNUMBER($O580),IF(INT($O580)&lt;TODAY(),"FOLLOW UP REQUIRED",IF(INT($O580)=TODAY(),"ACTION DUE TODAY",IF(INT($O580)-TODAY()&lt;=Set_DueSoonDays,"DUE SOON",""))),IF(AND($M580="Applied",$AA580=""),IF(ISNUMBER($C580),IF(TODAY()-$C580&gt;=Set_FollowUpDays,"NO RESPONSE",""),""),"")))</f>
        <v/>
      </c>
      <c r="AD580" s="87">
        <f>IF(ISNUMBER($L580),IF($L580&gt;=90,"Excellent Match",IF($L580&gt;=75,"Strong Match",IF($L580&gt;=60,"Moderate Match","Low Match"))),"")</f>
        <v/>
      </c>
      <c r="AE580" s="87">
        <f>IF($D580="","",IF(OR($M580="Rejected",$M580="Withdrawn"),IF($AB580&lt;&gt;"",$AB580,IF(OR($M580="Rejected",ISNUMBER($C580)),"Applied","Wishlist")),IF($M580="",IF(ISNUMBER($C580),"Applied","Wishlist"),$M580)))</f>
        <v/>
      </c>
      <c r="AF580" s="88">
        <f>IF(AND(ISNUMBER($C580),ISNUMBER($AA580)),$AA580-$C580,"")</f>
        <v/>
      </c>
      <c r="AG580" s="87">
        <f>IF($AE580="","",IFERROR(MATCH($AE580,{"Wishlist","Applied","Screening","Interview 1","Interview 2","Final","Offer","Accepted"},0)-1,""))</f>
        <v/>
      </c>
      <c r="AH580" s="87">
        <f>IF($AC580="","",MATCH($AC580,{"FOLLOW UP REQUIRED","ACTION DUE TODAY","NO RESPONSE","DUE SOON"},0)*100000+IF(ISNUMBER($O580),$O580,IF(ISNUMBER($C580),$C580,0))+ROW()/10000)</f>
        <v/>
      </c>
      <c r="AI580" s="87">
        <f>IF(AND(ISNUMBER($AG580),$AG580&gt;=1,$AG580&lt;=6,$M580&lt;&gt;"Rejected",$M580&lt;&gt;"Withdrawn"),(10-$AG580)*100000+IF(ISNUMBER($C580),$C580,0)+ROW()/10000,"")</f>
        <v/>
      </c>
    </row>
    <row r="581">
      <c r="A581" s="80" t="n"/>
      <c r="B581" s="81" t="n"/>
      <c r="C581" s="81" t="n"/>
      <c r="D581" s="82" t="n"/>
      <c r="E581" s="82" t="n"/>
      <c r="F581" s="82" t="n"/>
      <c r="G581" s="82" t="n"/>
      <c r="H581" s="82" t="n"/>
      <c r="I581" s="83" t="n"/>
      <c r="J581" s="82" t="n"/>
      <c r="K581" s="84" t="n"/>
      <c r="L581" s="85" t="n"/>
      <c r="M581" s="82" t="n"/>
      <c r="N581" s="86" t="n"/>
      <c r="O581" s="81" t="n"/>
      <c r="P581" s="82" t="n"/>
      <c r="Q581" s="83" t="n"/>
      <c r="R581" s="82" t="n"/>
      <c r="S581" s="84" t="n"/>
      <c r="T581" s="84" t="n"/>
      <c r="U581" s="82" t="n"/>
      <c r="V581" s="86" t="n"/>
      <c r="W581" s="86" t="n"/>
      <c r="X581" s="86" t="n"/>
      <c r="Y581" s="81" t="n"/>
      <c r="Z581" s="82" t="n"/>
      <c r="AA581" s="81" t="n"/>
      <c r="AB581" s="82" t="n"/>
      <c r="AC581" s="87">
        <f>IF(OR($D581="",$M581="Rejected",$M581="Withdrawn",$M581="Accepted"),"",IF(ISNUMBER($O581),IF(INT($O581)&lt;TODAY(),"FOLLOW UP REQUIRED",IF(INT($O581)=TODAY(),"ACTION DUE TODAY",IF(INT($O581)-TODAY()&lt;=Set_DueSoonDays,"DUE SOON",""))),IF(AND($M581="Applied",$AA581=""),IF(ISNUMBER($C581),IF(TODAY()-$C581&gt;=Set_FollowUpDays,"NO RESPONSE",""),""),"")))</f>
        <v/>
      </c>
      <c r="AD581" s="87">
        <f>IF(ISNUMBER($L581),IF($L581&gt;=90,"Excellent Match",IF($L581&gt;=75,"Strong Match",IF($L581&gt;=60,"Moderate Match","Low Match"))),"")</f>
        <v/>
      </c>
      <c r="AE581" s="87">
        <f>IF($D581="","",IF(OR($M581="Rejected",$M581="Withdrawn"),IF($AB581&lt;&gt;"",$AB581,IF(OR($M581="Rejected",ISNUMBER($C581)),"Applied","Wishlist")),IF($M581="",IF(ISNUMBER($C581),"Applied","Wishlist"),$M581)))</f>
        <v/>
      </c>
      <c r="AF581" s="88">
        <f>IF(AND(ISNUMBER($C581),ISNUMBER($AA581)),$AA581-$C581,"")</f>
        <v/>
      </c>
      <c r="AG581" s="87">
        <f>IF($AE581="","",IFERROR(MATCH($AE581,{"Wishlist","Applied","Screening","Interview 1","Interview 2","Final","Offer","Accepted"},0)-1,""))</f>
        <v/>
      </c>
      <c r="AH581" s="87">
        <f>IF($AC581="","",MATCH($AC581,{"FOLLOW UP REQUIRED","ACTION DUE TODAY","NO RESPONSE","DUE SOON"},0)*100000+IF(ISNUMBER($O581),$O581,IF(ISNUMBER($C581),$C581,0))+ROW()/10000)</f>
        <v/>
      </c>
      <c r="AI581" s="87">
        <f>IF(AND(ISNUMBER($AG581),$AG581&gt;=1,$AG581&lt;=6,$M581&lt;&gt;"Rejected",$M581&lt;&gt;"Withdrawn"),(10-$AG581)*100000+IF(ISNUMBER($C581),$C581,0)+ROW()/10000,"")</f>
        <v/>
      </c>
    </row>
    <row r="582">
      <c r="A582" s="80" t="n"/>
      <c r="B582" s="81" t="n"/>
      <c r="C582" s="81" t="n"/>
      <c r="D582" s="82" t="n"/>
      <c r="E582" s="82" t="n"/>
      <c r="F582" s="82" t="n"/>
      <c r="G582" s="82" t="n"/>
      <c r="H582" s="82" t="n"/>
      <c r="I582" s="83" t="n"/>
      <c r="J582" s="82" t="n"/>
      <c r="K582" s="84" t="n"/>
      <c r="L582" s="85" t="n"/>
      <c r="M582" s="82" t="n"/>
      <c r="N582" s="86" t="n"/>
      <c r="O582" s="81" t="n"/>
      <c r="P582" s="82" t="n"/>
      <c r="Q582" s="83" t="n"/>
      <c r="R582" s="82" t="n"/>
      <c r="S582" s="84" t="n"/>
      <c r="T582" s="84" t="n"/>
      <c r="U582" s="82" t="n"/>
      <c r="V582" s="86" t="n"/>
      <c r="W582" s="86" t="n"/>
      <c r="X582" s="86" t="n"/>
      <c r="Y582" s="81" t="n"/>
      <c r="Z582" s="82" t="n"/>
      <c r="AA582" s="81" t="n"/>
      <c r="AB582" s="82" t="n"/>
      <c r="AC582" s="87">
        <f>IF(OR($D582="",$M582="Rejected",$M582="Withdrawn",$M582="Accepted"),"",IF(ISNUMBER($O582),IF(INT($O582)&lt;TODAY(),"FOLLOW UP REQUIRED",IF(INT($O582)=TODAY(),"ACTION DUE TODAY",IF(INT($O582)-TODAY()&lt;=Set_DueSoonDays,"DUE SOON",""))),IF(AND($M582="Applied",$AA582=""),IF(ISNUMBER($C582),IF(TODAY()-$C582&gt;=Set_FollowUpDays,"NO RESPONSE",""),""),"")))</f>
        <v/>
      </c>
      <c r="AD582" s="87">
        <f>IF(ISNUMBER($L582),IF($L582&gt;=90,"Excellent Match",IF($L582&gt;=75,"Strong Match",IF($L582&gt;=60,"Moderate Match","Low Match"))),"")</f>
        <v/>
      </c>
      <c r="AE582" s="87">
        <f>IF($D582="","",IF(OR($M582="Rejected",$M582="Withdrawn"),IF($AB582&lt;&gt;"",$AB582,IF(OR($M582="Rejected",ISNUMBER($C582)),"Applied","Wishlist")),IF($M582="",IF(ISNUMBER($C582),"Applied","Wishlist"),$M582)))</f>
        <v/>
      </c>
      <c r="AF582" s="88">
        <f>IF(AND(ISNUMBER($C582),ISNUMBER($AA582)),$AA582-$C582,"")</f>
        <v/>
      </c>
      <c r="AG582" s="87">
        <f>IF($AE582="","",IFERROR(MATCH($AE582,{"Wishlist","Applied","Screening","Interview 1","Interview 2","Final","Offer","Accepted"},0)-1,""))</f>
        <v/>
      </c>
      <c r="AH582" s="87">
        <f>IF($AC582="","",MATCH($AC582,{"FOLLOW UP REQUIRED","ACTION DUE TODAY","NO RESPONSE","DUE SOON"},0)*100000+IF(ISNUMBER($O582),$O582,IF(ISNUMBER($C582),$C582,0))+ROW()/10000)</f>
        <v/>
      </c>
      <c r="AI582" s="87">
        <f>IF(AND(ISNUMBER($AG582),$AG582&gt;=1,$AG582&lt;=6,$M582&lt;&gt;"Rejected",$M582&lt;&gt;"Withdrawn"),(10-$AG582)*100000+IF(ISNUMBER($C582),$C582,0)+ROW()/10000,"")</f>
        <v/>
      </c>
    </row>
    <row r="583">
      <c r="A583" s="80" t="n"/>
      <c r="B583" s="81" t="n"/>
      <c r="C583" s="81" t="n"/>
      <c r="D583" s="82" t="n"/>
      <c r="E583" s="82" t="n"/>
      <c r="F583" s="82" t="n"/>
      <c r="G583" s="82" t="n"/>
      <c r="H583" s="82" t="n"/>
      <c r="I583" s="83" t="n"/>
      <c r="J583" s="82" t="n"/>
      <c r="K583" s="84" t="n"/>
      <c r="L583" s="85" t="n"/>
      <c r="M583" s="82" t="n"/>
      <c r="N583" s="86" t="n"/>
      <c r="O583" s="81" t="n"/>
      <c r="P583" s="82" t="n"/>
      <c r="Q583" s="83" t="n"/>
      <c r="R583" s="82" t="n"/>
      <c r="S583" s="84" t="n"/>
      <c r="T583" s="84" t="n"/>
      <c r="U583" s="82" t="n"/>
      <c r="V583" s="86" t="n"/>
      <c r="W583" s="86" t="n"/>
      <c r="X583" s="86" t="n"/>
      <c r="Y583" s="81" t="n"/>
      <c r="Z583" s="82" t="n"/>
      <c r="AA583" s="81" t="n"/>
      <c r="AB583" s="82" t="n"/>
      <c r="AC583" s="87">
        <f>IF(OR($D583="",$M583="Rejected",$M583="Withdrawn",$M583="Accepted"),"",IF(ISNUMBER($O583),IF(INT($O583)&lt;TODAY(),"FOLLOW UP REQUIRED",IF(INT($O583)=TODAY(),"ACTION DUE TODAY",IF(INT($O583)-TODAY()&lt;=Set_DueSoonDays,"DUE SOON",""))),IF(AND($M583="Applied",$AA583=""),IF(ISNUMBER($C583),IF(TODAY()-$C583&gt;=Set_FollowUpDays,"NO RESPONSE",""),""),"")))</f>
        <v/>
      </c>
      <c r="AD583" s="87">
        <f>IF(ISNUMBER($L583),IF($L583&gt;=90,"Excellent Match",IF($L583&gt;=75,"Strong Match",IF($L583&gt;=60,"Moderate Match","Low Match"))),"")</f>
        <v/>
      </c>
      <c r="AE583" s="87">
        <f>IF($D583="","",IF(OR($M583="Rejected",$M583="Withdrawn"),IF($AB583&lt;&gt;"",$AB583,IF(OR($M583="Rejected",ISNUMBER($C583)),"Applied","Wishlist")),IF($M583="",IF(ISNUMBER($C583),"Applied","Wishlist"),$M583)))</f>
        <v/>
      </c>
      <c r="AF583" s="88">
        <f>IF(AND(ISNUMBER($C583),ISNUMBER($AA583)),$AA583-$C583,"")</f>
        <v/>
      </c>
      <c r="AG583" s="87">
        <f>IF($AE583="","",IFERROR(MATCH($AE583,{"Wishlist","Applied","Screening","Interview 1","Interview 2","Final","Offer","Accepted"},0)-1,""))</f>
        <v/>
      </c>
      <c r="AH583" s="87">
        <f>IF($AC583="","",MATCH($AC583,{"FOLLOW UP REQUIRED","ACTION DUE TODAY","NO RESPONSE","DUE SOON"},0)*100000+IF(ISNUMBER($O583),$O583,IF(ISNUMBER($C583),$C583,0))+ROW()/10000)</f>
        <v/>
      </c>
      <c r="AI583" s="87">
        <f>IF(AND(ISNUMBER($AG583),$AG583&gt;=1,$AG583&lt;=6,$M583&lt;&gt;"Rejected",$M583&lt;&gt;"Withdrawn"),(10-$AG583)*100000+IF(ISNUMBER($C583),$C583,0)+ROW()/10000,"")</f>
        <v/>
      </c>
    </row>
    <row r="584">
      <c r="A584" s="80" t="n"/>
      <c r="B584" s="81" t="n"/>
      <c r="C584" s="81" t="n"/>
      <c r="D584" s="82" t="n"/>
      <c r="E584" s="82" t="n"/>
      <c r="F584" s="82" t="n"/>
      <c r="G584" s="82" t="n"/>
      <c r="H584" s="82" t="n"/>
      <c r="I584" s="83" t="n"/>
      <c r="J584" s="82" t="n"/>
      <c r="K584" s="84" t="n"/>
      <c r="L584" s="85" t="n"/>
      <c r="M584" s="82" t="n"/>
      <c r="N584" s="86" t="n"/>
      <c r="O584" s="81" t="n"/>
      <c r="P584" s="82" t="n"/>
      <c r="Q584" s="83" t="n"/>
      <c r="R584" s="82" t="n"/>
      <c r="S584" s="84" t="n"/>
      <c r="T584" s="84" t="n"/>
      <c r="U584" s="82" t="n"/>
      <c r="V584" s="86" t="n"/>
      <c r="W584" s="86" t="n"/>
      <c r="X584" s="86" t="n"/>
      <c r="Y584" s="81" t="n"/>
      <c r="Z584" s="82" t="n"/>
      <c r="AA584" s="81" t="n"/>
      <c r="AB584" s="82" t="n"/>
      <c r="AC584" s="87">
        <f>IF(OR($D584="",$M584="Rejected",$M584="Withdrawn",$M584="Accepted"),"",IF(ISNUMBER($O584),IF(INT($O584)&lt;TODAY(),"FOLLOW UP REQUIRED",IF(INT($O584)=TODAY(),"ACTION DUE TODAY",IF(INT($O584)-TODAY()&lt;=Set_DueSoonDays,"DUE SOON",""))),IF(AND($M584="Applied",$AA584=""),IF(ISNUMBER($C584),IF(TODAY()-$C584&gt;=Set_FollowUpDays,"NO RESPONSE",""),""),"")))</f>
        <v/>
      </c>
      <c r="AD584" s="87">
        <f>IF(ISNUMBER($L584),IF($L584&gt;=90,"Excellent Match",IF($L584&gt;=75,"Strong Match",IF($L584&gt;=60,"Moderate Match","Low Match"))),"")</f>
        <v/>
      </c>
      <c r="AE584" s="87">
        <f>IF($D584="","",IF(OR($M584="Rejected",$M584="Withdrawn"),IF($AB584&lt;&gt;"",$AB584,IF(OR($M584="Rejected",ISNUMBER($C584)),"Applied","Wishlist")),IF($M584="",IF(ISNUMBER($C584),"Applied","Wishlist"),$M584)))</f>
        <v/>
      </c>
      <c r="AF584" s="88">
        <f>IF(AND(ISNUMBER($C584),ISNUMBER($AA584)),$AA584-$C584,"")</f>
        <v/>
      </c>
      <c r="AG584" s="87">
        <f>IF($AE584="","",IFERROR(MATCH($AE584,{"Wishlist","Applied","Screening","Interview 1","Interview 2","Final","Offer","Accepted"},0)-1,""))</f>
        <v/>
      </c>
      <c r="AH584" s="87">
        <f>IF($AC584="","",MATCH($AC584,{"FOLLOW UP REQUIRED","ACTION DUE TODAY","NO RESPONSE","DUE SOON"},0)*100000+IF(ISNUMBER($O584),$O584,IF(ISNUMBER($C584),$C584,0))+ROW()/10000)</f>
        <v/>
      </c>
      <c r="AI584" s="87">
        <f>IF(AND(ISNUMBER($AG584),$AG584&gt;=1,$AG584&lt;=6,$M584&lt;&gt;"Rejected",$M584&lt;&gt;"Withdrawn"),(10-$AG584)*100000+IF(ISNUMBER($C584),$C584,0)+ROW()/10000,"")</f>
        <v/>
      </c>
    </row>
    <row r="585">
      <c r="A585" s="80" t="n"/>
      <c r="B585" s="81" t="n"/>
      <c r="C585" s="81" t="n"/>
      <c r="D585" s="82" t="n"/>
      <c r="E585" s="82" t="n"/>
      <c r="F585" s="82" t="n"/>
      <c r="G585" s="82" t="n"/>
      <c r="H585" s="82" t="n"/>
      <c r="I585" s="83" t="n"/>
      <c r="J585" s="82" t="n"/>
      <c r="K585" s="84" t="n"/>
      <c r="L585" s="85" t="n"/>
      <c r="M585" s="82" t="n"/>
      <c r="N585" s="86" t="n"/>
      <c r="O585" s="81" t="n"/>
      <c r="P585" s="82" t="n"/>
      <c r="Q585" s="83" t="n"/>
      <c r="R585" s="82" t="n"/>
      <c r="S585" s="84" t="n"/>
      <c r="T585" s="84" t="n"/>
      <c r="U585" s="82" t="n"/>
      <c r="V585" s="86" t="n"/>
      <c r="W585" s="86" t="n"/>
      <c r="X585" s="86" t="n"/>
      <c r="Y585" s="81" t="n"/>
      <c r="Z585" s="82" t="n"/>
      <c r="AA585" s="81" t="n"/>
      <c r="AB585" s="82" t="n"/>
      <c r="AC585" s="87">
        <f>IF(OR($D585="",$M585="Rejected",$M585="Withdrawn",$M585="Accepted"),"",IF(ISNUMBER($O585),IF(INT($O585)&lt;TODAY(),"FOLLOW UP REQUIRED",IF(INT($O585)=TODAY(),"ACTION DUE TODAY",IF(INT($O585)-TODAY()&lt;=Set_DueSoonDays,"DUE SOON",""))),IF(AND($M585="Applied",$AA585=""),IF(ISNUMBER($C585),IF(TODAY()-$C585&gt;=Set_FollowUpDays,"NO RESPONSE",""),""),"")))</f>
        <v/>
      </c>
      <c r="AD585" s="87">
        <f>IF(ISNUMBER($L585),IF($L585&gt;=90,"Excellent Match",IF($L585&gt;=75,"Strong Match",IF($L585&gt;=60,"Moderate Match","Low Match"))),"")</f>
        <v/>
      </c>
      <c r="AE585" s="87">
        <f>IF($D585="","",IF(OR($M585="Rejected",$M585="Withdrawn"),IF($AB585&lt;&gt;"",$AB585,IF(OR($M585="Rejected",ISNUMBER($C585)),"Applied","Wishlist")),IF($M585="",IF(ISNUMBER($C585),"Applied","Wishlist"),$M585)))</f>
        <v/>
      </c>
      <c r="AF585" s="88">
        <f>IF(AND(ISNUMBER($C585),ISNUMBER($AA585)),$AA585-$C585,"")</f>
        <v/>
      </c>
      <c r="AG585" s="87">
        <f>IF($AE585="","",IFERROR(MATCH($AE585,{"Wishlist","Applied","Screening","Interview 1","Interview 2","Final","Offer","Accepted"},0)-1,""))</f>
        <v/>
      </c>
      <c r="AH585" s="87">
        <f>IF($AC585="","",MATCH($AC585,{"FOLLOW UP REQUIRED","ACTION DUE TODAY","NO RESPONSE","DUE SOON"},0)*100000+IF(ISNUMBER($O585),$O585,IF(ISNUMBER($C585),$C585,0))+ROW()/10000)</f>
        <v/>
      </c>
      <c r="AI585" s="87">
        <f>IF(AND(ISNUMBER($AG585),$AG585&gt;=1,$AG585&lt;=6,$M585&lt;&gt;"Rejected",$M585&lt;&gt;"Withdrawn"),(10-$AG585)*100000+IF(ISNUMBER($C585),$C585,0)+ROW()/10000,"")</f>
        <v/>
      </c>
    </row>
    <row r="586">
      <c r="A586" s="80" t="n"/>
      <c r="B586" s="81" t="n"/>
      <c r="C586" s="81" t="n"/>
      <c r="D586" s="82" t="n"/>
      <c r="E586" s="82" t="n"/>
      <c r="F586" s="82" t="n"/>
      <c r="G586" s="82" t="n"/>
      <c r="H586" s="82" t="n"/>
      <c r="I586" s="83" t="n"/>
      <c r="J586" s="82" t="n"/>
      <c r="K586" s="84" t="n"/>
      <c r="L586" s="85" t="n"/>
      <c r="M586" s="82" t="n"/>
      <c r="N586" s="86" t="n"/>
      <c r="O586" s="81" t="n"/>
      <c r="P586" s="82" t="n"/>
      <c r="Q586" s="83" t="n"/>
      <c r="R586" s="82" t="n"/>
      <c r="S586" s="84" t="n"/>
      <c r="T586" s="84" t="n"/>
      <c r="U586" s="82" t="n"/>
      <c r="V586" s="86" t="n"/>
      <c r="W586" s="86" t="n"/>
      <c r="X586" s="86" t="n"/>
      <c r="Y586" s="81" t="n"/>
      <c r="Z586" s="82" t="n"/>
      <c r="AA586" s="81" t="n"/>
      <c r="AB586" s="82" t="n"/>
      <c r="AC586" s="87">
        <f>IF(OR($D586="",$M586="Rejected",$M586="Withdrawn",$M586="Accepted"),"",IF(ISNUMBER($O586),IF(INT($O586)&lt;TODAY(),"FOLLOW UP REQUIRED",IF(INT($O586)=TODAY(),"ACTION DUE TODAY",IF(INT($O586)-TODAY()&lt;=Set_DueSoonDays,"DUE SOON",""))),IF(AND($M586="Applied",$AA586=""),IF(ISNUMBER($C586),IF(TODAY()-$C586&gt;=Set_FollowUpDays,"NO RESPONSE",""),""),"")))</f>
        <v/>
      </c>
      <c r="AD586" s="87">
        <f>IF(ISNUMBER($L586),IF($L586&gt;=90,"Excellent Match",IF($L586&gt;=75,"Strong Match",IF($L586&gt;=60,"Moderate Match","Low Match"))),"")</f>
        <v/>
      </c>
      <c r="AE586" s="87">
        <f>IF($D586="","",IF(OR($M586="Rejected",$M586="Withdrawn"),IF($AB586&lt;&gt;"",$AB586,IF(OR($M586="Rejected",ISNUMBER($C586)),"Applied","Wishlist")),IF($M586="",IF(ISNUMBER($C586),"Applied","Wishlist"),$M586)))</f>
        <v/>
      </c>
      <c r="AF586" s="88">
        <f>IF(AND(ISNUMBER($C586),ISNUMBER($AA586)),$AA586-$C586,"")</f>
        <v/>
      </c>
      <c r="AG586" s="87">
        <f>IF($AE586="","",IFERROR(MATCH($AE586,{"Wishlist","Applied","Screening","Interview 1","Interview 2","Final","Offer","Accepted"},0)-1,""))</f>
        <v/>
      </c>
      <c r="AH586" s="87">
        <f>IF($AC586="","",MATCH($AC586,{"FOLLOW UP REQUIRED","ACTION DUE TODAY","NO RESPONSE","DUE SOON"},0)*100000+IF(ISNUMBER($O586),$O586,IF(ISNUMBER($C586),$C586,0))+ROW()/10000)</f>
        <v/>
      </c>
      <c r="AI586" s="87">
        <f>IF(AND(ISNUMBER($AG586),$AG586&gt;=1,$AG586&lt;=6,$M586&lt;&gt;"Rejected",$M586&lt;&gt;"Withdrawn"),(10-$AG586)*100000+IF(ISNUMBER($C586),$C586,0)+ROW()/10000,"")</f>
        <v/>
      </c>
    </row>
    <row r="587">
      <c r="A587" s="80" t="n"/>
      <c r="B587" s="81" t="n"/>
      <c r="C587" s="81" t="n"/>
      <c r="D587" s="82" t="n"/>
      <c r="E587" s="82" t="n"/>
      <c r="F587" s="82" t="n"/>
      <c r="G587" s="82" t="n"/>
      <c r="H587" s="82" t="n"/>
      <c r="I587" s="83" t="n"/>
      <c r="J587" s="82" t="n"/>
      <c r="K587" s="84" t="n"/>
      <c r="L587" s="85" t="n"/>
      <c r="M587" s="82" t="n"/>
      <c r="N587" s="86" t="n"/>
      <c r="O587" s="81" t="n"/>
      <c r="P587" s="82" t="n"/>
      <c r="Q587" s="83" t="n"/>
      <c r="R587" s="82" t="n"/>
      <c r="S587" s="84" t="n"/>
      <c r="T587" s="84" t="n"/>
      <c r="U587" s="82" t="n"/>
      <c r="V587" s="86" t="n"/>
      <c r="W587" s="86" t="n"/>
      <c r="X587" s="86" t="n"/>
      <c r="Y587" s="81" t="n"/>
      <c r="Z587" s="82" t="n"/>
      <c r="AA587" s="81" t="n"/>
      <c r="AB587" s="82" t="n"/>
      <c r="AC587" s="87">
        <f>IF(OR($D587="",$M587="Rejected",$M587="Withdrawn",$M587="Accepted"),"",IF(ISNUMBER($O587),IF(INT($O587)&lt;TODAY(),"FOLLOW UP REQUIRED",IF(INT($O587)=TODAY(),"ACTION DUE TODAY",IF(INT($O587)-TODAY()&lt;=Set_DueSoonDays,"DUE SOON",""))),IF(AND($M587="Applied",$AA587=""),IF(ISNUMBER($C587),IF(TODAY()-$C587&gt;=Set_FollowUpDays,"NO RESPONSE",""),""),"")))</f>
        <v/>
      </c>
      <c r="AD587" s="87">
        <f>IF(ISNUMBER($L587),IF($L587&gt;=90,"Excellent Match",IF($L587&gt;=75,"Strong Match",IF($L587&gt;=60,"Moderate Match","Low Match"))),"")</f>
        <v/>
      </c>
      <c r="AE587" s="87">
        <f>IF($D587="","",IF(OR($M587="Rejected",$M587="Withdrawn"),IF($AB587&lt;&gt;"",$AB587,IF(OR($M587="Rejected",ISNUMBER($C587)),"Applied","Wishlist")),IF($M587="",IF(ISNUMBER($C587),"Applied","Wishlist"),$M587)))</f>
        <v/>
      </c>
      <c r="AF587" s="88">
        <f>IF(AND(ISNUMBER($C587),ISNUMBER($AA587)),$AA587-$C587,"")</f>
        <v/>
      </c>
      <c r="AG587" s="87">
        <f>IF($AE587="","",IFERROR(MATCH($AE587,{"Wishlist","Applied","Screening","Interview 1","Interview 2","Final","Offer","Accepted"},0)-1,""))</f>
        <v/>
      </c>
      <c r="AH587" s="87">
        <f>IF($AC587="","",MATCH($AC587,{"FOLLOW UP REQUIRED","ACTION DUE TODAY","NO RESPONSE","DUE SOON"},0)*100000+IF(ISNUMBER($O587),$O587,IF(ISNUMBER($C587),$C587,0))+ROW()/10000)</f>
        <v/>
      </c>
      <c r="AI587" s="87">
        <f>IF(AND(ISNUMBER($AG587),$AG587&gt;=1,$AG587&lt;=6,$M587&lt;&gt;"Rejected",$M587&lt;&gt;"Withdrawn"),(10-$AG587)*100000+IF(ISNUMBER($C587),$C587,0)+ROW()/10000,"")</f>
        <v/>
      </c>
    </row>
    <row r="588">
      <c r="A588" s="80" t="n"/>
      <c r="B588" s="81" t="n"/>
      <c r="C588" s="81" t="n"/>
      <c r="D588" s="82" t="n"/>
      <c r="E588" s="82" t="n"/>
      <c r="F588" s="82" t="n"/>
      <c r="G588" s="82" t="n"/>
      <c r="H588" s="82" t="n"/>
      <c r="I588" s="83" t="n"/>
      <c r="J588" s="82" t="n"/>
      <c r="K588" s="84" t="n"/>
      <c r="L588" s="85" t="n"/>
      <c r="M588" s="82" t="n"/>
      <c r="N588" s="86" t="n"/>
      <c r="O588" s="81" t="n"/>
      <c r="P588" s="82" t="n"/>
      <c r="Q588" s="83" t="n"/>
      <c r="R588" s="82" t="n"/>
      <c r="S588" s="84" t="n"/>
      <c r="T588" s="84" t="n"/>
      <c r="U588" s="82" t="n"/>
      <c r="V588" s="86" t="n"/>
      <c r="W588" s="86" t="n"/>
      <c r="X588" s="86" t="n"/>
      <c r="Y588" s="81" t="n"/>
      <c r="Z588" s="82" t="n"/>
      <c r="AA588" s="81" t="n"/>
      <c r="AB588" s="82" t="n"/>
      <c r="AC588" s="87">
        <f>IF(OR($D588="",$M588="Rejected",$M588="Withdrawn",$M588="Accepted"),"",IF(ISNUMBER($O588),IF(INT($O588)&lt;TODAY(),"FOLLOW UP REQUIRED",IF(INT($O588)=TODAY(),"ACTION DUE TODAY",IF(INT($O588)-TODAY()&lt;=Set_DueSoonDays,"DUE SOON",""))),IF(AND($M588="Applied",$AA588=""),IF(ISNUMBER($C588),IF(TODAY()-$C588&gt;=Set_FollowUpDays,"NO RESPONSE",""),""),"")))</f>
        <v/>
      </c>
      <c r="AD588" s="87">
        <f>IF(ISNUMBER($L588),IF($L588&gt;=90,"Excellent Match",IF($L588&gt;=75,"Strong Match",IF($L588&gt;=60,"Moderate Match","Low Match"))),"")</f>
        <v/>
      </c>
      <c r="AE588" s="87">
        <f>IF($D588="","",IF(OR($M588="Rejected",$M588="Withdrawn"),IF($AB588&lt;&gt;"",$AB588,IF(OR($M588="Rejected",ISNUMBER($C588)),"Applied","Wishlist")),IF($M588="",IF(ISNUMBER($C588),"Applied","Wishlist"),$M588)))</f>
        <v/>
      </c>
      <c r="AF588" s="88">
        <f>IF(AND(ISNUMBER($C588),ISNUMBER($AA588)),$AA588-$C588,"")</f>
        <v/>
      </c>
      <c r="AG588" s="87">
        <f>IF($AE588="","",IFERROR(MATCH($AE588,{"Wishlist","Applied","Screening","Interview 1","Interview 2","Final","Offer","Accepted"},0)-1,""))</f>
        <v/>
      </c>
      <c r="AH588" s="87">
        <f>IF($AC588="","",MATCH($AC588,{"FOLLOW UP REQUIRED","ACTION DUE TODAY","NO RESPONSE","DUE SOON"},0)*100000+IF(ISNUMBER($O588),$O588,IF(ISNUMBER($C588),$C588,0))+ROW()/10000)</f>
        <v/>
      </c>
      <c r="AI588" s="87">
        <f>IF(AND(ISNUMBER($AG588),$AG588&gt;=1,$AG588&lt;=6,$M588&lt;&gt;"Rejected",$M588&lt;&gt;"Withdrawn"),(10-$AG588)*100000+IF(ISNUMBER($C588),$C588,0)+ROW()/10000,"")</f>
        <v/>
      </c>
    </row>
    <row r="589">
      <c r="A589" s="80" t="n"/>
      <c r="B589" s="81" t="n"/>
      <c r="C589" s="81" t="n"/>
      <c r="D589" s="82" t="n"/>
      <c r="E589" s="82" t="n"/>
      <c r="F589" s="82" t="n"/>
      <c r="G589" s="82" t="n"/>
      <c r="H589" s="82" t="n"/>
      <c r="I589" s="83" t="n"/>
      <c r="J589" s="82" t="n"/>
      <c r="K589" s="84" t="n"/>
      <c r="L589" s="85" t="n"/>
      <c r="M589" s="82" t="n"/>
      <c r="N589" s="86" t="n"/>
      <c r="O589" s="81" t="n"/>
      <c r="P589" s="82" t="n"/>
      <c r="Q589" s="83" t="n"/>
      <c r="R589" s="82" t="n"/>
      <c r="S589" s="84" t="n"/>
      <c r="T589" s="84" t="n"/>
      <c r="U589" s="82" t="n"/>
      <c r="V589" s="86" t="n"/>
      <c r="W589" s="86" t="n"/>
      <c r="X589" s="86" t="n"/>
      <c r="Y589" s="81" t="n"/>
      <c r="Z589" s="82" t="n"/>
      <c r="AA589" s="81" t="n"/>
      <c r="AB589" s="82" t="n"/>
      <c r="AC589" s="87">
        <f>IF(OR($D589="",$M589="Rejected",$M589="Withdrawn",$M589="Accepted"),"",IF(ISNUMBER($O589),IF(INT($O589)&lt;TODAY(),"FOLLOW UP REQUIRED",IF(INT($O589)=TODAY(),"ACTION DUE TODAY",IF(INT($O589)-TODAY()&lt;=Set_DueSoonDays,"DUE SOON",""))),IF(AND($M589="Applied",$AA589=""),IF(ISNUMBER($C589),IF(TODAY()-$C589&gt;=Set_FollowUpDays,"NO RESPONSE",""),""),"")))</f>
        <v/>
      </c>
      <c r="AD589" s="87">
        <f>IF(ISNUMBER($L589),IF($L589&gt;=90,"Excellent Match",IF($L589&gt;=75,"Strong Match",IF($L589&gt;=60,"Moderate Match","Low Match"))),"")</f>
        <v/>
      </c>
      <c r="AE589" s="87">
        <f>IF($D589="","",IF(OR($M589="Rejected",$M589="Withdrawn"),IF($AB589&lt;&gt;"",$AB589,IF(OR($M589="Rejected",ISNUMBER($C589)),"Applied","Wishlist")),IF($M589="",IF(ISNUMBER($C589),"Applied","Wishlist"),$M589)))</f>
        <v/>
      </c>
      <c r="AF589" s="88">
        <f>IF(AND(ISNUMBER($C589),ISNUMBER($AA589)),$AA589-$C589,"")</f>
        <v/>
      </c>
      <c r="AG589" s="87">
        <f>IF($AE589="","",IFERROR(MATCH($AE589,{"Wishlist","Applied","Screening","Interview 1","Interview 2","Final","Offer","Accepted"},0)-1,""))</f>
        <v/>
      </c>
      <c r="AH589" s="87">
        <f>IF($AC589="","",MATCH($AC589,{"FOLLOW UP REQUIRED","ACTION DUE TODAY","NO RESPONSE","DUE SOON"},0)*100000+IF(ISNUMBER($O589),$O589,IF(ISNUMBER($C589),$C589,0))+ROW()/10000)</f>
        <v/>
      </c>
      <c r="AI589" s="87">
        <f>IF(AND(ISNUMBER($AG589),$AG589&gt;=1,$AG589&lt;=6,$M589&lt;&gt;"Rejected",$M589&lt;&gt;"Withdrawn"),(10-$AG589)*100000+IF(ISNUMBER($C589),$C589,0)+ROW()/10000,"")</f>
        <v/>
      </c>
    </row>
    <row r="590">
      <c r="A590" s="80" t="n"/>
      <c r="B590" s="81" t="n"/>
      <c r="C590" s="81" t="n"/>
      <c r="D590" s="82" t="n"/>
      <c r="E590" s="82" t="n"/>
      <c r="F590" s="82" t="n"/>
      <c r="G590" s="82" t="n"/>
      <c r="H590" s="82" t="n"/>
      <c r="I590" s="83" t="n"/>
      <c r="J590" s="82" t="n"/>
      <c r="K590" s="84" t="n"/>
      <c r="L590" s="85" t="n"/>
      <c r="M590" s="82" t="n"/>
      <c r="N590" s="86" t="n"/>
      <c r="O590" s="81" t="n"/>
      <c r="P590" s="82" t="n"/>
      <c r="Q590" s="83" t="n"/>
      <c r="R590" s="82" t="n"/>
      <c r="S590" s="84" t="n"/>
      <c r="T590" s="84" t="n"/>
      <c r="U590" s="82" t="n"/>
      <c r="V590" s="86" t="n"/>
      <c r="W590" s="86" t="n"/>
      <c r="X590" s="86" t="n"/>
      <c r="Y590" s="81" t="n"/>
      <c r="Z590" s="82" t="n"/>
      <c r="AA590" s="81" t="n"/>
      <c r="AB590" s="82" t="n"/>
      <c r="AC590" s="87">
        <f>IF(OR($D590="",$M590="Rejected",$M590="Withdrawn",$M590="Accepted"),"",IF(ISNUMBER($O590),IF(INT($O590)&lt;TODAY(),"FOLLOW UP REQUIRED",IF(INT($O590)=TODAY(),"ACTION DUE TODAY",IF(INT($O590)-TODAY()&lt;=Set_DueSoonDays,"DUE SOON",""))),IF(AND($M590="Applied",$AA590=""),IF(ISNUMBER($C590),IF(TODAY()-$C590&gt;=Set_FollowUpDays,"NO RESPONSE",""),""),"")))</f>
        <v/>
      </c>
      <c r="AD590" s="87">
        <f>IF(ISNUMBER($L590),IF($L590&gt;=90,"Excellent Match",IF($L590&gt;=75,"Strong Match",IF($L590&gt;=60,"Moderate Match","Low Match"))),"")</f>
        <v/>
      </c>
      <c r="AE590" s="87">
        <f>IF($D590="","",IF(OR($M590="Rejected",$M590="Withdrawn"),IF($AB590&lt;&gt;"",$AB590,IF(OR($M590="Rejected",ISNUMBER($C590)),"Applied","Wishlist")),IF($M590="",IF(ISNUMBER($C590),"Applied","Wishlist"),$M590)))</f>
        <v/>
      </c>
      <c r="AF590" s="88">
        <f>IF(AND(ISNUMBER($C590),ISNUMBER($AA590)),$AA590-$C590,"")</f>
        <v/>
      </c>
      <c r="AG590" s="87">
        <f>IF($AE590="","",IFERROR(MATCH($AE590,{"Wishlist","Applied","Screening","Interview 1","Interview 2","Final","Offer","Accepted"},0)-1,""))</f>
        <v/>
      </c>
      <c r="AH590" s="87">
        <f>IF($AC590="","",MATCH($AC590,{"FOLLOW UP REQUIRED","ACTION DUE TODAY","NO RESPONSE","DUE SOON"},0)*100000+IF(ISNUMBER($O590),$O590,IF(ISNUMBER($C590),$C590,0))+ROW()/10000)</f>
        <v/>
      </c>
      <c r="AI590" s="87">
        <f>IF(AND(ISNUMBER($AG590),$AG590&gt;=1,$AG590&lt;=6,$M590&lt;&gt;"Rejected",$M590&lt;&gt;"Withdrawn"),(10-$AG590)*100000+IF(ISNUMBER($C590),$C590,0)+ROW()/10000,"")</f>
        <v/>
      </c>
    </row>
    <row r="591">
      <c r="A591" s="80" t="n"/>
      <c r="B591" s="81" t="n"/>
      <c r="C591" s="81" t="n"/>
      <c r="D591" s="82" t="n"/>
      <c r="E591" s="82" t="n"/>
      <c r="F591" s="82" t="n"/>
      <c r="G591" s="82" t="n"/>
      <c r="H591" s="82" t="n"/>
      <c r="I591" s="83" t="n"/>
      <c r="J591" s="82" t="n"/>
      <c r="K591" s="84" t="n"/>
      <c r="L591" s="85" t="n"/>
      <c r="M591" s="82" t="n"/>
      <c r="N591" s="86" t="n"/>
      <c r="O591" s="81" t="n"/>
      <c r="P591" s="82" t="n"/>
      <c r="Q591" s="83" t="n"/>
      <c r="R591" s="82" t="n"/>
      <c r="S591" s="84" t="n"/>
      <c r="T591" s="84" t="n"/>
      <c r="U591" s="82" t="n"/>
      <c r="V591" s="86" t="n"/>
      <c r="W591" s="86" t="n"/>
      <c r="X591" s="86" t="n"/>
      <c r="Y591" s="81" t="n"/>
      <c r="Z591" s="82" t="n"/>
      <c r="AA591" s="81" t="n"/>
      <c r="AB591" s="82" t="n"/>
      <c r="AC591" s="87">
        <f>IF(OR($D591="",$M591="Rejected",$M591="Withdrawn",$M591="Accepted"),"",IF(ISNUMBER($O591),IF(INT($O591)&lt;TODAY(),"FOLLOW UP REQUIRED",IF(INT($O591)=TODAY(),"ACTION DUE TODAY",IF(INT($O591)-TODAY()&lt;=Set_DueSoonDays,"DUE SOON",""))),IF(AND($M591="Applied",$AA591=""),IF(ISNUMBER($C591),IF(TODAY()-$C591&gt;=Set_FollowUpDays,"NO RESPONSE",""),""),"")))</f>
        <v/>
      </c>
      <c r="AD591" s="87">
        <f>IF(ISNUMBER($L591),IF($L591&gt;=90,"Excellent Match",IF($L591&gt;=75,"Strong Match",IF($L591&gt;=60,"Moderate Match","Low Match"))),"")</f>
        <v/>
      </c>
      <c r="AE591" s="87">
        <f>IF($D591="","",IF(OR($M591="Rejected",$M591="Withdrawn"),IF($AB591&lt;&gt;"",$AB591,IF(OR($M591="Rejected",ISNUMBER($C591)),"Applied","Wishlist")),IF($M591="",IF(ISNUMBER($C591),"Applied","Wishlist"),$M591)))</f>
        <v/>
      </c>
      <c r="AF591" s="88">
        <f>IF(AND(ISNUMBER($C591),ISNUMBER($AA591)),$AA591-$C591,"")</f>
        <v/>
      </c>
      <c r="AG591" s="87">
        <f>IF($AE591="","",IFERROR(MATCH($AE591,{"Wishlist","Applied","Screening","Interview 1","Interview 2","Final","Offer","Accepted"},0)-1,""))</f>
        <v/>
      </c>
      <c r="AH591" s="87">
        <f>IF($AC591="","",MATCH($AC591,{"FOLLOW UP REQUIRED","ACTION DUE TODAY","NO RESPONSE","DUE SOON"},0)*100000+IF(ISNUMBER($O591),$O591,IF(ISNUMBER($C591),$C591,0))+ROW()/10000)</f>
        <v/>
      </c>
      <c r="AI591" s="87">
        <f>IF(AND(ISNUMBER($AG591),$AG591&gt;=1,$AG591&lt;=6,$M591&lt;&gt;"Rejected",$M591&lt;&gt;"Withdrawn"),(10-$AG591)*100000+IF(ISNUMBER($C591),$C591,0)+ROW()/10000,"")</f>
        <v/>
      </c>
    </row>
    <row r="592">
      <c r="A592" s="80" t="n"/>
      <c r="B592" s="81" t="n"/>
      <c r="C592" s="81" t="n"/>
      <c r="D592" s="82" t="n"/>
      <c r="E592" s="82" t="n"/>
      <c r="F592" s="82" t="n"/>
      <c r="G592" s="82" t="n"/>
      <c r="H592" s="82" t="n"/>
      <c r="I592" s="83" t="n"/>
      <c r="J592" s="82" t="n"/>
      <c r="K592" s="84" t="n"/>
      <c r="L592" s="85" t="n"/>
      <c r="M592" s="82" t="n"/>
      <c r="N592" s="86" t="n"/>
      <c r="O592" s="81" t="n"/>
      <c r="P592" s="82" t="n"/>
      <c r="Q592" s="83" t="n"/>
      <c r="R592" s="82" t="n"/>
      <c r="S592" s="84" t="n"/>
      <c r="T592" s="84" t="n"/>
      <c r="U592" s="82" t="n"/>
      <c r="V592" s="86" t="n"/>
      <c r="W592" s="86" t="n"/>
      <c r="X592" s="86" t="n"/>
      <c r="Y592" s="81" t="n"/>
      <c r="Z592" s="82" t="n"/>
      <c r="AA592" s="81" t="n"/>
      <c r="AB592" s="82" t="n"/>
      <c r="AC592" s="87">
        <f>IF(OR($D592="",$M592="Rejected",$M592="Withdrawn",$M592="Accepted"),"",IF(ISNUMBER($O592),IF(INT($O592)&lt;TODAY(),"FOLLOW UP REQUIRED",IF(INT($O592)=TODAY(),"ACTION DUE TODAY",IF(INT($O592)-TODAY()&lt;=Set_DueSoonDays,"DUE SOON",""))),IF(AND($M592="Applied",$AA592=""),IF(ISNUMBER($C592),IF(TODAY()-$C592&gt;=Set_FollowUpDays,"NO RESPONSE",""),""),"")))</f>
        <v/>
      </c>
      <c r="AD592" s="87">
        <f>IF(ISNUMBER($L592),IF($L592&gt;=90,"Excellent Match",IF($L592&gt;=75,"Strong Match",IF($L592&gt;=60,"Moderate Match","Low Match"))),"")</f>
        <v/>
      </c>
      <c r="AE592" s="87">
        <f>IF($D592="","",IF(OR($M592="Rejected",$M592="Withdrawn"),IF($AB592&lt;&gt;"",$AB592,IF(OR($M592="Rejected",ISNUMBER($C592)),"Applied","Wishlist")),IF($M592="",IF(ISNUMBER($C592),"Applied","Wishlist"),$M592)))</f>
        <v/>
      </c>
      <c r="AF592" s="88">
        <f>IF(AND(ISNUMBER($C592),ISNUMBER($AA592)),$AA592-$C592,"")</f>
        <v/>
      </c>
      <c r="AG592" s="87">
        <f>IF($AE592="","",IFERROR(MATCH($AE592,{"Wishlist","Applied","Screening","Interview 1","Interview 2","Final","Offer","Accepted"},0)-1,""))</f>
        <v/>
      </c>
      <c r="AH592" s="87">
        <f>IF($AC592="","",MATCH($AC592,{"FOLLOW UP REQUIRED","ACTION DUE TODAY","NO RESPONSE","DUE SOON"},0)*100000+IF(ISNUMBER($O592),$O592,IF(ISNUMBER($C592),$C592,0))+ROW()/10000)</f>
        <v/>
      </c>
      <c r="AI592" s="87">
        <f>IF(AND(ISNUMBER($AG592),$AG592&gt;=1,$AG592&lt;=6,$M592&lt;&gt;"Rejected",$M592&lt;&gt;"Withdrawn"),(10-$AG592)*100000+IF(ISNUMBER($C592),$C592,0)+ROW()/10000,"")</f>
        <v/>
      </c>
    </row>
    <row r="593">
      <c r="A593" s="80" t="n"/>
      <c r="B593" s="81" t="n"/>
      <c r="C593" s="81" t="n"/>
      <c r="D593" s="82" t="n"/>
      <c r="E593" s="82" t="n"/>
      <c r="F593" s="82" t="n"/>
      <c r="G593" s="82" t="n"/>
      <c r="H593" s="82" t="n"/>
      <c r="I593" s="83" t="n"/>
      <c r="J593" s="82" t="n"/>
      <c r="K593" s="84" t="n"/>
      <c r="L593" s="85" t="n"/>
      <c r="M593" s="82" t="n"/>
      <c r="N593" s="86" t="n"/>
      <c r="O593" s="81" t="n"/>
      <c r="P593" s="82" t="n"/>
      <c r="Q593" s="83" t="n"/>
      <c r="R593" s="82" t="n"/>
      <c r="S593" s="84" t="n"/>
      <c r="T593" s="84" t="n"/>
      <c r="U593" s="82" t="n"/>
      <c r="V593" s="86" t="n"/>
      <c r="W593" s="86" t="n"/>
      <c r="X593" s="86" t="n"/>
      <c r="Y593" s="81" t="n"/>
      <c r="Z593" s="82" t="n"/>
      <c r="AA593" s="81" t="n"/>
      <c r="AB593" s="82" t="n"/>
      <c r="AC593" s="87">
        <f>IF(OR($D593="",$M593="Rejected",$M593="Withdrawn",$M593="Accepted"),"",IF(ISNUMBER($O593),IF(INT($O593)&lt;TODAY(),"FOLLOW UP REQUIRED",IF(INT($O593)=TODAY(),"ACTION DUE TODAY",IF(INT($O593)-TODAY()&lt;=Set_DueSoonDays,"DUE SOON",""))),IF(AND($M593="Applied",$AA593=""),IF(ISNUMBER($C593),IF(TODAY()-$C593&gt;=Set_FollowUpDays,"NO RESPONSE",""),""),"")))</f>
        <v/>
      </c>
      <c r="AD593" s="87">
        <f>IF(ISNUMBER($L593),IF($L593&gt;=90,"Excellent Match",IF($L593&gt;=75,"Strong Match",IF($L593&gt;=60,"Moderate Match","Low Match"))),"")</f>
        <v/>
      </c>
      <c r="AE593" s="87">
        <f>IF($D593="","",IF(OR($M593="Rejected",$M593="Withdrawn"),IF($AB593&lt;&gt;"",$AB593,IF(OR($M593="Rejected",ISNUMBER($C593)),"Applied","Wishlist")),IF($M593="",IF(ISNUMBER($C593),"Applied","Wishlist"),$M593)))</f>
        <v/>
      </c>
      <c r="AF593" s="88">
        <f>IF(AND(ISNUMBER($C593),ISNUMBER($AA593)),$AA593-$C593,"")</f>
        <v/>
      </c>
      <c r="AG593" s="87">
        <f>IF($AE593="","",IFERROR(MATCH($AE593,{"Wishlist","Applied","Screening","Interview 1","Interview 2","Final","Offer","Accepted"},0)-1,""))</f>
        <v/>
      </c>
      <c r="AH593" s="87">
        <f>IF($AC593="","",MATCH($AC593,{"FOLLOW UP REQUIRED","ACTION DUE TODAY","NO RESPONSE","DUE SOON"},0)*100000+IF(ISNUMBER($O593),$O593,IF(ISNUMBER($C593),$C593,0))+ROW()/10000)</f>
        <v/>
      </c>
      <c r="AI593" s="87">
        <f>IF(AND(ISNUMBER($AG593),$AG593&gt;=1,$AG593&lt;=6,$M593&lt;&gt;"Rejected",$M593&lt;&gt;"Withdrawn"),(10-$AG593)*100000+IF(ISNUMBER($C593),$C593,0)+ROW()/10000,"")</f>
        <v/>
      </c>
    </row>
    <row r="594">
      <c r="A594" s="80" t="n"/>
      <c r="B594" s="81" t="n"/>
      <c r="C594" s="81" t="n"/>
      <c r="D594" s="82" t="n"/>
      <c r="E594" s="82" t="n"/>
      <c r="F594" s="82" t="n"/>
      <c r="G594" s="82" t="n"/>
      <c r="H594" s="82" t="n"/>
      <c r="I594" s="83" t="n"/>
      <c r="J594" s="82" t="n"/>
      <c r="K594" s="84" t="n"/>
      <c r="L594" s="85" t="n"/>
      <c r="M594" s="82" t="n"/>
      <c r="N594" s="86" t="n"/>
      <c r="O594" s="81" t="n"/>
      <c r="P594" s="82" t="n"/>
      <c r="Q594" s="83" t="n"/>
      <c r="R594" s="82" t="n"/>
      <c r="S594" s="84" t="n"/>
      <c r="T594" s="84" t="n"/>
      <c r="U594" s="82" t="n"/>
      <c r="V594" s="86" t="n"/>
      <c r="W594" s="86" t="n"/>
      <c r="X594" s="86" t="n"/>
      <c r="Y594" s="81" t="n"/>
      <c r="Z594" s="82" t="n"/>
      <c r="AA594" s="81" t="n"/>
      <c r="AB594" s="82" t="n"/>
      <c r="AC594" s="87">
        <f>IF(OR($D594="",$M594="Rejected",$M594="Withdrawn",$M594="Accepted"),"",IF(ISNUMBER($O594),IF(INT($O594)&lt;TODAY(),"FOLLOW UP REQUIRED",IF(INT($O594)=TODAY(),"ACTION DUE TODAY",IF(INT($O594)-TODAY()&lt;=Set_DueSoonDays,"DUE SOON",""))),IF(AND($M594="Applied",$AA594=""),IF(ISNUMBER($C594),IF(TODAY()-$C594&gt;=Set_FollowUpDays,"NO RESPONSE",""),""),"")))</f>
        <v/>
      </c>
      <c r="AD594" s="87">
        <f>IF(ISNUMBER($L594),IF($L594&gt;=90,"Excellent Match",IF($L594&gt;=75,"Strong Match",IF($L594&gt;=60,"Moderate Match","Low Match"))),"")</f>
        <v/>
      </c>
      <c r="AE594" s="87">
        <f>IF($D594="","",IF(OR($M594="Rejected",$M594="Withdrawn"),IF($AB594&lt;&gt;"",$AB594,IF(OR($M594="Rejected",ISNUMBER($C594)),"Applied","Wishlist")),IF($M594="",IF(ISNUMBER($C594),"Applied","Wishlist"),$M594)))</f>
        <v/>
      </c>
      <c r="AF594" s="88">
        <f>IF(AND(ISNUMBER($C594),ISNUMBER($AA594)),$AA594-$C594,"")</f>
        <v/>
      </c>
      <c r="AG594" s="87">
        <f>IF($AE594="","",IFERROR(MATCH($AE594,{"Wishlist","Applied","Screening","Interview 1","Interview 2","Final","Offer","Accepted"},0)-1,""))</f>
        <v/>
      </c>
      <c r="AH594" s="87">
        <f>IF($AC594="","",MATCH($AC594,{"FOLLOW UP REQUIRED","ACTION DUE TODAY","NO RESPONSE","DUE SOON"},0)*100000+IF(ISNUMBER($O594),$O594,IF(ISNUMBER($C594),$C594,0))+ROW()/10000)</f>
        <v/>
      </c>
      <c r="AI594" s="87">
        <f>IF(AND(ISNUMBER($AG594),$AG594&gt;=1,$AG594&lt;=6,$M594&lt;&gt;"Rejected",$M594&lt;&gt;"Withdrawn"),(10-$AG594)*100000+IF(ISNUMBER($C594),$C594,0)+ROW()/10000,"")</f>
        <v/>
      </c>
    </row>
    <row r="595">
      <c r="A595" s="80" t="n"/>
      <c r="B595" s="81" t="n"/>
      <c r="C595" s="81" t="n"/>
      <c r="D595" s="82" t="n"/>
      <c r="E595" s="82" t="n"/>
      <c r="F595" s="82" t="n"/>
      <c r="G595" s="82" t="n"/>
      <c r="H595" s="82" t="n"/>
      <c r="I595" s="83" t="n"/>
      <c r="J595" s="82" t="n"/>
      <c r="K595" s="84" t="n"/>
      <c r="L595" s="85" t="n"/>
      <c r="M595" s="82" t="n"/>
      <c r="N595" s="86" t="n"/>
      <c r="O595" s="81" t="n"/>
      <c r="P595" s="82" t="n"/>
      <c r="Q595" s="83" t="n"/>
      <c r="R595" s="82" t="n"/>
      <c r="S595" s="84" t="n"/>
      <c r="T595" s="84" t="n"/>
      <c r="U595" s="82" t="n"/>
      <c r="V595" s="86" t="n"/>
      <c r="W595" s="86" t="n"/>
      <c r="X595" s="86" t="n"/>
      <c r="Y595" s="81" t="n"/>
      <c r="Z595" s="82" t="n"/>
      <c r="AA595" s="81" t="n"/>
      <c r="AB595" s="82" t="n"/>
      <c r="AC595" s="87">
        <f>IF(OR($D595="",$M595="Rejected",$M595="Withdrawn",$M595="Accepted"),"",IF(ISNUMBER($O595),IF(INT($O595)&lt;TODAY(),"FOLLOW UP REQUIRED",IF(INT($O595)=TODAY(),"ACTION DUE TODAY",IF(INT($O595)-TODAY()&lt;=Set_DueSoonDays,"DUE SOON",""))),IF(AND($M595="Applied",$AA595=""),IF(ISNUMBER($C595),IF(TODAY()-$C595&gt;=Set_FollowUpDays,"NO RESPONSE",""),""),"")))</f>
        <v/>
      </c>
      <c r="AD595" s="87">
        <f>IF(ISNUMBER($L595),IF($L595&gt;=90,"Excellent Match",IF($L595&gt;=75,"Strong Match",IF($L595&gt;=60,"Moderate Match","Low Match"))),"")</f>
        <v/>
      </c>
      <c r="AE595" s="87">
        <f>IF($D595="","",IF(OR($M595="Rejected",$M595="Withdrawn"),IF($AB595&lt;&gt;"",$AB595,IF(OR($M595="Rejected",ISNUMBER($C595)),"Applied","Wishlist")),IF($M595="",IF(ISNUMBER($C595),"Applied","Wishlist"),$M595)))</f>
        <v/>
      </c>
      <c r="AF595" s="88">
        <f>IF(AND(ISNUMBER($C595),ISNUMBER($AA595)),$AA595-$C595,"")</f>
        <v/>
      </c>
      <c r="AG595" s="87">
        <f>IF($AE595="","",IFERROR(MATCH($AE595,{"Wishlist","Applied","Screening","Interview 1","Interview 2","Final","Offer","Accepted"},0)-1,""))</f>
        <v/>
      </c>
      <c r="AH595" s="87">
        <f>IF($AC595="","",MATCH($AC595,{"FOLLOW UP REQUIRED","ACTION DUE TODAY","NO RESPONSE","DUE SOON"},0)*100000+IF(ISNUMBER($O595),$O595,IF(ISNUMBER($C595),$C595,0))+ROW()/10000)</f>
        <v/>
      </c>
      <c r="AI595" s="87">
        <f>IF(AND(ISNUMBER($AG595),$AG595&gt;=1,$AG595&lt;=6,$M595&lt;&gt;"Rejected",$M595&lt;&gt;"Withdrawn"),(10-$AG595)*100000+IF(ISNUMBER($C595),$C595,0)+ROW()/10000,"")</f>
        <v/>
      </c>
    </row>
    <row r="596">
      <c r="A596" s="80" t="n"/>
      <c r="B596" s="81" t="n"/>
      <c r="C596" s="81" t="n"/>
      <c r="D596" s="82" t="n"/>
      <c r="E596" s="82" t="n"/>
      <c r="F596" s="82" t="n"/>
      <c r="G596" s="82" t="n"/>
      <c r="H596" s="82" t="n"/>
      <c r="I596" s="83" t="n"/>
      <c r="J596" s="82" t="n"/>
      <c r="K596" s="84" t="n"/>
      <c r="L596" s="85" t="n"/>
      <c r="M596" s="82" t="n"/>
      <c r="N596" s="86" t="n"/>
      <c r="O596" s="81" t="n"/>
      <c r="P596" s="82" t="n"/>
      <c r="Q596" s="83" t="n"/>
      <c r="R596" s="82" t="n"/>
      <c r="S596" s="84" t="n"/>
      <c r="T596" s="84" t="n"/>
      <c r="U596" s="82" t="n"/>
      <c r="V596" s="86" t="n"/>
      <c r="W596" s="86" t="n"/>
      <c r="X596" s="86" t="n"/>
      <c r="Y596" s="81" t="n"/>
      <c r="Z596" s="82" t="n"/>
      <c r="AA596" s="81" t="n"/>
      <c r="AB596" s="82" t="n"/>
      <c r="AC596" s="87">
        <f>IF(OR($D596="",$M596="Rejected",$M596="Withdrawn",$M596="Accepted"),"",IF(ISNUMBER($O596),IF(INT($O596)&lt;TODAY(),"FOLLOW UP REQUIRED",IF(INT($O596)=TODAY(),"ACTION DUE TODAY",IF(INT($O596)-TODAY()&lt;=Set_DueSoonDays,"DUE SOON",""))),IF(AND($M596="Applied",$AA596=""),IF(ISNUMBER($C596),IF(TODAY()-$C596&gt;=Set_FollowUpDays,"NO RESPONSE",""),""),"")))</f>
        <v/>
      </c>
      <c r="AD596" s="87">
        <f>IF(ISNUMBER($L596),IF($L596&gt;=90,"Excellent Match",IF($L596&gt;=75,"Strong Match",IF($L596&gt;=60,"Moderate Match","Low Match"))),"")</f>
        <v/>
      </c>
      <c r="AE596" s="87">
        <f>IF($D596="","",IF(OR($M596="Rejected",$M596="Withdrawn"),IF($AB596&lt;&gt;"",$AB596,IF(OR($M596="Rejected",ISNUMBER($C596)),"Applied","Wishlist")),IF($M596="",IF(ISNUMBER($C596),"Applied","Wishlist"),$M596)))</f>
        <v/>
      </c>
      <c r="AF596" s="88">
        <f>IF(AND(ISNUMBER($C596),ISNUMBER($AA596)),$AA596-$C596,"")</f>
        <v/>
      </c>
      <c r="AG596" s="87">
        <f>IF($AE596="","",IFERROR(MATCH($AE596,{"Wishlist","Applied","Screening","Interview 1","Interview 2","Final","Offer","Accepted"},0)-1,""))</f>
        <v/>
      </c>
      <c r="AH596" s="87">
        <f>IF($AC596="","",MATCH($AC596,{"FOLLOW UP REQUIRED","ACTION DUE TODAY","NO RESPONSE","DUE SOON"},0)*100000+IF(ISNUMBER($O596),$O596,IF(ISNUMBER($C596),$C596,0))+ROW()/10000)</f>
        <v/>
      </c>
      <c r="AI596" s="87">
        <f>IF(AND(ISNUMBER($AG596),$AG596&gt;=1,$AG596&lt;=6,$M596&lt;&gt;"Rejected",$M596&lt;&gt;"Withdrawn"),(10-$AG596)*100000+IF(ISNUMBER($C596),$C596,0)+ROW()/10000,"")</f>
        <v/>
      </c>
    </row>
    <row r="597">
      <c r="A597" s="80" t="n"/>
      <c r="B597" s="81" t="n"/>
      <c r="C597" s="81" t="n"/>
      <c r="D597" s="82" t="n"/>
      <c r="E597" s="82" t="n"/>
      <c r="F597" s="82" t="n"/>
      <c r="G597" s="82" t="n"/>
      <c r="H597" s="82" t="n"/>
      <c r="I597" s="83" t="n"/>
      <c r="J597" s="82" t="n"/>
      <c r="K597" s="84" t="n"/>
      <c r="L597" s="85" t="n"/>
      <c r="M597" s="82" t="n"/>
      <c r="N597" s="86" t="n"/>
      <c r="O597" s="81" t="n"/>
      <c r="P597" s="82" t="n"/>
      <c r="Q597" s="83" t="n"/>
      <c r="R597" s="82" t="n"/>
      <c r="S597" s="84" t="n"/>
      <c r="T597" s="84" t="n"/>
      <c r="U597" s="82" t="n"/>
      <c r="V597" s="86" t="n"/>
      <c r="W597" s="86" t="n"/>
      <c r="X597" s="86" t="n"/>
      <c r="Y597" s="81" t="n"/>
      <c r="Z597" s="82" t="n"/>
      <c r="AA597" s="81" t="n"/>
      <c r="AB597" s="82" t="n"/>
      <c r="AC597" s="87">
        <f>IF(OR($D597="",$M597="Rejected",$M597="Withdrawn",$M597="Accepted"),"",IF(ISNUMBER($O597),IF(INT($O597)&lt;TODAY(),"FOLLOW UP REQUIRED",IF(INT($O597)=TODAY(),"ACTION DUE TODAY",IF(INT($O597)-TODAY()&lt;=Set_DueSoonDays,"DUE SOON",""))),IF(AND($M597="Applied",$AA597=""),IF(ISNUMBER($C597),IF(TODAY()-$C597&gt;=Set_FollowUpDays,"NO RESPONSE",""),""),"")))</f>
        <v/>
      </c>
      <c r="AD597" s="87">
        <f>IF(ISNUMBER($L597),IF($L597&gt;=90,"Excellent Match",IF($L597&gt;=75,"Strong Match",IF($L597&gt;=60,"Moderate Match","Low Match"))),"")</f>
        <v/>
      </c>
      <c r="AE597" s="87">
        <f>IF($D597="","",IF(OR($M597="Rejected",$M597="Withdrawn"),IF($AB597&lt;&gt;"",$AB597,IF(OR($M597="Rejected",ISNUMBER($C597)),"Applied","Wishlist")),IF($M597="",IF(ISNUMBER($C597),"Applied","Wishlist"),$M597)))</f>
        <v/>
      </c>
      <c r="AF597" s="88">
        <f>IF(AND(ISNUMBER($C597),ISNUMBER($AA597)),$AA597-$C597,"")</f>
        <v/>
      </c>
      <c r="AG597" s="87">
        <f>IF($AE597="","",IFERROR(MATCH($AE597,{"Wishlist","Applied","Screening","Interview 1","Interview 2","Final","Offer","Accepted"},0)-1,""))</f>
        <v/>
      </c>
      <c r="AH597" s="87">
        <f>IF($AC597="","",MATCH($AC597,{"FOLLOW UP REQUIRED","ACTION DUE TODAY","NO RESPONSE","DUE SOON"},0)*100000+IF(ISNUMBER($O597),$O597,IF(ISNUMBER($C597),$C597,0))+ROW()/10000)</f>
        <v/>
      </c>
      <c r="AI597" s="87">
        <f>IF(AND(ISNUMBER($AG597),$AG597&gt;=1,$AG597&lt;=6,$M597&lt;&gt;"Rejected",$M597&lt;&gt;"Withdrawn"),(10-$AG597)*100000+IF(ISNUMBER($C597),$C597,0)+ROW()/10000,"")</f>
        <v/>
      </c>
    </row>
    <row r="598">
      <c r="A598" s="80" t="n"/>
      <c r="B598" s="81" t="n"/>
      <c r="C598" s="81" t="n"/>
      <c r="D598" s="82" t="n"/>
      <c r="E598" s="82" t="n"/>
      <c r="F598" s="82" t="n"/>
      <c r="G598" s="82" t="n"/>
      <c r="H598" s="82" t="n"/>
      <c r="I598" s="83" t="n"/>
      <c r="J598" s="82" t="n"/>
      <c r="K598" s="84" t="n"/>
      <c r="L598" s="85" t="n"/>
      <c r="M598" s="82" t="n"/>
      <c r="N598" s="86" t="n"/>
      <c r="O598" s="81" t="n"/>
      <c r="P598" s="82" t="n"/>
      <c r="Q598" s="83" t="n"/>
      <c r="R598" s="82" t="n"/>
      <c r="S598" s="84" t="n"/>
      <c r="T598" s="84" t="n"/>
      <c r="U598" s="82" t="n"/>
      <c r="V598" s="86" t="n"/>
      <c r="W598" s="86" t="n"/>
      <c r="X598" s="86" t="n"/>
      <c r="Y598" s="81" t="n"/>
      <c r="Z598" s="82" t="n"/>
      <c r="AA598" s="81" t="n"/>
      <c r="AB598" s="82" t="n"/>
      <c r="AC598" s="87">
        <f>IF(OR($D598="",$M598="Rejected",$M598="Withdrawn",$M598="Accepted"),"",IF(ISNUMBER($O598),IF(INT($O598)&lt;TODAY(),"FOLLOW UP REQUIRED",IF(INT($O598)=TODAY(),"ACTION DUE TODAY",IF(INT($O598)-TODAY()&lt;=Set_DueSoonDays,"DUE SOON",""))),IF(AND($M598="Applied",$AA598=""),IF(ISNUMBER($C598),IF(TODAY()-$C598&gt;=Set_FollowUpDays,"NO RESPONSE",""),""),"")))</f>
        <v/>
      </c>
      <c r="AD598" s="87">
        <f>IF(ISNUMBER($L598),IF($L598&gt;=90,"Excellent Match",IF($L598&gt;=75,"Strong Match",IF($L598&gt;=60,"Moderate Match","Low Match"))),"")</f>
        <v/>
      </c>
      <c r="AE598" s="87">
        <f>IF($D598="","",IF(OR($M598="Rejected",$M598="Withdrawn"),IF($AB598&lt;&gt;"",$AB598,IF(OR($M598="Rejected",ISNUMBER($C598)),"Applied","Wishlist")),IF($M598="",IF(ISNUMBER($C598),"Applied","Wishlist"),$M598)))</f>
        <v/>
      </c>
      <c r="AF598" s="88">
        <f>IF(AND(ISNUMBER($C598),ISNUMBER($AA598)),$AA598-$C598,"")</f>
        <v/>
      </c>
      <c r="AG598" s="87">
        <f>IF($AE598="","",IFERROR(MATCH($AE598,{"Wishlist","Applied","Screening","Interview 1","Interview 2","Final","Offer","Accepted"},0)-1,""))</f>
        <v/>
      </c>
      <c r="AH598" s="87">
        <f>IF($AC598="","",MATCH($AC598,{"FOLLOW UP REQUIRED","ACTION DUE TODAY","NO RESPONSE","DUE SOON"},0)*100000+IF(ISNUMBER($O598),$O598,IF(ISNUMBER($C598),$C598,0))+ROW()/10000)</f>
        <v/>
      </c>
      <c r="AI598" s="87">
        <f>IF(AND(ISNUMBER($AG598),$AG598&gt;=1,$AG598&lt;=6,$M598&lt;&gt;"Rejected",$M598&lt;&gt;"Withdrawn"),(10-$AG598)*100000+IF(ISNUMBER($C598),$C598,0)+ROW()/10000,"")</f>
        <v/>
      </c>
    </row>
    <row r="599">
      <c r="A599" s="80" t="n"/>
      <c r="B599" s="81" t="n"/>
      <c r="C599" s="81" t="n"/>
      <c r="D599" s="82" t="n"/>
      <c r="E599" s="82" t="n"/>
      <c r="F599" s="82" t="n"/>
      <c r="G599" s="82" t="n"/>
      <c r="H599" s="82" t="n"/>
      <c r="I599" s="83" t="n"/>
      <c r="J599" s="82" t="n"/>
      <c r="K599" s="84" t="n"/>
      <c r="L599" s="85" t="n"/>
      <c r="M599" s="82" t="n"/>
      <c r="N599" s="86" t="n"/>
      <c r="O599" s="81" t="n"/>
      <c r="P599" s="82" t="n"/>
      <c r="Q599" s="83" t="n"/>
      <c r="R599" s="82" t="n"/>
      <c r="S599" s="84" t="n"/>
      <c r="T599" s="84" t="n"/>
      <c r="U599" s="82" t="n"/>
      <c r="V599" s="86" t="n"/>
      <c r="W599" s="86" t="n"/>
      <c r="X599" s="86" t="n"/>
      <c r="Y599" s="81" t="n"/>
      <c r="Z599" s="82" t="n"/>
      <c r="AA599" s="81" t="n"/>
      <c r="AB599" s="82" t="n"/>
      <c r="AC599" s="87">
        <f>IF(OR($D599="",$M599="Rejected",$M599="Withdrawn",$M599="Accepted"),"",IF(ISNUMBER($O599),IF(INT($O599)&lt;TODAY(),"FOLLOW UP REQUIRED",IF(INT($O599)=TODAY(),"ACTION DUE TODAY",IF(INT($O599)-TODAY()&lt;=Set_DueSoonDays,"DUE SOON",""))),IF(AND($M599="Applied",$AA599=""),IF(ISNUMBER($C599),IF(TODAY()-$C599&gt;=Set_FollowUpDays,"NO RESPONSE",""),""),"")))</f>
        <v/>
      </c>
      <c r="AD599" s="87">
        <f>IF(ISNUMBER($L599),IF($L599&gt;=90,"Excellent Match",IF($L599&gt;=75,"Strong Match",IF($L599&gt;=60,"Moderate Match","Low Match"))),"")</f>
        <v/>
      </c>
      <c r="AE599" s="87">
        <f>IF($D599="","",IF(OR($M599="Rejected",$M599="Withdrawn"),IF($AB599&lt;&gt;"",$AB599,IF(OR($M599="Rejected",ISNUMBER($C599)),"Applied","Wishlist")),IF($M599="",IF(ISNUMBER($C599),"Applied","Wishlist"),$M599)))</f>
        <v/>
      </c>
      <c r="AF599" s="88">
        <f>IF(AND(ISNUMBER($C599),ISNUMBER($AA599)),$AA599-$C599,"")</f>
        <v/>
      </c>
      <c r="AG599" s="87">
        <f>IF($AE599="","",IFERROR(MATCH($AE599,{"Wishlist","Applied","Screening","Interview 1","Interview 2","Final","Offer","Accepted"},0)-1,""))</f>
        <v/>
      </c>
      <c r="AH599" s="87">
        <f>IF($AC599="","",MATCH($AC599,{"FOLLOW UP REQUIRED","ACTION DUE TODAY","NO RESPONSE","DUE SOON"},0)*100000+IF(ISNUMBER($O599),$O599,IF(ISNUMBER($C599),$C599,0))+ROW()/10000)</f>
        <v/>
      </c>
      <c r="AI599" s="87">
        <f>IF(AND(ISNUMBER($AG599),$AG599&gt;=1,$AG599&lt;=6,$M599&lt;&gt;"Rejected",$M599&lt;&gt;"Withdrawn"),(10-$AG599)*100000+IF(ISNUMBER($C599),$C599,0)+ROW()/10000,"")</f>
        <v/>
      </c>
    </row>
    <row r="600">
      <c r="A600" s="80" t="n"/>
      <c r="B600" s="81" t="n"/>
      <c r="C600" s="81" t="n"/>
      <c r="D600" s="82" t="n"/>
      <c r="E600" s="82" t="n"/>
      <c r="F600" s="82" t="n"/>
      <c r="G600" s="82" t="n"/>
      <c r="H600" s="82" t="n"/>
      <c r="I600" s="83" t="n"/>
      <c r="J600" s="82" t="n"/>
      <c r="K600" s="84" t="n"/>
      <c r="L600" s="85" t="n"/>
      <c r="M600" s="82" t="n"/>
      <c r="N600" s="86" t="n"/>
      <c r="O600" s="81" t="n"/>
      <c r="P600" s="82" t="n"/>
      <c r="Q600" s="83" t="n"/>
      <c r="R600" s="82" t="n"/>
      <c r="S600" s="84" t="n"/>
      <c r="T600" s="84" t="n"/>
      <c r="U600" s="82" t="n"/>
      <c r="V600" s="86" t="n"/>
      <c r="W600" s="86" t="n"/>
      <c r="X600" s="86" t="n"/>
      <c r="Y600" s="81" t="n"/>
      <c r="Z600" s="82" t="n"/>
      <c r="AA600" s="81" t="n"/>
      <c r="AB600" s="82" t="n"/>
      <c r="AC600" s="87">
        <f>IF(OR($D600="",$M600="Rejected",$M600="Withdrawn",$M600="Accepted"),"",IF(ISNUMBER($O600),IF(INT($O600)&lt;TODAY(),"FOLLOW UP REQUIRED",IF(INT($O600)=TODAY(),"ACTION DUE TODAY",IF(INT($O600)-TODAY()&lt;=Set_DueSoonDays,"DUE SOON",""))),IF(AND($M600="Applied",$AA600=""),IF(ISNUMBER($C600),IF(TODAY()-$C600&gt;=Set_FollowUpDays,"NO RESPONSE",""),""),"")))</f>
        <v/>
      </c>
      <c r="AD600" s="87">
        <f>IF(ISNUMBER($L600),IF($L600&gt;=90,"Excellent Match",IF($L600&gt;=75,"Strong Match",IF($L600&gt;=60,"Moderate Match","Low Match"))),"")</f>
        <v/>
      </c>
      <c r="AE600" s="87">
        <f>IF($D600="","",IF(OR($M600="Rejected",$M600="Withdrawn"),IF($AB600&lt;&gt;"",$AB600,IF(OR($M600="Rejected",ISNUMBER($C600)),"Applied","Wishlist")),IF($M600="",IF(ISNUMBER($C600),"Applied","Wishlist"),$M600)))</f>
        <v/>
      </c>
      <c r="AF600" s="88">
        <f>IF(AND(ISNUMBER($C600),ISNUMBER($AA600)),$AA600-$C600,"")</f>
        <v/>
      </c>
      <c r="AG600" s="87">
        <f>IF($AE600="","",IFERROR(MATCH($AE600,{"Wishlist","Applied","Screening","Interview 1","Interview 2","Final","Offer","Accepted"},0)-1,""))</f>
        <v/>
      </c>
      <c r="AH600" s="87">
        <f>IF($AC600="","",MATCH($AC600,{"FOLLOW UP REQUIRED","ACTION DUE TODAY","NO RESPONSE","DUE SOON"},0)*100000+IF(ISNUMBER($O600),$O600,IF(ISNUMBER($C600),$C600,0))+ROW()/10000)</f>
        <v/>
      </c>
      <c r="AI600" s="87">
        <f>IF(AND(ISNUMBER($AG600),$AG600&gt;=1,$AG600&lt;=6,$M600&lt;&gt;"Rejected",$M600&lt;&gt;"Withdrawn"),(10-$AG600)*100000+IF(ISNUMBER($C600),$C600,0)+ROW()/10000,"")</f>
        <v/>
      </c>
    </row>
    <row r="601">
      <c r="A601" s="80" t="n"/>
      <c r="B601" s="81" t="n"/>
      <c r="C601" s="81" t="n"/>
      <c r="D601" s="82" t="n"/>
      <c r="E601" s="82" t="n"/>
      <c r="F601" s="82" t="n"/>
      <c r="G601" s="82" t="n"/>
      <c r="H601" s="82" t="n"/>
      <c r="I601" s="83" t="n"/>
      <c r="J601" s="82" t="n"/>
      <c r="K601" s="84" t="n"/>
      <c r="L601" s="85" t="n"/>
      <c r="M601" s="82" t="n"/>
      <c r="N601" s="86" t="n"/>
      <c r="O601" s="81" t="n"/>
      <c r="P601" s="82" t="n"/>
      <c r="Q601" s="83" t="n"/>
      <c r="R601" s="82" t="n"/>
      <c r="S601" s="84" t="n"/>
      <c r="T601" s="84" t="n"/>
      <c r="U601" s="82" t="n"/>
      <c r="V601" s="86" t="n"/>
      <c r="W601" s="86" t="n"/>
      <c r="X601" s="86" t="n"/>
      <c r="Y601" s="81" t="n"/>
      <c r="Z601" s="82" t="n"/>
      <c r="AA601" s="81" t="n"/>
      <c r="AB601" s="82" t="n"/>
      <c r="AC601" s="87">
        <f>IF(OR($D601="",$M601="Rejected",$M601="Withdrawn",$M601="Accepted"),"",IF(ISNUMBER($O601),IF(INT($O601)&lt;TODAY(),"FOLLOW UP REQUIRED",IF(INT($O601)=TODAY(),"ACTION DUE TODAY",IF(INT($O601)-TODAY()&lt;=Set_DueSoonDays,"DUE SOON",""))),IF(AND($M601="Applied",$AA601=""),IF(ISNUMBER($C601),IF(TODAY()-$C601&gt;=Set_FollowUpDays,"NO RESPONSE",""),""),"")))</f>
        <v/>
      </c>
      <c r="AD601" s="87">
        <f>IF(ISNUMBER($L601),IF($L601&gt;=90,"Excellent Match",IF($L601&gt;=75,"Strong Match",IF($L601&gt;=60,"Moderate Match","Low Match"))),"")</f>
        <v/>
      </c>
      <c r="AE601" s="87">
        <f>IF($D601="","",IF(OR($M601="Rejected",$M601="Withdrawn"),IF($AB601&lt;&gt;"",$AB601,IF(OR($M601="Rejected",ISNUMBER($C601)),"Applied","Wishlist")),IF($M601="",IF(ISNUMBER($C601),"Applied","Wishlist"),$M601)))</f>
        <v/>
      </c>
      <c r="AF601" s="88">
        <f>IF(AND(ISNUMBER($C601),ISNUMBER($AA601)),$AA601-$C601,"")</f>
        <v/>
      </c>
      <c r="AG601" s="87">
        <f>IF($AE601="","",IFERROR(MATCH($AE601,{"Wishlist","Applied","Screening","Interview 1","Interview 2","Final","Offer","Accepted"},0)-1,""))</f>
        <v/>
      </c>
      <c r="AH601" s="87">
        <f>IF($AC601="","",MATCH($AC601,{"FOLLOW UP REQUIRED","ACTION DUE TODAY","NO RESPONSE","DUE SOON"},0)*100000+IF(ISNUMBER($O601),$O601,IF(ISNUMBER($C601),$C601,0))+ROW()/10000)</f>
        <v/>
      </c>
      <c r="AI601" s="87">
        <f>IF(AND(ISNUMBER($AG601),$AG601&gt;=1,$AG601&lt;=6,$M601&lt;&gt;"Rejected",$M601&lt;&gt;"Withdrawn"),(10-$AG601)*100000+IF(ISNUMBER($C601),$C601,0)+ROW()/10000,"")</f>
        <v/>
      </c>
    </row>
    <row r="602">
      <c r="A602" s="80" t="n"/>
      <c r="B602" s="81" t="n"/>
      <c r="C602" s="81" t="n"/>
      <c r="D602" s="82" t="n"/>
      <c r="E602" s="82" t="n"/>
      <c r="F602" s="82" t="n"/>
      <c r="G602" s="82" t="n"/>
      <c r="H602" s="82" t="n"/>
      <c r="I602" s="83" t="n"/>
      <c r="J602" s="82" t="n"/>
      <c r="K602" s="84" t="n"/>
      <c r="L602" s="85" t="n"/>
      <c r="M602" s="82" t="n"/>
      <c r="N602" s="86" t="n"/>
      <c r="O602" s="81" t="n"/>
      <c r="P602" s="82" t="n"/>
      <c r="Q602" s="83" t="n"/>
      <c r="R602" s="82" t="n"/>
      <c r="S602" s="84" t="n"/>
      <c r="T602" s="84" t="n"/>
      <c r="U602" s="82" t="n"/>
      <c r="V602" s="86" t="n"/>
      <c r="W602" s="86" t="n"/>
      <c r="X602" s="86" t="n"/>
      <c r="Y602" s="81" t="n"/>
      <c r="Z602" s="82" t="n"/>
      <c r="AA602" s="81" t="n"/>
      <c r="AB602" s="82" t="n"/>
      <c r="AC602" s="87">
        <f>IF(OR($D602="",$M602="Rejected",$M602="Withdrawn",$M602="Accepted"),"",IF(ISNUMBER($O602),IF(INT($O602)&lt;TODAY(),"FOLLOW UP REQUIRED",IF(INT($O602)=TODAY(),"ACTION DUE TODAY",IF(INT($O602)-TODAY()&lt;=Set_DueSoonDays,"DUE SOON",""))),IF(AND($M602="Applied",$AA602=""),IF(ISNUMBER($C602),IF(TODAY()-$C602&gt;=Set_FollowUpDays,"NO RESPONSE",""),""),"")))</f>
        <v/>
      </c>
      <c r="AD602" s="87">
        <f>IF(ISNUMBER($L602),IF($L602&gt;=90,"Excellent Match",IF($L602&gt;=75,"Strong Match",IF($L602&gt;=60,"Moderate Match","Low Match"))),"")</f>
        <v/>
      </c>
      <c r="AE602" s="87">
        <f>IF($D602="","",IF(OR($M602="Rejected",$M602="Withdrawn"),IF($AB602&lt;&gt;"",$AB602,IF(OR($M602="Rejected",ISNUMBER($C602)),"Applied","Wishlist")),IF($M602="",IF(ISNUMBER($C602),"Applied","Wishlist"),$M602)))</f>
        <v/>
      </c>
      <c r="AF602" s="88">
        <f>IF(AND(ISNUMBER($C602),ISNUMBER($AA602)),$AA602-$C602,"")</f>
        <v/>
      </c>
      <c r="AG602" s="87">
        <f>IF($AE602="","",IFERROR(MATCH($AE602,{"Wishlist","Applied","Screening","Interview 1","Interview 2","Final","Offer","Accepted"},0)-1,""))</f>
        <v/>
      </c>
      <c r="AH602" s="87">
        <f>IF($AC602="","",MATCH($AC602,{"FOLLOW UP REQUIRED","ACTION DUE TODAY","NO RESPONSE","DUE SOON"},0)*100000+IF(ISNUMBER($O602),$O602,IF(ISNUMBER($C602),$C602,0))+ROW()/10000)</f>
        <v/>
      </c>
      <c r="AI602" s="87">
        <f>IF(AND(ISNUMBER($AG602),$AG602&gt;=1,$AG602&lt;=6,$M602&lt;&gt;"Rejected",$M602&lt;&gt;"Withdrawn"),(10-$AG602)*100000+IF(ISNUMBER($C602),$C602,0)+ROW()/10000,"")</f>
        <v/>
      </c>
    </row>
    <row r="603">
      <c r="A603" s="80" t="n"/>
      <c r="B603" s="81" t="n"/>
      <c r="C603" s="81" t="n"/>
      <c r="D603" s="82" t="n"/>
      <c r="E603" s="82" t="n"/>
      <c r="F603" s="82" t="n"/>
      <c r="G603" s="82" t="n"/>
      <c r="H603" s="82" t="n"/>
      <c r="I603" s="83" t="n"/>
      <c r="J603" s="82" t="n"/>
      <c r="K603" s="84" t="n"/>
      <c r="L603" s="85" t="n"/>
      <c r="M603" s="82" t="n"/>
      <c r="N603" s="86" t="n"/>
      <c r="O603" s="81" t="n"/>
      <c r="P603" s="82" t="n"/>
      <c r="Q603" s="83" t="n"/>
      <c r="R603" s="82" t="n"/>
      <c r="S603" s="84" t="n"/>
      <c r="T603" s="84" t="n"/>
      <c r="U603" s="82" t="n"/>
      <c r="V603" s="86" t="n"/>
      <c r="W603" s="86" t="n"/>
      <c r="X603" s="86" t="n"/>
      <c r="Y603" s="81" t="n"/>
      <c r="Z603" s="82" t="n"/>
      <c r="AA603" s="81" t="n"/>
      <c r="AB603" s="82" t="n"/>
      <c r="AC603" s="87">
        <f>IF(OR($D603="",$M603="Rejected",$M603="Withdrawn",$M603="Accepted"),"",IF(ISNUMBER($O603),IF(INT($O603)&lt;TODAY(),"FOLLOW UP REQUIRED",IF(INT($O603)=TODAY(),"ACTION DUE TODAY",IF(INT($O603)-TODAY()&lt;=Set_DueSoonDays,"DUE SOON",""))),IF(AND($M603="Applied",$AA603=""),IF(ISNUMBER($C603),IF(TODAY()-$C603&gt;=Set_FollowUpDays,"NO RESPONSE",""),""),"")))</f>
        <v/>
      </c>
      <c r="AD603" s="87">
        <f>IF(ISNUMBER($L603),IF($L603&gt;=90,"Excellent Match",IF($L603&gt;=75,"Strong Match",IF($L603&gt;=60,"Moderate Match","Low Match"))),"")</f>
        <v/>
      </c>
      <c r="AE603" s="87">
        <f>IF($D603="","",IF(OR($M603="Rejected",$M603="Withdrawn"),IF($AB603&lt;&gt;"",$AB603,IF(OR($M603="Rejected",ISNUMBER($C603)),"Applied","Wishlist")),IF($M603="",IF(ISNUMBER($C603),"Applied","Wishlist"),$M603)))</f>
        <v/>
      </c>
      <c r="AF603" s="88">
        <f>IF(AND(ISNUMBER($C603),ISNUMBER($AA603)),$AA603-$C603,"")</f>
        <v/>
      </c>
      <c r="AG603" s="87">
        <f>IF($AE603="","",IFERROR(MATCH($AE603,{"Wishlist","Applied","Screening","Interview 1","Interview 2","Final","Offer","Accepted"},0)-1,""))</f>
        <v/>
      </c>
      <c r="AH603" s="87">
        <f>IF($AC603="","",MATCH($AC603,{"FOLLOW UP REQUIRED","ACTION DUE TODAY","NO RESPONSE","DUE SOON"},0)*100000+IF(ISNUMBER($O603),$O603,IF(ISNUMBER($C603),$C603,0))+ROW()/10000)</f>
        <v/>
      </c>
      <c r="AI603" s="87">
        <f>IF(AND(ISNUMBER($AG603),$AG603&gt;=1,$AG603&lt;=6,$M603&lt;&gt;"Rejected",$M603&lt;&gt;"Withdrawn"),(10-$AG603)*100000+IF(ISNUMBER($C603),$C603,0)+ROW()/10000,"")</f>
        <v/>
      </c>
    </row>
    <row r="604">
      <c r="A604" s="80" t="n"/>
      <c r="B604" s="81" t="n"/>
      <c r="C604" s="81" t="n"/>
      <c r="D604" s="82" t="n"/>
      <c r="E604" s="82" t="n"/>
      <c r="F604" s="82" t="n"/>
      <c r="G604" s="82" t="n"/>
      <c r="H604" s="82" t="n"/>
      <c r="I604" s="83" t="n"/>
      <c r="J604" s="82" t="n"/>
      <c r="K604" s="84" t="n"/>
      <c r="L604" s="85" t="n"/>
      <c r="M604" s="82" t="n"/>
      <c r="N604" s="86" t="n"/>
      <c r="O604" s="81" t="n"/>
      <c r="P604" s="82" t="n"/>
      <c r="Q604" s="83" t="n"/>
      <c r="R604" s="82" t="n"/>
      <c r="S604" s="84" t="n"/>
      <c r="T604" s="84" t="n"/>
      <c r="U604" s="82" t="n"/>
      <c r="V604" s="86" t="n"/>
      <c r="W604" s="86" t="n"/>
      <c r="X604" s="86" t="n"/>
      <c r="Y604" s="81" t="n"/>
      <c r="Z604" s="82" t="n"/>
      <c r="AA604" s="81" t="n"/>
      <c r="AB604" s="82" t="n"/>
      <c r="AC604" s="87">
        <f>IF(OR($D604="",$M604="Rejected",$M604="Withdrawn",$M604="Accepted"),"",IF(ISNUMBER($O604),IF(INT($O604)&lt;TODAY(),"FOLLOW UP REQUIRED",IF(INT($O604)=TODAY(),"ACTION DUE TODAY",IF(INT($O604)-TODAY()&lt;=Set_DueSoonDays,"DUE SOON",""))),IF(AND($M604="Applied",$AA604=""),IF(ISNUMBER($C604),IF(TODAY()-$C604&gt;=Set_FollowUpDays,"NO RESPONSE",""),""),"")))</f>
        <v/>
      </c>
      <c r="AD604" s="87">
        <f>IF(ISNUMBER($L604),IF($L604&gt;=90,"Excellent Match",IF($L604&gt;=75,"Strong Match",IF($L604&gt;=60,"Moderate Match","Low Match"))),"")</f>
        <v/>
      </c>
      <c r="AE604" s="87">
        <f>IF($D604="","",IF(OR($M604="Rejected",$M604="Withdrawn"),IF($AB604&lt;&gt;"",$AB604,IF(OR($M604="Rejected",ISNUMBER($C604)),"Applied","Wishlist")),IF($M604="",IF(ISNUMBER($C604),"Applied","Wishlist"),$M604)))</f>
        <v/>
      </c>
      <c r="AF604" s="88">
        <f>IF(AND(ISNUMBER($C604),ISNUMBER($AA604)),$AA604-$C604,"")</f>
        <v/>
      </c>
      <c r="AG604" s="87">
        <f>IF($AE604="","",IFERROR(MATCH($AE604,{"Wishlist","Applied","Screening","Interview 1","Interview 2","Final","Offer","Accepted"},0)-1,""))</f>
        <v/>
      </c>
      <c r="AH604" s="87">
        <f>IF($AC604="","",MATCH($AC604,{"FOLLOW UP REQUIRED","ACTION DUE TODAY","NO RESPONSE","DUE SOON"},0)*100000+IF(ISNUMBER($O604),$O604,IF(ISNUMBER($C604),$C604,0))+ROW()/10000)</f>
        <v/>
      </c>
      <c r="AI604" s="87">
        <f>IF(AND(ISNUMBER($AG604),$AG604&gt;=1,$AG604&lt;=6,$M604&lt;&gt;"Rejected",$M604&lt;&gt;"Withdrawn"),(10-$AG604)*100000+IF(ISNUMBER($C604),$C604,0)+ROW()/10000,"")</f>
        <v/>
      </c>
    </row>
    <row r="605">
      <c r="A605" s="80" t="n"/>
      <c r="B605" s="81" t="n"/>
      <c r="C605" s="81" t="n"/>
      <c r="D605" s="82" t="n"/>
      <c r="E605" s="82" t="n"/>
      <c r="F605" s="82" t="n"/>
      <c r="G605" s="82" t="n"/>
      <c r="H605" s="82" t="n"/>
      <c r="I605" s="83" t="n"/>
      <c r="J605" s="82" t="n"/>
      <c r="K605" s="84" t="n"/>
      <c r="L605" s="85" t="n"/>
      <c r="M605" s="82" t="n"/>
      <c r="N605" s="86" t="n"/>
      <c r="O605" s="81" t="n"/>
      <c r="P605" s="82" t="n"/>
      <c r="Q605" s="83" t="n"/>
      <c r="R605" s="82" t="n"/>
      <c r="S605" s="84" t="n"/>
      <c r="T605" s="84" t="n"/>
      <c r="U605" s="82" t="n"/>
      <c r="V605" s="86" t="n"/>
      <c r="W605" s="86" t="n"/>
      <c r="X605" s="86" t="n"/>
      <c r="Y605" s="81" t="n"/>
      <c r="Z605" s="82" t="n"/>
      <c r="AA605" s="81" t="n"/>
      <c r="AB605" s="82" t="n"/>
      <c r="AC605" s="87">
        <f>IF(OR($D605="",$M605="Rejected",$M605="Withdrawn",$M605="Accepted"),"",IF(ISNUMBER($O605),IF(INT($O605)&lt;TODAY(),"FOLLOW UP REQUIRED",IF(INT($O605)=TODAY(),"ACTION DUE TODAY",IF(INT($O605)-TODAY()&lt;=Set_DueSoonDays,"DUE SOON",""))),IF(AND($M605="Applied",$AA605=""),IF(ISNUMBER($C605),IF(TODAY()-$C605&gt;=Set_FollowUpDays,"NO RESPONSE",""),""),"")))</f>
        <v/>
      </c>
      <c r="AD605" s="87">
        <f>IF(ISNUMBER($L605),IF($L605&gt;=90,"Excellent Match",IF($L605&gt;=75,"Strong Match",IF($L605&gt;=60,"Moderate Match","Low Match"))),"")</f>
        <v/>
      </c>
      <c r="AE605" s="87">
        <f>IF($D605="","",IF(OR($M605="Rejected",$M605="Withdrawn"),IF($AB605&lt;&gt;"",$AB605,IF(OR($M605="Rejected",ISNUMBER($C605)),"Applied","Wishlist")),IF($M605="",IF(ISNUMBER($C605),"Applied","Wishlist"),$M605)))</f>
        <v/>
      </c>
      <c r="AF605" s="88">
        <f>IF(AND(ISNUMBER($C605),ISNUMBER($AA605)),$AA605-$C605,"")</f>
        <v/>
      </c>
      <c r="AG605" s="87">
        <f>IF($AE605="","",IFERROR(MATCH($AE605,{"Wishlist","Applied","Screening","Interview 1","Interview 2","Final","Offer","Accepted"},0)-1,""))</f>
        <v/>
      </c>
      <c r="AH605" s="87">
        <f>IF($AC605="","",MATCH($AC605,{"FOLLOW UP REQUIRED","ACTION DUE TODAY","NO RESPONSE","DUE SOON"},0)*100000+IF(ISNUMBER($O605),$O605,IF(ISNUMBER($C605),$C605,0))+ROW()/10000)</f>
        <v/>
      </c>
      <c r="AI605" s="87">
        <f>IF(AND(ISNUMBER($AG605),$AG605&gt;=1,$AG605&lt;=6,$M605&lt;&gt;"Rejected",$M605&lt;&gt;"Withdrawn"),(10-$AG605)*100000+IF(ISNUMBER($C605),$C605,0)+ROW()/10000,"")</f>
        <v/>
      </c>
    </row>
    <row r="606">
      <c r="A606" s="80" t="n"/>
      <c r="B606" s="81" t="n"/>
      <c r="C606" s="81" t="n"/>
      <c r="D606" s="82" t="n"/>
      <c r="E606" s="82" t="n"/>
      <c r="F606" s="82" t="n"/>
      <c r="G606" s="82" t="n"/>
      <c r="H606" s="82" t="n"/>
      <c r="I606" s="83" t="n"/>
      <c r="J606" s="82" t="n"/>
      <c r="K606" s="84" t="n"/>
      <c r="L606" s="85" t="n"/>
      <c r="M606" s="82" t="n"/>
      <c r="N606" s="86" t="n"/>
      <c r="O606" s="81" t="n"/>
      <c r="P606" s="82" t="n"/>
      <c r="Q606" s="83" t="n"/>
      <c r="R606" s="82" t="n"/>
      <c r="S606" s="84" t="n"/>
      <c r="T606" s="84" t="n"/>
      <c r="U606" s="82" t="n"/>
      <c r="V606" s="86" t="n"/>
      <c r="W606" s="86" t="n"/>
      <c r="X606" s="86" t="n"/>
      <c r="Y606" s="81" t="n"/>
      <c r="Z606" s="82" t="n"/>
      <c r="AA606" s="81" t="n"/>
      <c r="AB606" s="82" t="n"/>
      <c r="AC606" s="87">
        <f>IF(OR($D606="",$M606="Rejected",$M606="Withdrawn",$M606="Accepted"),"",IF(ISNUMBER($O606),IF(INT($O606)&lt;TODAY(),"FOLLOW UP REQUIRED",IF(INT($O606)=TODAY(),"ACTION DUE TODAY",IF(INT($O606)-TODAY()&lt;=Set_DueSoonDays,"DUE SOON",""))),IF(AND($M606="Applied",$AA606=""),IF(ISNUMBER($C606),IF(TODAY()-$C606&gt;=Set_FollowUpDays,"NO RESPONSE",""),""),"")))</f>
        <v/>
      </c>
      <c r="AD606" s="87">
        <f>IF(ISNUMBER($L606),IF($L606&gt;=90,"Excellent Match",IF($L606&gt;=75,"Strong Match",IF($L606&gt;=60,"Moderate Match","Low Match"))),"")</f>
        <v/>
      </c>
      <c r="AE606" s="87">
        <f>IF($D606="","",IF(OR($M606="Rejected",$M606="Withdrawn"),IF($AB606&lt;&gt;"",$AB606,IF(OR($M606="Rejected",ISNUMBER($C606)),"Applied","Wishlist")),IF($M606="",IF(ISNUMBER($C606),"Applied","Wishlist"),$M606)))</f>
        <v/>
      </c>
      <c r="AF606" s="88">
        <f>IF(AND(ISNUMBER($C606),ISNUMBER($AA606)),$AA606-$C606,"")</f>
        <v/>
      </c>
      <c r="AG606" s="87">
        <f>IF($AE606="","",IFERROR(MATCH($AE606,{"Wishlist","Applied","Screening","Interview 1","Interview 2","Final","Offer","Accepted"},0)-1,""))</f>
        <v/>
      </c>
      <c r="AH606" s="87">
        <f>IF($AC606="","",MATCH($AC606,{"FOLLOW UP REQUIRED","ACTION DUE TODAY","NO RESPONSE","DUE SOON"},0)*100000+IF(ISNUMBER($O606),$O606,IF(ISNUMBER($C606),$C606,0))+ROW()/10000)</f>
        <v/>
      </c>
      <c r="AI606" s="87">
        <f>IF(AND(ISNUMBER($AG606),$AG606&gt;=1,$AG606&lt;=6,$M606&lt;&gt;"Rejected",$M606&lt;&gt;"Withdrawn"),(10-$AG606)*100000+IF(ISNUMBER($C606),$C606,0)+ROW()/10000,"")</f>
        <v/>
      </c>
    </row>
    <row r="607">
      <c r="A607" s="80" t="n"/>
      <c r="B607" s="81" t="n"/>
      <c r="C607" s="81" t="n"/>
      <c r="D607" s="82" t="n"/>
      <c r="E607" s="82" t="n"/>
      <c r="F607" s="82" t="n"/>
      <c r="G607" s="82" t="n"/>
      <c r="H607" s="82" t="n"/>
      <c r="I607" s="83" t="n"/>
      <c r="J607" s="82" t="n"/>
      <c r="K607" s="84" t="n"/>
      <c r="L607" s="85" t="n"/>
      <c r="M607" s="82" t="n"/>
      <c r="N607" s="86" t="n"/>
      <c r="O607" s="81" t="n"/>
      <c r="P607" s="82" t="n"/>
      <c r="Q607" s="83" t="n"/>
      <c r="R607" s="82" t="n"/>
      <c r="S607" s="84" t="n"/>
      <c r="T607" s="84" t="n"/>
      <c r="U607" s="82" t="n"/>
      <c r="V607" s="86" t="n"/>
      <c r="W607" s="86" t="n"/>
      <c r="X607" s="86" t="n"/>
      <c r="Y607" s="81" t="n"/>
      <c r="Z607" s="82" t="n"/>
      <c r="AA607" s="81" t="n"/>
      <c r="AB607" s="82" t="n"/>
      <c r="AC607" s="87">
        <f>IF(OR($D607="",$M607="Rejected",$M607="Withdrawn",$M607="Accepted"),"",IF(ISNUMBER($O607),IF(INT($O607)&lt;TODAY(),"FOLLOW UP REQUIRED",IF(INT($O607)=TODAY(),"ACTION DUE TODAY",IF(INT($O607)-TODAY()&lt;=Set_DueSoonDays,"DUE SOON",""))),IF(AND($M607="Applied",$AA607=""),IF(ISNUMBER($C607),IF(TODAY()-$C607&gt;=Set_FollowUpDays,"NO RESPONSE",""),""),"")))</f>
        <v/>
      </c>
      <c r="AD607" s="87">
        <f>IF(ISNUMBER($L607),IF($L607&gt;=90,"Excellent Match",IF($L607&gt;=75,"Strong Match",IF($L607&gt;=60,"Moderate Match","Low Match"))),"")</f>
        <v/>
      </c>
      <c r="AE607" s="87">
        <f>IF($D607="","",IF(OR($M607="Rejected",$M607="Withdrawn"),IF($AB607&lt;&gt;"",$AB607,IF(OR($M607="Rejected",ISNUMBER($C607)),"Applied","Wishlist")),IF($M607="",IF(ISNUMBER($C607),"Applied","Wishlist"),$M607)))</f>
        <v/>
      </c>
      <c r="AF607" s="88">
        <f>IF(AND(ISNUMBER($C607),ISNUMBER($AA607)),$AA607-$C607,"")</f>
        <v/>
      </c>
      <c r="AG607" s="87">
        <f>IF($AE607="","",IFERROR(MATCH($AE607,{"Wishlist","Applied","Screening","Interview 1","Interview 2","Final","Offer","Accepted"},0)-1,""))</f>
        <v/>
      </c>
      <c r="AH607" s="87">
        <f>IF($AC607="","",MATCH($AC607,{"FOLLOW UP REQUIRED","ACTION DUE TODAY","NO RESPONSE","DUE SOON"},0)*100000+IF(ISNUMBER($O607),$O607,IF(ISNUMBER($C607),$C607,0))+ROW()/10000)</f>
        <v/>
      </c>
      <c r="AI607" s="87">
        <f>IF(AND(ISNUMBER($AG607),$AG607&gt;=1,$AG607&lt;=6,$M607&lt;&gt;"Rejected",$M607&lt;&gt;"Withdrawn"),(10-$AG607)*100000+IF(ISNUMBER($C607),$C607,0)+ROW()/10000,"")</f>
        <v/>
      </c>
    </row>
    <row r="608">
      <c r="A608" s="80" t="n"/>
      <c r="B608" s="81" t="n"/>
      <c r="C608" s="81" t="n"/>
      <c r="D608" s="82" t="n"/>
      <c r="E608" s="82" t="n"/>
      <c r="F608" s="82" t="n"/>
      <c r="G608" s="82" t="n"/>
      <c r="H608" s="82" t="n"/>
      <c r="I608" s="83" t="n"/>
      <c r="J608" s="82" t="n"/>
      <c r="K608" s="84" t="n"/>
      <c r="L608" s="85" t="n"/>
      <c r="M608" s="82" t="n"/>
      <c r="N608" s="86" t="n"/>
      <c r="O608" s="81" t="n"/>
      <c r="P608" s="82" t="n"/>
      <c r="Q608" s="83" t="n"/>
      <c r="R608" s="82" t="n"/>
      <c r="S608" s="84" t="n"/>
      <c r="T608" s="84" t="n"/>
      <c r="U608" s="82" t="n"/>
      <c r="V608" s="86" t="n"/>
      <c r="W608" s="86" t="n"/>
      <c r="X608" s="86" t="n"/>
      <c r="Y608" s="81" t="n"/>
      <c r="Z608" s="82" t="n"/>
      <c r="AA608" s="81" t="n"/>
      <c r="AB608" s="82" t="n"/>
      <c r="AC608" s="87">
        <f>IF(OR($D608="",$M608="Rejected",$M608="Withdrawn",$M608="Accepted"),"",IF(ISNUMBER($O608),IF(INT($O608)&lt;TODAY(),"FOLLOW UP REQUIRED",IF(INT($O608)=TODAY(),"ACTION DUE TODAY",IF(INT($O608)-TODAY()&lt;=Set_DueSoonDays,"DUE SOON",""))),IF(AND($M608="Applied",$AA608=""),IF(ISNUMBER($C608),IF(TODAY()-$C608&gt;=Set_FollowUpDays,"NO RESPONSE",""),""),"")))</f>
        <v/>
      </c>
      <c r="AD608" s="87">
        <f>IF(ISNUMBER($L608),IF($L608&gt;=90,"Excellent Match",IF($L608&gt;=75,"Strong Match",IF($L608&gt;=60,"Moderate Match","Low Match"))),"")</f>
        <v/>
      </c>
      <c r="AE608" s="87">
        <f>IF($D608="","",IF(OR($M608="Rejected",$M608="Withdrawn"),IF($AB608&lt;&gt;"",$AB608,IF(OR($M608="Rejected",ISNUMBER($C608)),"Applied","Wishlist")),IF($M608="",IF(ISNUMBER($C608),"Applied","Wishlist"),$M608)))</f>
        <v/>
      </c>
      <c r="AF608" s="88">
        <f>IF(AND(ISNUMBER($C608),ISNUMBER($AA608)),$AA608-$C608,"")</f>
        <v/>
      </c>
      <c r="AG608" s="87">
        <f>IF($AE608="","",IFERROR(MATCH($AE608,{"Wishlist","Applied","Screening","Interview 1","Interview 2","Final","Offer","Accepted"},0)-1,""))</f>
        <v/>
      </c>
      <c r="AH608" s="87">
        <f>IF($AC608="","",MATCH($AC608,{"FOLLOW UP REQUIRED","ACTION DUE TODAY","NO RESPONSE","DUE SOON"},0)*100000+IF(ISNUMBER($O608),$O608,IF(ISNUMBER($C608),$C608,0))+ROW()/10000)</f>
        <v/>
      </c>
      <c r="AI608" s="87">
        <f>IF(AND(ISNUMBER($AG608),$AG608&gt;=1,$AG608&lt;=6,$M608&lt;&gt;"Rejected",$M608&lt;&gt;"Withdrawn"),(10-$AG608)*100000+IF(ISNUMBER($C608),$C608,0)+ROW()/10000,"")</f>
        <v/>
      </c>
    </row>
    <row r="609">
      <c r="A609" s="80" t="n"/>
      <c r="B609" s="81" t="n"/>
      <c r="C609" s="81" t="n"/>
      <c r="D609" s="82" t="n"/>
      <c r="E609" s="82" t="n"/>
      <c r="F609" s="82" t="n"/>
      <c r="G609" s="82" t="n"/>
      <c r="H609" s="82" t="n"/>
      <c r="I609" s="83" t="n"/>
      <c r="J609" s="82" t="n"/>
      <c r="K609" s="84" t="n"/>
      <c r="L609" s="85" t="n"/>
      <c r="M609" s="82" t="n"/>
      <c r="N609" s="86" t="n"/>
      <c r="O609" s="81" t="n"/>
      <c r="P609" s="82" t="n"/>
      <c r="Q609" s="83" t="n"/>
      <c r="R609" s="82" t="n"/>
      <c r="S609" s="84" t="n"/>
      <c r="T609" s="84" t="n"/>
      <c r="U609" s="82" t="n"/>
      <c r="V609" s="86" t="n"/>
      <c r="W609" s="86" t="n"/>
      <c r="X609" s="86" t="n"/>
      <c r="Y609" s="81" t="n"/>
      <c r="Z609" s="82" t="n"/>
      <c r="AA609" s="81" t="n"/>
      <c r="AB609" s="82" t="n"/>
      <c r="AC609" s="87">
        <f>IF(OR($D609="",$M609="Rejected",$M609="Withdrawn",$M609="Accepted"),"",IF(ISNUMBER($O609),IF(INT($O609)&lt;TODAY(),"FOLLOW UP REQUIRED",IF(INT($O609)=TODAY(),"ACTION DUE TODAY",IF(INT($O609)-TODAY()&lt;=Set_DueSoonDays,"DUE SOON",""))),IF(AND($M609="Applied",$AA609=""),IF(ISNUMBER($C609),IF(TODAY()-$C609&gt;=Set_FollowUpDays,"NO RESPONSE",""),""),"")))</f>
        <v/>
      </c>
      <c r="AD609" s="87">
        <f>IF(ISNUMBER($L609),IF($L609&gt;=90,"Excellent Match",IF($L609&gt;=75,"Strong Match",IF($L609&gt;=60,"Moderate Match","Low Match"))),"")</f>
        <v/>
      </c>
      <c r="AE609" s="87">
        <f>IF($D609="","",IF(OR($M609="Rejected",$M609="Withdrawn"),IF($AB609&lt;&gt;"",$AB609,IF(OR($M609="Rejected",ISNUMBER($C609)),"Applied","Wishlist")),IF($M609="",IF(ISNUMBER($C609),"Applied","Wishlist"),$M609)))</f>
        <v/>
      </c>
      <c r="AF609" s="88">
        <f>IF(AND(ISNUMBER($C609),ISNUMBER($AA609)),$AA609-$C609,"")</f>
        <v/>
      </c>
      <c r="AG609" s="87">
        <f>IF($AE609="","",IFERROR(MATCH($AE609,{"Wishlist","Applied","Screening","Interview 1","Interview 2","Final","Offer","Accepted"},0)-1,""))</f>
        <v/>
      </c>
      <c r="AH609" s="87">
        <f>IF($AC609="","",MATCH($AC609,{"FOLLOW UP REQUIRED","ACTION DUE TODAY","NO RESPONSE","DUE SOON"},0)*100000+IF(ISNUMBER($O609),$O609,IF(ISNUMBER($C609),$C609,0))+ROW()/10000)</f>
        <v/>
      </c>
      <c r="AI609" s="87">
        <f>IF(AND(ISNUMBER($AG609),$AG609&gt;=1,$AG609&lt;=6,$M609&lt;&gt;"Rejected",$M609&lt;&gt;"Withdrawn"),(10-$AG609)*100000+IF(ISNUMBER($C609),$C609,0)+ROW()/10000,"")</f>
        <v/>
      </c>
    </row>
    <row r="610">
      <c r="A610" s="80" t="n"/>
      <c r="B610" s="81" t="n"/>
      <c r="C610" s="81" t="n"/>
      <c r="D610" s="82" t="n"/>
      <c r="E610" s="82" t="n"/>
      <c r="F610" s="82" t="n"/>
      <c r="G610" s="82" t="n"/>
      <c r="H610" s="82" t="n"/>
      <c r="I610" s="83" t="n"/>
      <c r="J610" s="82" t="n"/>
      <c r="K610" s="84" t="n"/>
      <c r="L610" s="85" t="n"/>
      <c r="M610" s="82" t="n"/>
      <c r="N610" s="86" t="n"/>
      <c r="O610" s="81" t="n"/>
      <c r="P610" s="82" t="n"/>
      <c r="Q610" s="83" t="n"/>
      <c r="R610" s="82" t="n"/>
      <c r="S610" s="84" t="n"/>
      <c r="T610" s="84" t="n"/>
      <c r="U610" s="82" t="n"/>
      <c r="V610" s="86" t="n"/>
      <c r="W610" s="86" t="n"/>
      <c r="X610" s="86" t="n"/>
      <c r="Y610" s="81" t="n"/>
      <c r="Z610" s="82" t="n"/>
      <c r="AA610" s="81" t="n"/>
      <c r="AB610" s="82" t="n"/>
      <c r="AC610" s="87">
        <f>IF(OR($D610="",$M610="Rejected",$M610="Withdrawn",$M610="Accepted"),"",IF(ISNUMBER($O610),IF(INT($O610)&lt;TODAY(),"FOLLOW UP REQUIRED",IF(INT($O610)=TODAY(),"ACTION DUE TODAY",IF(INT($O610)-TODAY()&lt;=Set_DueSoonDays,"DUE SOON",""))),IF(AND($M610="Applied",$AA610=""),IF(ISNUMBER($C610),IF(TODAY()-$C610&gt;=Set_FollowUpDays,"NO RESPONSE",""),""),"")))</f>
        <v/>
      </c>
      <c r="AD610" s="87">
        <f>IF(ISNUMBER($L610),IF($L610&gt;=90,"Excellent Match",IF($L610&gt;=75,"Strong Match",IF($L610&gt;=60,"Moderate Match","Low Match"))),"")</f>
        <v/>
      </c>
      <c r="AE610" s="87">
        <f>IF($D610="","",IF(OR($M610="Rejected",$M610="Withdrawn"),IF($AB610&lt;&gt;"",$AB610,IF(OR($M610="Rejected",ISNUMBER($C610)),"Applied","Wishlist")),IF($M610="",IF(ISNUMBER($C610),"Applied","Wishlist"),$M610)))</f>
        <v/>
      </c>
      <c r="AF610" s="88">
        <f>IF(AND(ISNUMBER($C610),ISNUMBER($AA610)),$AA610-$C610,"")</f>
        <v/>
      </c>
      <c r="AG610" s="87">
        <f>IF($AE610="","",IFERROR(MATCH($AE610,{"Wishlist","Applied","Screening","Interview 1","Interview 2","Final","Offer","Accepted"},0)-1,""))</f>
        <v/>
      </c>
      <c r="AH610" s="87">
        <f>IF($AC610="","",MATCH($AC610,{"FOLLOW UP REQUIRED","ACTION DUE TODAY","NO RESPONSE","DUE SOON"},0)*100000+IF(ISNUMBER($O610),$O610,IF(ISNUMBER($C610),$C610,0))+ROW()/10000)</f>
        <v/>
      </c>
      <c r="AI610" s="87">
        <f>IF(AND(ISNUMBER($AG610),$AG610&gt;=1,$AG610&lt;=6,$M610&lt;&gt;"Rejected",$M610&lt;&gt;"Withdrawn"),(10-$AG610)*100000+IF(ISNUMBER($C610),$C610,0)+ROW()/10000,"")</f>
        <v/>
      </c>
    </row>
    <row r="611">
      <c r="A611" s="80" t="n"/>
      <c r="B611" s="81" t="n"/>
      <c r="C611" s="81" t="n"/>
      <c r="D611" s="82" t="n"/>
      <c r="E611" s="82" t="n"/>
      <c r="F611" s="82" t="n"/>
      <c r="G611" s="82" t="n"/>
      <c r="H611" s="82" t="n"/>
      <c r="I611" s="83" t="n"/>
      <c r="J611" s="82" t="n"/>
      <c r="K611" s="84" t="n"/>
      <c r="L611" s="85" t="n"/>
      <c r="M611" s="82" t="n"/>
      <c r="N611" s="86" t="n"/>
      <c r="O611" s="81" t="n"/>
      <c r="P611" s="82" t="n"/>
      <c r="Q611" s="83" t="n"/>
      <c r="R611" s="82" t="n"/>
      <c r="S611" s="84" t="n"/>
      <c r="T611" s="84" t="n"/>
      <c r="U611" s="82" t="n"/>
      <c r="V611" s="86" t="n"/>
      <c r="W611" s="86" t="n"/>
      <c r="X611" s="86" t="n"/>
      <c r="Y611" s="81" t="n"/>
      <c r="Z611" s="82" t="n"/>
      <c r="AA611" s="81" t="n"/>
      <c r="AB611" s="82" t="n"/>
      <c r="AC611" s="87">
        <f>IF(OR($D611="",$M611="Rejected",$M611="Withdrawn",$M611="Accepted"),"",IF(ISNUMBER($O611),IF(INT($O611)&lt;TODAY(),"FOLLOW UP REQUIRED",IF(INT($O611)=TODAY(),"ACTION DUE TODAY",IF(INT($O611)-TODAY()&lt;=Set_DueSoonDays,"DUE SOON",""))),IF(AND($M611="Applied",$AA611=""),IF(ISNUMBER($C611),IF(TODAY()-$C611&gt;=Set_FollowUpDays,"NO RESPONSE",""),""),"")))</f>
        <v/>
      </c>
      <c r="AD611" s="87">
        <f>IF(ISNUMBER($L611),IF($L611&gt;=90,"Excellent Match",IF($L611&gt;=75,"Strong Match",IF($L611&gt;=60,"Moderate Match","Low Match"))),"")</f>
        <v/>
      </c>
      <c r="AE611" s="87">
        <f>IF($D611="","",IF(OR($M611="Rejected",$M611="Withdrawn"),IF($AB611&lt;&gt;"",$AB611,IF(OR($M611="Rejected",ISNUMBER($C611)),"Applied","Wishlist")),IF($M611="",IF(ISNUMBER($C611),"Applied","Wishlist"),$M611)))</f>
        <v/>
      </c>
      <c r="AF611" s="88">
        <f>IF(AND(ISNUMBER($C611),ISNUMBER($AA611)),$AA611-$C611,"")</f>
        <v/>
      </c>
      <c r="AG611" s="87">
        <f>IF($AE611="","",IFERROR(MATCH($AE611,{"Wishlist","Applied","Screening","Interview 1","Interview 2","Final","Offer","Accepted"},0)-1,""))</f>
        <v/>
      </c>
      <c r="AH611" s="87">
        <f>IF($AC611="","",MATCH($AC611,{"FOLLOW UP REQUIRED","ACTION DUE TODAY","NO RESPONSE","DUE SOON"},0)*100000+IF(ISNUMBER($O611),$O611,IF(ISNUMBER($C611),$C611,0))+ROW()/10000)</f>
        <v/>
      </c>
      <c r="AI611" s="87">
        <f>IF(AND(ISNUMBER($AG611),$AG611&gt;=1,$AG611&lt;=6,$M611&lt;&gt;"Rejected",$M611&lt;&gt;"Withdrawn"),(10-$AG611)*100000+IF(ISNUMBER($C611),$C611,0)+ROW()/10000,"")</f>
        <v/>
      </c>
    </row>
    <row r="612">
      <c r="A612" s="80" t="n"/>
      <c r="B612" s="81" t="n"/>
      <c r="C612" s="81" t="n"/>
      <c r="D612" s="82" t="n"/>
      <c r="E612" s="82" t="n"/>
      <c r="F612" s="82" t="n"/>
      <c r="G612" s="82" t="n"/>
      <c r="H612" s="82" t="n"/>
      <c r="I612" s="83" t="n"/>
      <c r="J612" s="82" t="n"/>
      <c r="K612" s="84" t="n"/>
      <c r="L612" s="85" t="n"/>
      <c r="M612" s="82" t="n"/>
      <c r="N612" s="86" t="n"/>
      <c r="O612" s="81" t="n"/>
      <c r="P612" s="82" t="n"/>
      <c r="Q612" s="83" t="n"/>
      <c r="R612" s="82" t="n"/>
      <c r="S612" s="84" t="n"/>
      <c r="T612" s="84" t="n"/>
      <c r="U612" s="82" t="n"/>
      <c r="V612" s="86" t="n"/>
      <c r="W612" s="86" t="n"/>
      <c r="X612" s="86" t="n"/>
      <c r="Y612" s="81" t="n"/>
      <c r="Z612" s="82" t="n"/>
      <c r="AA612" s="81" t="n"/>
      <c r="AB612" s="82" t="n"/>
      <c r="AC612" s="87">
        <f>IF(OR($D612="",$M612="Rejected",$M612="Withdrawn",$M612="Accepted"),"",IF(ISNUMBER($O612),IF(INT($O612)&lt;TODAY(),"FOLLOW UP REQUIRED",IF(INT($O612)=TODAY(),"ACTION DUE TODAY",IF(INT($O612)-TODAY()&lt;=Set_DueSoonDays,"DUE SOON",""))),IF(AND($M612="Applied",$AA612=""),IF(ISNUMBER($C612),IF(TODAY()-$C612&gt;=Set_FollowUpDays,"NO RESPONSE",""),""),"")))</f>
        <v/>
      </c>
      <c r="AD612" s="87">
        <f>IF(ISNUMBER($L612),IF($L612&gt;=90,"Excellent Match",IF($L612&gt;=75,"Strong Match",IF($L612&gt;=60,"Moderate Match","Low Match"))),"")</f>
        <v/>
      </c>
      <c r="AE612" s="87">
        <f>IF($D612="","",IF(OR($M612="Rejected",$M612="Withdrawn"),IF($AB612&lt;&gt;"",$AB612,IF(OR($M612="Rejected",ISNUMBER($C612)),"Applied","Wishlist")),IF($M612="",IF(ISNUMBER($C612),"Applied","Wishlist"),$M612)))</f>
        <v/>
      </c>
      <c r="AF612" s="88">
        <f>IF(AND(ISNUMBER($C612),ISNUMBER($AA612)),$AA612-$C612,"")</f>
        <v/>
      </c>
      <c r="AG612" s="87">
        <f>IF($AE612="","",IFERROR(MATCH($AE612,{"Wishlist","Applied","Screening","Interview 1","Interview 2","Final","Offer","Accepted"},0)-1,""))</f>
        <v/>
      </c>
      <c r="AH612" s="87">
        <f>IF($AC612="","",MATCH($AC612,{"FOLLOW UP REQUIRED","ACTION DUE TODAY","NO RESPONSE","DUE SOON"},0)*100000+IF(ISNUMBER($O612),$O612,IF(ISNUMBER($C612),$C612,0))+ROW()/10000)</f>
        <v/>
      </c>
      <c r="AI612" s="87">
        <f>IF(AND(ISNUMBER($AG612),$AG612&gt;=1,$AG612&lt;=6,$M612&lt;&gt;"Rejected",$M612&lt;&gt;"Withdrawn"),(10-$AG612)*100000+IF(ISNUMBER($C612),$C612,0)+ROW()/10000,"")</f>
        <v/>
      </c>
    </row>
    <row r="613">
      <c r="A613" s="80" t="n"/>
      <c r="B613" s="81" t="n"/>
      <c r="C613" s="81" t="n"/>
      <c r="D613" s="82" t="n"/>
      <c r="E613" s="82" t="n"/>
      <c r="F613" s="82" t="n"/>
      <c r="G613" s="82" t="n"/>
      <c r="H613" s="82" t="n"/>
      <c r="I613" s="83" t="n"/>
      <c r="J613" s="82" t="n"/>
      <c r="K613" s="84" t="n"/>
      <c r="L613" s="85" t="n"/>
      <c r="M613" s="82" t="n"/>
      <c r="N613" s="86" t="n"/>
      <c r="O613" s="81" t="n"/>
      <c r="P613" s="82" t="n"/>
      <c r="Q613" s="83" t="n"/>
      <c r="R613" s="82" t="n"/>
      <c r="S613" s="84" t="n"/>
      <c r="T613" s="84" t="n"/>
      <c r="U613" s="82" t="n"/>
      <c r="V613" s="86" t="n"/>
      <c r="W613" s="86" t="n"/>
      <c r="X613" s="86" t="n"/>
      <c r="Y613" s="81" t="n"/>
      <c r="Z613" s="82" t="n"/>
      <c r="AA613" s="81" t="n"/>
      <c r="AB613" s="82" t="n"/>
      <c r="AC613" s="87">
        <f>IF(OR($D613="",$M613="Rejected",$M613="Withdrawn",$M613="Accepted"),"",IF(ISNUMBER($O613),IF(INT($O613)&lt;TODAY(),"FOLLOW UP REQUIRED",IF(INT($O613)=TODAY(),"ACTION DUE TODAY",IF(INT($O613)-TODAY()&lt;=Set_DueSoonDays,"DUE SOON",""))),IF(AND($M613="Applied",$AA613=""),IF(ISNUMBER($C613),IF(TODAY()-$C613&gt;=Set_FollowUpDays,"NO RESPONSE",""),""),"")))</f>
        <v/>
      </c>
      <c r="AD613" s="87">
        <f>IF(ISNUMBER($L613),IF($L613&gt;=90,"Excellent Match",IF($L613&gt;=75,"Strong Match",IF($L613&gt;=60,"Moderate Match","Low Match"))),"")</f>
        <v/>
      </c>
      <c r="AE613" s="87">
        <f>IF($D613="","",IF(OR($M613="Rejected",$M613="Withdrawn"),IF($AB613&lt;&gt;"",$AB613,IF(OR($M613="Rejected",ISNUMBER($C613)),"Applied","Wishlist")),IF($M613="",IF(ISNUMBER($C613),"Applied","Wishlist"),$M613)))</f>
        <v/>
      </c>
      <c r="AF613" s="88">
        <f>IF(AND(ISNUMBER($C613),ISNUMBER($AA613)),$AA613-$C613,"")</f>
        <v/>
      </c>
      <c r="AG613" s="87">
        <f>IF($AE613="","",IFERROR(MATCH($AE613,{"Wishlist","Applied","Screening","Interview 1","Interview 2","Final","Offer","Accepted"},0)-1,""))</f>
        <v/>
      </c>
      <c r="AH613" s="87">
        <f>IF($AC613="","",MATCH($AC613,{"FOLLOW UP REQUIRED","ACTION DUE TODAY","NO RESPONSE","DUE SOON"},0)*100000+IF(ISNUMBER($O613),$O613,IF(ISNUMBER($C613),$C613,0))+ROW()/10000)</f>
        <v/>
      </c>
      <c r="AI613" s="87">
        <f>IF(AND(ISNUMBER($AG613),$AG613&gt;=1,$AG613&lt;=6,$M613&lt;&gt;"Rejected",$M613&lt;&gt;"Withdrawn"),(10-$AG613)*100000+IF(ISNUMBER($C613),$C613,0)+ROW()/10000,"")</f>
        <v/>
      </c>
    </row>
    <row r="614">
      <c r="A614" s="80" t="n"/>
      <c r="B614" s="81" t="n"/>
      <c r="C614" s="81" t="n"/>
      <c r="D614" s="82" t="n"/>
      <c r="E614" s="82" t="n"/>
      <c r="F614" s="82" t="n"/>
      <c r="G614" s="82" t="n"/>
      <c r="H614" s="82" t="n"/>
      <c r="I614" s="83" t="n"/>
      <c r="J614" s="82" t="n"/>
      <c r="K614" s="84" t="n"/>
      <c r="L614" s="85" t="n"/>
      <c r="M614" s="82" t="n"/>
      <c r="N614" s="86" t="n"/>
      <c r="O614" s="81" t="n"/>
      <c r="P614" s="82" t="n"/>
      <c r="Q614" s="83" t="n"/>
      <c r="R614" s="82" t="n"/>
      <c r="S614" s="84" t="n"/>
      <c r="T614" s="84" t="n"/>
      <c r="U614" s="82" t="n"/>
      <c r="V614" s="86" t="n"/>
      <c r="W614" s="86" t="n"/>
      <c r="X614" s="86" t="n"/>
      <c r="Y614" s="81" t="n"/>
      <c r="Z614" s="82" t="n"/>
      <c r="AA614" s="81" t="n"/>
      <c r="AB614" s="82" t="n"/>
      <c r="AC614" s="87">
        <f>IF(OR($D614="",$M614="Rejected",$M614="Withdrawn",$M614="Accepted"),"",IF(ISNUMBER($O614),IF(INT($O614)&lt;TODAY(),"FOLLOW UP REQUIRED",IF(INT($O614)=TODAY(),"ACTION DUE TODAY",IF(INT($O614)-TODAY()&lt;=Set_DueSoonDays,"DUE SOON",""))),IF(AND($M614="Applied",$AA614=""),IF(ISNUMBER($C614),IF(TODAY()-$C614&gt;=Set_FollowUpDays,"NO RESPONSE",""),""),"")))</f>
        <v/>
      </c>
      <c r="AD614" s="87">
        <f>IF(ISNUMBER($L614),IF($L614&gt;=90,"Excellent Match",IF($L614&gt;=75,"Strong Match",IF($L614&gt;=60,"Moderate Match","Low Match"))),"")</f>
        <v/>
      </c>
      <c r="AE614" s="87">
        <f>IF($D614="","",IF(OR($M614="Rejected",$M614="Withdrawn"),IF($AB614&lt;&gt;"",$AB614,IF(OR($M614="Rejected",ISNUMBER($C614)),"Applied","Wishlist")),IF($M614="",IF(ISNUMBER($C614),"Applied","Wishlist"),$M614)))</f>
        <v/>
      </c>
      <c r="AF614" s="88">
        <f>IF(AND(ISNUMBER($C614),ISNUMBER($AA614)),$AA614-$C614,"")</f>
        <v/>
      </c>
      <c r="AG614" s="87">
        <f>IF($AE614="","",IFERROR(MATCH($AE614,{"Wishlist","Applied","Screening","Interview 1","Interview 2","Final","Offer","Accepted"},0)-1,""))</f>
        <v/>
      </c>
      <c r="AH614" s="87">
        <f>IF($AC614="","",MATCH($AC614,{"FOLLOW UP REQUIRED","ACTION DUE TODAY","NO RESPONSE","DUE SOON"},0)*100000+IF(ISNUMBER($O614),$O614,IF(ISNUMBER($C614),$C614,0))+ROW()/10000)</f>
        <v/>
      </c>
      <c r="AI614" s="87">
        <f>IF(AND(ISNUMBER($AG614),$AG614&gt;=1,$AG614&lt;=6,$M614&lt;&gt;"Rejected",$M614&lt;&gt;"Withdrawn"),(10-$AG614)*100000+IF(ISNUMBER($C614),$C614,0)+ROW()/10000,"")</f>
        <v/>
      </c>
    </row>
    <row r="615">
      <c r="A615" s="80" t="n"/>
      <c r="B615" s="81" t="n"/>
      <c r="C615" s="81" t="n"/>
      <c r="D615" s="82" t="n"/>
      <c r="E615" s="82" t="n"/>
      <c r="F615" s="82" t="n"/>
      <c r="G615" s="82" t="n"/>
      <c r="H615" s="82" t="n"/>
      <c r="I615" s="83" t="n"/>
      <c r="J615" s="82" t="n"/>
      <c r="K615" s="84" t="n"/>
      <c r="L615" s="85" t="n"/>
      <c r="M615" s="82" t="n"/>
      <c r="N615" s="86" t="n"/>
      <c r="O615" s="81" t="n"/>
      <c r="P615" s="82" t="n"/>
      <c r="Q615" s="83" t="n"/>
      <c r="R615" s="82" t="n"/>
      <c r="S615" s="84" t="n"/>
      <c r="T615" s="84" t="n"/>
      <c r="U615" s="82" t="n"/>
      <c r="V615" s="86" t="n"/>
      <c r="W615" s="86" t="n"/>
      <c r="X615" s="86" t="n"/>
      <c r="Y615" s="81" t="n"/>
      <c r="Z615" s="82" t="n"/>
      <c r="AA615" s="81" t="n"/>
      <c r="AB615" s="82" t="n"/>
      <c r="AC615" s="87">
        <f>IF(OR($D615="",$M615="Rejected",$M615="Withdrawn",$M615="Accepted"),"",IF(ISNUMBER($O615),IF(INT($O615)&lt;TODAY(),"FOLLOW UP REQUIRED",IF(INT($O615)=TODAY(),"ACTION DUE TODAY",IF(INT($O615)-TODAY()&lt;=Set_DueSoonDays,"DUE SOON",""))),IF(AND($M615="Applied",$AA615=""),IF(ISNUMBER($C615),IF(TODAY()-$C615&gt;=Set_FollowUpDays,"NO RESPONSE",""),""),"")))</f>
        <v/>
      </c>
      <c r="AD615" s="87">
        <f>IF(ISNUMBER($L615),IF($L615&gt;=90,"Excellent Match",IF($L615&gt;=75,"Strong Match",IF($L615&gt;=60,"Moderate Match","Low Match"))),"")</f>
        <v/>
      </c>
      <c r="AE615" s="87">
        <f>IF($D615="","",IF(OR($M615="Rejected",$M615="Withdrawn"),IF($AB615&lt;&gt;"",$AB615,IF(OR($M615="Rejected",ISNUMBER($C615)),"Applied","Wishlist")),IF($M615="",IF(ISNUMBER($C615),"Applied","Wishlist"),$M615)))</f>
        <v/>
      </c>
      <c r="AF615" s="88">
        <f>IF(AND(ISNUMBER($C615),ISNUMBER($AA615)),$AA615-$C615,"")</f>
        <v/>
      </c>
      <c r="AG615" s="87">
        <f>IF($AE615="","",IFERROR(MATCH($AE615,{"Wishlist","Applied","Screening","Interview 1","Interview 2","Final","Offer","Accepted"},0)-1,""))</f>
        <v/>
      </c>
      <c r="AH615" s="87">
        <f>IF($AC615="","",MATCH($AC615,{"FOLLOW UP REQUIRED","ACTION DUE TODAY","NO RESPONSE","DUE SOON"},0)*100000+IF(ISNUMBER($O615),$O615,IF(ISNUMBER($C615),$C615,0))+ROW()/10000)</f>
        <v/>
      </c>
      <c r="AI615" s="87">
        <f>IF(AND(ISNUMBER($AG615),$AG615&gt;=1,$AG615&lt;=6,$M615&lt;&gt;"Rejected",$M615&lt;&gt;"Withdrawn"),(10-$AG615)*100000+IF(ISNUMBER($C615),$C615,0)+ROW()/10000,"")</f>
        <v/>
      </c>
    </row>
    <row r="616">
      <c r="A616" s="80" t="n"/>
      <c r="B616" s="81" t="n"/>
      <c r="C616" s="81" t="n"/>
      <c r="D616" s="82" t="n"/>
      <c r="E616" s="82" t="n"/>
      <c r="F616" s="82" t="n"/>
      <c r="G616" s="82" t="n"/>
      <c r="H616" s="82" t="n"/>
      <c r="I616" s="83" t="n"/>
      <c r="J616" s="82" t="n"/>
      <c r="K616" s="84" t="n"/>
      <c r="L616" s="85" t="n"/>
      <c r="M616" s="82" t="n"/>
      <c r="N616" s="86" t="n"/>
      <c r="O616" s="81" t="n"/>
      <c r="P616" s="82" t="n"/>
      <c r="Q616" s="83" t="n"/>
      <c r="R616" s="82" t="n"/>
      <c r="S616" s="84" t="n"/>
      <c r="T616" s="84" t="n"/>
      <c r="U616" s="82" t="n"/>
      <c r="V616" s="86" t="n"/>
      <c r="W616" s="86" t="n"/>
      <c r="X616" s="86" t="n"/>
      <c r="Y616" s="81" t="n"/>
      <c r="Z616" s="82" t="n"/>
      <c r="AA616" s="81" t="n"/>
      <c r="AB616" s="82" t="n"/>
      <c r="AC616" s="87">
        <f>IF(OR($D616="",$M616="Rejected",$M616="Withdrawn",$M616="Accepted"),"",IF(ISNUMBER($O616),IF(INT($O616)&lt;TODAY(),"FOLLOW UP REQUIRED",IF(INT($O616)=TODAY(),"ACTION DUE TODAY",IF(INT($O616)-TODAY()&lt;=Set_DueSoonDays,"DUE SOON",""))),IF(AND($M616="Applied",$AA616=""),IF(ISNUMBER($C616),IF(TODAY()-$C616&gt;=Set_FollowUpDays,"NO RESPONSE",""),""),"")))</f>
        <v/>
      </c>
      <c r="AD616" s="87">
        <f>IF(ISNUMBER($L616),IF($L616&gt;=90,"Excellent Match",IF($L616&gt;=75,"Strong Match",IF($L616&gt;=60,"Moderate Match","Low Match"))),"")</f>
        <v/>
      </c>
      <c r="AE616" s="87">
        <f>IF($D616="","",IF(OR($M616="Rejected",$M616="Withdrawn"),IF($AB616&lt;&gt;"",$AB616,IF(OR($M616="Rejected",ISNUMBER($C616)),"Applied","Wishlist")),IF($M616="",IF(ISNUMBER($C616),"Applied","Wishlist"),$M616)))</f>
        <v/>
      </c>
      <c r="AF616" s="88">
        <f>IF(AND(ISNUMBER($C616),ISNUMBER($AA616)),$AA616-$C616,"")</f>
        <v/>
      </c>
      <c r="AG616" s="87">
        <f>IF($AE616="","",IFERROR(MATCH($AE616,{"Wishlist","Applied","Screening","Interview 1","Interview 2","Final","Offer","Accepted"},0)-1,""))</f>
        <v/>
      </c>
      <c r="AH616" s="87">
        <f>IF($AC616="","",MATCH($AC616,{"FOLLOW UP REQUIRED","ACTION DUE TODAY","NO RESPONSE","DUE SOON"},0)*100000+IF(ISNUMBER($O616),$O616,IF(ISNUMBER($C616),$C616,0))+ROW()/10000)</f>
        <v/>
      </c>
      <c r="AI616" s="87">
        <f>IF(AND(ISNUMBER($AG616),$AG616&gt;=1,$AG616&lt;=6,$M616&lt;&gt;"Rejected",$M616&lt;&gt;"Withdrawn"),(10-$AG616)*100000+IF(ISNUMBER($C616),$C616,0)+ROW()/10000,"")</f>
        <v/>
      </c>
    </row>
    <row r="617">
      <c r="A617" s="80" t="n"/>
      <c r="B617" s="81" t="n"/>
      <c r="C617" s="81" t="n"/>
      <c r="D617" s="82" t="n"/>
      <c r="E617" s="82" t="n"/>
      <c r="F617" s="82" t="n"/>
      <c r="G617" s="82" t="n"/>
      <c r="H617" s="82" t="n"/>
      <c r="I617" s="83" t="n"/>
      <c r="J617" s="82" t="n"/>
      <c r="K617" s="84" t="n"/>
      <c r="L617" s="85" t="n"/>
      <c r="M617" s="82" t="n"/>
      <c r="N617" s="86" t="n"/>
      <c r="O617" s="81" t="n"/>
      <c r="P617" s="82" t="n"/>
      <c r="Q617" s="83" t="n"/>
      <c r="R617" s="82" t="n"/>
      <c r="S617" s="84" t="n"/>
      <c r="T617" s="84" t="n"/>
      <c r="U617" s="82" t="n"/>
      <c r="V617" s="86" t="n"/>
      <c r="W617" s="86" t="n"/>
      <c r="X617" s="86" t="n"/>
      <c r="Y617" s="81" t="n"/>
      <c r="Z617" s="82" t="n"/>
      <c r="AA617" s="81" t="n"/>
      <c r="AB617" s="82" t="n"/>
      <c r="AC617" s="87">
        <f>IF(OR($D617="",$M617="Rejected",$M617="Withdrawn",$M617="Accepted"),"",IF(ISNUMBER($O617),IF(INT($O617)&lt;TODAY(),"FOLLOW UP REQUIRED",IF(INT($O617)=TODAY(),"ACTION DUE TODAY",IF(INT($O617)-TODAY()&lt;=Set_DueSoonDays,"DUE SOON",""))),IF(AND($M617="Applied",$AA617=""),IF(ISNUMBER($C617),IF(TODAY()-$C617&gt;=Set_FollowUpDays,"NO RESPONSE",""),""),"")))</f>
        <v/>
      </c>
      <c r="AD617" s="87">
        <f>IF(ISNUMBER($L617),IF($L617&gt;=90,"Excellent Match",IF($L617&gt;=75,"Strong Match",IF($L617&gt;=60,"Moderate Match","Low Match"))),"")</f>
        <v/>
      </c>
      <c r="AE617" s="87">
        <f>IF($D617="","",IF(OR($M617="Rejected",$M617="Withdrawn"),IF($AB617&lt;&gt;"",$AB617,IF(OR($M617="Rejected",ISNUMBER($C617)),"Applied","Wishlist")),IF($M617="",IF(ISNUMBER($C617),"Applied","Wishlist"),$M617)))</f>
        <v/>
      </c>
      <c r="AF617" s="88">
        <f>IF(AND(ISNUMBER($C617),ISNUMBER($AA617)),$AA617-$C617,"")</f>
        <v/>
      </c>
      <c r="AG617" s="87">
        <f>IF($AE617="","",IFERROR(MATCH($AE617,{"Wishlist","Applied","Screening","Interview 1","Interview 2","Final","Offer","Accepted"},0)-1,""))</f>
        <v/>
      </c>
      <c r="AH617" s="87">
        <f>IF($AC617="","",MATCH($AC617,{"FOLLOW UP REQUIRED","ACTION DUE TODAY","NO RESPONSE","DUE SOON"},0)*100000+IF(ISNUMBER($O617),$O617,IF(ISNUMBER($C617),$C617,0))+ROW()/10000)</f>
        <v/>
      </c>
      <c r="AI617" s="87">
        <f>IF(AND(ISNUMBER($AG617),$AG617&gt;=1,$AG617&lt;=6,$M617&lt;&gt;"Rejected",$M617&lt;&gt;"Withdrawn"),(10-$AG617)*100000+IF(ISNUMBER($C617),$C617,0)+ROW()/10000,"")</f>
        <v/>
      </c>
    </row>
    <row r="618">
      <c r="A618" s="80" t="n"/>
      <c r="B618" s="81" t="n"/>
      <c r="C618" s="81" t="n"/>
      <c r="D618" s="82" t="n"/>
      <c r="E618" s="82" t="n"/>
      <c r="F618" s="82" t="n"/>
      <c r="G618" s="82" t="n"/>
      <c r="H618" s="82" t="n"/>
      <c r="I618" s="83" t="n"/>
      <c r="J618" s="82" t="n"/>
      <c r="K618" s="84" t="n"/>
      <c r="L618" s="85" t="n"/>
      <c r="M618" s="82" t="n"/>
      <c r="N618" s="86" t="n"/>
      <c r="O618" s="81" t="n"/>
      <c r="P618" s="82" t="n"/>
      <c r="Q618" s="83" t="n"/>
      <c r="R618" s="82" t="n"/>
      <c r="S618" s="84" t="n"/>
      <c r="T618" s="84" t="n"/>
      <c r="U618" s="82" t="n"/>
      <c r="V618" s="86" t="n"/>
      <c r="W618" s="86" t="n"/>
      <c r="X618" s="86" t="n"/>
      <c r="Y618" s="81" t="n"/>
      <c r="Z618" s="82" t="n"/>
      <c r="AA618" s="81" t="n"/>
      <c r="AB618" s="82" t="n"/>
      <c r="AC618" s="87">
        <f>IF(OR($D618="",$M618="Rejected",$M618="Withdrawn",$M618="Accepted"),"",IF(ISNUMBER($O618),IF(INT($O618)&lt;TODAY(),"FOLLOW UP REQUIRED",IF(INT($O618)=TODAY(),"ACTION DUE TODAY",IF(INT($O618)-TODAY()&lt;=Set_DueSoonDays,"DUE SOON",""))),IF(AND($M618="Applied",$AA618=""),IF(ISNUMBER($C618),IF(TODAY()-$C618&gt;=Set_FollowUpDays,"NO RESPONSE",""),""),"")))</f>
        <v/>
      </c>
      <c r="AD618" s="87">
        <f>IF(ISNUMBER($L618),IF($L618&gt;=90,"Excellent Match",IF($L618&gt;=75,"Strong Match",IF($L618&gt;=60,"Moderate Match","Low Match"))),"")</f>
        <v/>
      </c>
      <c r="AE618" s="87">
        <f>IF($D618="","",IF(OR($M618="Rejected",$M618="Withdrawn"),IF($AB618&lt;&gt;"",$AB618,IF(OR($M618="Rejected",ISNUMBER($C618)),"Applied","Wishlist")),IF($M618="",IF(ISNUMBER($C618),"Applied","Wishlist"),$M618)))</f>
        <v/>
      </c>
      <c r="AF618" s="88">
        <f>IF(AND(ISNUMBER($C618),ISNUMBER($AA618)),$AA618-$C618,"")</f>
        <v/>
      </c>
      <c r="AG618" s="87">
        <f>IF($AE618="","",IFERROR(MATCH($AE618,{"Wishlist","Applied","Screening","Interview 1","Interview 2","Final","Offer","Accepted"},0)-1,""))</f>
        <v/>
      </c>
      <c r="AH618" s="87">
        <f>IF($AC618="","",MATCH($AC618,{"FOLLOW UP REQUIRED","ACTION DUE TODAY","NO RESPONSE","DUE SOON"},0)*100000+IF(ISNUMBER($O618),$O618,IF(ISNUMBER($C618),$C618,0))+ROW()/10000)</f>
        <v/>
      </c>
      <c r="AI618" s="87">
        <f>IF(AND(ISNUMBER($AG618),$AG618&gt;=1,$AG618&lt;=6,$M618&lt;&gt;"Rejected",$M618&lt;&gt;"Withdrawn"),(10-$AG618)*100000+IF(ISNUMBER($C618),$C618,0)+ROW()/10000,"")</f>
        <v/>
      </c>
    </row>
    <row r="619">
      <c r="A619" s="80" t="n"/>
      <c r="B619" s="81" t="n"/>
      <c r="C619" s="81" t="n"/>
      <c r="D619" s="82" t="n"/>
      <c r="E619" s="82" t="n"/>
      <c r="F619" s="82" t="n"/>
      <c r="G619" s="82" t="n"/>
      <c r="H619" s="82" t="n"/>
      <c r="I619" s="83" t="n"/>
      <c r="J619" s="82" t="n"/>
      <c r="K619" s="84" t="n"/>
      <c r="L619" s="85" t="n"/>
      <c r="M619" s="82" t="n"/>
      <c r="N619" s="86" t="n"/>
      <c r="O619" s="81" t="n"/>
      <c r="P619" s="82" t="n"/>
      <c r="Q619" s="83" t="n"/>
      <c r="R619" s="82" t="n"/>
      <c r="S619" s="84" t="n"/>
      <c r="T619" s="84" t="n"/>
      <c r="U619" s="82" t="n"/>
      <c r="V619" s="86" t="n"/>
      <c r="W619" s="86" t="n"/>
      <c r="X619" s="86" t="n"/>
      <c r="Y619" s="81" t="n"/>
      <c r="Z619" s="82" t="n"/>
      <c r="AA619" s="81" t="n"/>
      <c r="AB619" s="82" t="n"/>
      <c r="AC619" s="87">
        <f>IF(OR($D619="",$M619="Rejected",$M619="Withdrawn",$M619="Accepted"),"",IF(ISNUMBER($O619),IF(INT($O619)&lt;TODAY(),"FOLLOW UP REQUIRED",IF(INT($O619)=TODAY(),"ACTION DUE TODAY",IF(INT($O619)-TODAY()&lt;=Set_DueSoonDays,"DUE SOON",""))),IF(AND($M619="Applied",$AA619=""),IF(ISNUMBER($C619),IF(TODAY()-$C619&gt;=Set_FollowUpDays,"NO RESPONSE",""),""),"")))</f>
        <v/>
      </c>
      <c r="AD619" s="87">
        <f>IF(ISNUMBER($L619),IF($L619&gt;=90,"Excellent Match",IF($L619&gt;=75,"Strong Match",IF($L619&gt;=60,"Moderate Match","Low Match"))),"")</f>
        <v/>
      </c>
      <c r="AE619" s="87">
        <f>IF($D619="","",IF(OR($M619="Rejected",$M619="Withdrawn"),IF($AB619&lt;&gt;"",$AB619,IF(OR($M619="Rejected",ISNUMBER($C619)),"Applied","Wishlist")),IF($M619="",IF(ISNUMBER($C619),"Applied","Wishlist"),$M619)))</f>
        <v/>
      </c>
      <c r="AF619" s="88">
        <f>IF(AND(ISNUMBER($C619),ISNUMBER($AA619)),$AA619-$C619,"")</f>
        <v/>
      </c>
      <c r="AG619" s="87">
        <f>IF($AE619="","",IFERROR(MATCH($AE619,{"Wishlist","Applied","Screening","Interview 1","Interview 2","Final","Offer","Accepted"},0)-1,""))</f>
        <v/>
      </c>
      <c r="AH619" s="87">
        <f>IF($AC619="","",MATCH($AC619,{"FOLLOW UP REQUIRED","ACTION DUE TODAY","NO RESPONSE","DUE SOON"},0)*100000+IF(ISNUMBER($O619),$O619,IF(ISNUMBER($C619),$C619,0))+ROW()/10000)</f>
        <v/>
      </c>
      <c r="AI619" s="87">
        <f>IF(AND(ISNUMBER($AG619),$AG619&gt;=1,$AG619&lt;=6,$M619&lt;&gt;"Rejected",$M619&lt;&gt;"Withdrawn"),(10-$AG619)*100000+IF(ISNUMBER($C619),$C619,0)+ROW()/10000,"")</f>
        <v/>
      </c>
    </row>
    <row r="620">
      <c r="A620" s="80" t="n"/>
      <c r="B620" s="81" t="n"/>
      <c r="C620" s="81" t="n"/>
      <c r="D620" s="82" t="n"/>
      <c r="E620" s="82" t="n"/>
      <c r="F620" s="82" t="n"/>
      <c r="G620" s="82" t="n"/>
      <c r="H620" s="82" t="n"/>
      <c r="I620" s="83" t="n"/>
      <c r="J620" s="82" t="n"/>
      <c r="K620" s="84" t="n"/>
      <c r="L620" s="85" t="n"/>
      <c r="M620" s="82" t="n"/>
      <c r="N620" s="86" t="n"/>
      <c r="O620" s="81" t="n"/>
      <c r="P620" s="82" t="n"/>
      <c r="Q620" s="83" t="n"/>
      <c r="R620" s="82" t="n"/>
      <c r="S620" s="84" t="n"/>
      <c r="T620" s="84" t="n"/>
      <c r="U620" s="82" t="n"/>
      <c r="V620" s="86" t="n"/>
      <c r="W620" s="86" t="n"/>
      <c r="X620" s="86" t="n"/>
      <c r="Y620" s="81" t="n"/>
      <c r="Z620" s="82" t="n"/>
      <c r="AA620" s="81" t="n"/>
      <c r="AB620" s="82" t="n"/>
      <c r="AC620" s="87">
        <f>IF(OR($D620="",$M620="Rejected",$M620="Withdrawn",$M620="Accepted"),"",IF(ISNUMBER($O620),IF(INT($O620)&lt;TODAY(),"FOLLOW UP REQUIRED",IF(INT($O620)=TODAY(),"ACTION DUE TODAY",IF(INT($O620)-TODAY()&lt;=Set_DueSoonDays,"DUE SOON",""))),IF(AND($M620="Applied",$AA620=""),IF(ISNUMBER($C620),IF(TODAY()-$C620&gt;=Set_FollowUpDays,"NO RESPONSE",""),""),"")))</f>
        <v/>
      </c>
      <c r="AD620" s="87">
        <f>IF(ISNUMBER($L620),IF($L620&gt;=90,"Excellent Match",IF($L620&gt;=75,"Strong Match",IF($L620&gt;=60,"Moderate Match","Low Match"))),"")</f>
        <v/>
      </c>
      <c r="AE620" s="87">
        <f>IF($D620="","",IF(OR($M620="Rejected",$M620="Withdrawn"),IF($AB620&lt;&gt;"",$AB620,IF(OR($M620="Rejected",ISNUMBER($C620)),"Applied","Wishlist")),IF($M620="",IF(ISNUMBER($C620),"Applied","Wishlist"),$M620)))</f>
        <v/>
      </c>
      <c r="AF620" s="88">
        <f>IF(AND(ISNUMBER($C620),ISNUMBER($AA620)),$AA620-$C620,"")</f>
        <v/>
      </c>
      <c r="AG620" s="87">
        <f>IF($AE620="","",IFERROR(MATCH($AE620,{"Wishlist","Applied","Screening","Interview 1","Interview 2","Final","Offer","Accepted"},0)-1,""))</f>
        <v/>
      </c>
      <c r="AH620" s="87">
        <f>IF($AC620="","",MATCH($AC620,{"FOLLOW UP REQUIRED","ACTION DUE TODAY","NO RESPONSE","DUE SOON"},0)*100000+IF(ISNUMBER($O620),$O620,IF(ISNUMBER($C620),$C620,0))+ROW()/10000)</f>
        <v/>
      </c>
      <c r="AI620" s="87">
        <f>IF(AND(ISNUMBER($AG620),$AG620&gt;=1,$AG620&lt;=6,$M620&lt;&gt;"Rejected",$M620&lt;&gt;"Withdrawn"),(10-$AG620)*100000+IF(ISNUMBER($C620),$C620,0)+ROW()/10000,"")</f>
        <v/>
      </c>
    </row>
    <row r="621">
      <c r="A621" s="80" t="n"/>
      <c r="B621" s="81" t="n"/>
      <c r="C621" s="81" t="n"/>
      <c r="D621" s="82" t="n"/>
      <c r="E621" s="82" t="n"/>
      <c r="F621" s="82" t="n"/>
      <c r="G621" s="82" t="n"/>
      <c r="H621" s="82" t="n"/>
      <c r="I621" s="83" t="n"/>
      <c r="J621" s="82" t="n"/>
      <c r="K621" s="84" t="n"/>
      <c r="L621" s="85" t="n"/>
      <c r="M621" s="82" t="n"/>
      <c r="N621" s="86" t="n"/>
      <c r="O621" s="81" t="n"/>
      <c r="P621" s="82" t="n"/>
      <c r="Q621" s="83" t="n"/>
      <c r="R621" s="82" t="n"/>
      <c r="S621" s="84" t="n"/>
      <c r="T621" s="84" t="n"/>
      <c r="U621" s="82" t="n"/>
      <c r="V621" s="86" t="n"/>
      <c r="W621" s="86" t="n"/>
      <c r="X621" s="86" t="n"/>
      <c r="Y621" s="81" t="n"/>
      <c r="Z621" s="82" t="n"/>
      <c r="AA621" s="81" t="n"/>
      <c r="AB621" s="82" t="n"/>
      <c r="AC621" s="87">
        <f>IF(OR($D621="",$M621="Rejected",$M621="Withdrawn",$M621="Accepted"),"",IF(ISNUMBER($O621),IF(INT($O621)&lt;TODAY(),"FOLLOW UP REQUIRED",IF(INT($O621)=TODAY(),"ACTION DUE TODAY",IF(INT($O621)-TODAY()&lt;=Set_DueSoonDays,"DUE SOON",""))),IF(AND($M621="Applied",$AA621=""),IF(ISNUMBER($C621),IF(TODAY()-$C621&gt;=Set_FollowUpDays,"NO RESPONSE",""),""),"")))</f>
        <v/>
      </c>
      <c r="AD621" s="87">
        <f>IF(ISNUMBER($L621),IF($L621&gt;=90,"Excellent Match",IF($L621&gt;=75,"Strong Match",IF($L621&gt;=60,"Moderate Match","Low Match"))),"")</f>
        <v/>
      </c>
      <c r="AE621" s="87">
        <f>IF($D621="","",IF(OR($M621="Rejected",$M621="Withdrawn"),IF($AB621&lt;&gt;"",$AB621,IF(OR($M621="Rejected",ISNUMBER($C621)),"Applied","Wishlist")),IF($M621="",IF(ISNUMBER($C621),"Applied","Wishlist"),$M621)))</f>
        <v/>
      </c>
      <c r="AF621" s="88">
        <f>IF(AND(ISNUMBER($C621),ISNUMBER($AA621)),$AA621-$C621,"")</f>
        <v/>
      </c>
      <c r="AG621" s="87">
        <f>IF($AE621="","",IFERROR(MATCH($AE621,{"Wishlist","Applied","Screening","Interview 1","Interview 2","Final","Offer","Accepted"},0)-1,""))</f>
        <v/>
      </c>
      <c r="AH621" s="87">
        <f>IF($AC621="","",MATCH($AC621,{"FOLLOW UP REQUIRED","ACTION DUE TODAY","NO RESPONSE","DUE SOON"},0)*100000+IF(ISNUMBER($O621),$O621,IF(ISNUMBER($C621),$C621,0))+ROW()/10000)</f>
        <v/>
      </c>
      <c r="AI621" s="87">
        <f>IF(AND(ISNUMBER($AG621),$AG621&gt;=1,$AG621&lt;=6,$M621&lt;&gt;"Rejected",$M621&lt;&gt;"Withdrawn"),(10-$AG621)*100000+IF(ISNUMBER($C621),$C621,0)+ROW()/10000,"")</f>
        <v/>
      </c>
    </row>
    <row r="622">
      <c r="A622" s="80" t="n"/>
      <c r="B622" s="81" t="n"/>
      <c r="C622" s="81" t="n"/>
      <c r="D622" s="82" t="n"/>
      <c r="E622" s="82" t="n"/>
      <c r="F622" s="82" t="n"/>
      <c r="G622" s="82" t="n"/>
      <c r="H622" s="82" t="n"/>
      <c r="I622" s="83" t="n"/>
      <c r="J622" s="82" t="n"/>
      <c r="K622" s="84" t="n"/>
      <c r="L622" s="85" t="n"/>
      <c r="M622" s="82" t="n"/>
      <c r="N622" s="86" t="n"/>
      <c r="O622" s="81" t="n"/>
      <c r="P622" s="82" t="n"/>
      <c r="Q622" s="83" t="n"/>
      <c r="R622" s="82" t="n"/>
      <c r="S622" s="84" t="n"/>
      <c r="T622" s="84" t="n"/>
      <c r="U622" s="82" t="n"/>
      <c r="V622" s="86" t="n"/>
      <c r="W622" s="86" t="n"/>
      <c r="X622" s="86" t="n"/>
      <c r="Y622" s="81" t="n"/>
      <c r="Z622" s="82" t="n"/>
      <c r="AA622" s="81" t="n"/>
      <c r="AB622" s="82" t="n"/>
      <c r="AC622" s="87">
        <f>IF(OR($D622="",$M622="Rejected",$M622="Withdrawn",$M622="Accepted"),"",IF(ISNUMBER($O622),IF(INT($O622)&lt;TODAY(),"FOLLOW UP REQUIRED",IF(INT($O622)=TODAY(),"ACTION DUE TODAY",IF(INT($O622)-TODAY()&lt;=Set_DueSoonDays,"DUE SOON",""))),IF(AND($M622="Applied",$AA622=""),IF(ISNUMBER($C622),IF(TODAY()-$C622&gt;=Set_FollowUpDays,"NO RESPONSE",""),""),"")))</f>
        <v/>
      </c>
      <c r="AD622" s="87">
        <f>IF(ISNUMBER($L622),IF($L622&gt;=90,"Excellent Match",IF($L622&gt;=75,"Strong Match",IF($L622&gt;=60,"Moderate Match","Low Match"))),"")</f>
        <v/>
      </c>
      <c r="AE622" s="87">
        <f>IF($D622="","",IF(OR($M622="Rejected",$M622="Withdrawn"),IF($AB622&lt;&gt;"",$AB622,IF(OR($M622="Rejected",ISNUMBER($C622)),"Applied","Wishlist")),IF($M622="",IF(ISNUMBER($C622),"Applied","Wishlist"),$M622)))</f>
        <v/>
      </c>
      <c r="AF622" s="88">
        <f>IF(AND(ISNUMBER($C622),ISNUMBER($AA622)),$AA622-$C622,"")</f>
        <v/>
      </c>
      <c r="AG622" s="87">
        <f>IF($AE622="","",IFERROR(MATCH($AE622,{"Wishlist","Applied","Screening","Interview 1","Interview 2","Final","Offer","Accepted"},0)-1,""))</f>
        <v/>
      </c>
      <c r="AH622" s="87">
        <f>IF($AC622="","",MATCH($AC622,{"FOLLOW UP REQUIRED","ACTION DUE TODAY","NO RESPONSE","DUE SOON"},0)*100000+IF(ISNUMBER($O622),$O622,IF(ISNUMBER($C622),$C622,0))+ROW()/10000)</f>
        <v/>
      </c>
      <c r="AI622" s="87">
        <f>IF(AND(ISNUMBER($AG622),$AG622&gt;=1,$AG622&lt;=6,$M622&lt;&gt;"Rejected",$M622&lt;&gt;"Withdrawn"),(10-$AG622)*100000+IF(ISNUMBER($C622),$C622,0)+ROW()/10000,"")</f>
        <v/>
      </c>
    </row>
    <row r="623">
      <c r="A623" s="80" t="n"/>
      <c r="B623" s="81" t="n"/>
      <c r="C623" s="81" t="n"/>
      <c r="D623" s="82" t="n"/>
      <c r="E623" s="82" t="n"/>
      <c r="F623" s="82" t="n"/>
      <c r="G623" s="82" t="n"/>
      <c r="H623" s="82" t="n"/>
      <c r="I623" s="83" t="n"/>
      <c r="J623" s="82" t="n"/>
      <c r="K623" s="84" t="n"/>
      <c r="L623" s="85" t="n"/>
      <c r="M623" s="82" t="n"/>
      <c r="N623" s="86" t="n"/>
      <c r="O623" s="81" t="n"/>
      <c r="P623" s="82" t="n"/>
      <c r="Q623" s="83" t="n"/>
      <c r="R623" s="82" t="n"/>
      <c r="S623" s="84" t="n"/>
      <c r="T623" s="84" t="n"/>
      <c r="U623" s="82" t="n"/>
      <c r="V623" s="86" t="n"/>
      <c r="W623" s="86" t="n"/>
      <c r="X623" s="86" t="n"/>
      <c r="Y623" s="81" t="n"/>
      <c r="Z623" s="82" t="n"/>
      <c r="AA623" s="81" t="n"/>
      <c r="AB623" s="82" t="n"/>
      <c r="AC623" s="87">
        <f>IF(OR($D623="",$M623="Rejected",$M623="Withdrawn",$M623="Accepted"),"",IF(ISNUMBER($O623),IF(INT($O623)&lt;TODAY(),"FOLLOW UP REQUIRED",IF(INT($O623)=TODAY(),"ACTION DUE TODAY",IF(INT($O623)-TODAY()&lt;=Set_DueSoonDays,"DUE SOON",""))),IF(AND($M623="Applied",$AA623=""),IF(ISNUMBER($C623),IF(TODAY()-$C623&gt;=Set_FollowUpDays,"NO RESPONSE",""),""),"")))</f>
        <v/>
      </c>
      <c r="AD623" s="87">
        <f>IF(ISNUMBER($L623),IF($L623&gt;=90,"Excellent Match",IF($L623&gt;=75,"Strong Match",IF($L623&gt;=60,"Moderate Match","Low Match"))),"")</f>
        <v/>
      </c>
      <c r="AE623" s="87">
        <f>IF($D623="","",IF(OR($M623="Rejected",$M623="Withdrawn"),IF($AB623&lt;&gt;"",$AB623,IF(OR($M623="Rejected",ISNUMBER($C623)),"Applied","Wishlist")),IF($M623="",IF(ISNUMBER($C623),"Applied","Wishlist"),$M623)))</f>
        <v/>
      </c>
      <c r="AF623" s="88">
        <f>IF(AND(ISNUMBER($C623),ISNUMBER($AA623)),$AA623-$C623,"")</f>
        <v/>
      </c>
      <c r="AG623" s="87">
        <f>IF($AE623="","",IFERROR(MATCH($AE623,{"Wishlist","Applied","Screening","Interview 1","Interview 2","Final","Offer","Accepted"},0)-1,""))</f>
        <v/>
      </c>
      <c r="AH623" s="87">
        <f>IF($AC623="","",MATCH($AC623,{"FOLLOW UP REQUIRED","ACTION DUE TODAY","NO RESPONSE","DUE SOON"},0)*100000+IF(ISNUMBER($O623),$O623,IF(ISNUMBER($C623),$C623,0))+ROW()/10000)</f>
        <v/>
      </c>
      <c r="AI623" s="87">
        <f>IF(AND(ISNUMBER($AG623),$AG623&gt;=1,$AG623&lt;=6,$M623&lt;&gt;"Rejected",$M623&lt;&gt;"Withdrawn"),(10-$AG623)*100000+IF(ISNUMBER($C623),$C623,0)+ROW()/10000,"")</f>
        <v/>
      </c>
    </row>
    <row r="624">
      <c r="A624" s="80" t="n"/>
      <c r="B624" s="81" t="n"/>
      <c r="C624" s="81" t="n"/>
      <c r="D624" s="82" t="n"/>
      <c r="E624" s="82" t="n"/>
      <c r="F624" s="82" t="n"/>
      <c r="G624" s="82" t="n"/>
      <c r="H624" s="82" t="n"/>
      <c r="I624" s="83" t="n"/>
      <c r="J624" s="82" t="n"/>
      <c r="K624" s="84" t="n"/>
      <c r="L624" s="85" t="n"/>
      <c r="M624" s="82" t="n"/>
      <c r="N624" s="86" t="n"/>
      <c r="O624" s="81" t="n"/>
      <c r="P624" s="82" t="n"/>
      <c r="Q624" s="83" t="n"/>
      <c r="R624" s="82" t="n"/>
      <c r="S624" s="84" t="n"/>
      <c r="T624" s="84" t="n"/>
      <c r="U624" s="82" t="n"/>
      <c r="V624" s="86" t="n"/>
      <c r="W624" s="86" t="n"/>
      <c r="X624" s="86" t="n"/>
      <c r="Y624" s="81" t="n"/>
      <c r="Z624" s="82" t="n"/>
      <c r="AA624" s="81" t="n"/>
      <c r="AB624" s="82" t="n"/>
      <c r="AC624" s="87">
        <f>IF(OR($D624="",$M624="Rejected",$M624="Withdrawn",$M624="Accepted"),"",IF(ISNUMBER($O624),IF(INT($O624)&lt;TODAY(),"FOLLOW UP REQUIRED",IF(INT($O624)=TODAY(),"ACTION DUE TODAY",IF(INT($O624)-TODAY()&lt;=Set_DueSoonDays,"DUE SOON",""))),IF(AND($M624="Applied",$AA624=""),IF(ISNUMBER($C624),IF(TODAY()-$C624&gt;=Set_FollowUpDays,"NO RESPONSE",""),""),"")))</f>
        <v/>
      </c>
      <c r="AD624" s="87">
        <f>IF(ISNUMBER($L624),IF($L624&gt;=90,"Excellent Match",IF($L624&gt;=75,"Strong Match",IF($L624&gt;=60,"Moderate Match","Low Match"))),"")</f>
        <v/>
      </c>
      <c r="AE624" s="87">
        <f>IF($D624="","",IF(OR($M624="Rejected",$M624="Withdrawn"),IF($AB624&lt;&gt;"",$AB624,IF(OR($M624="Rejected",ISNUMBER($C624)),"Applied","Wishlist")),IF($M624="",IF(ISNUMBER($C624),"Applied","Wishlist"),$M624)))</f>
        <v/>
      </c>
      <c r="AF624" s="88">
        <f>IF(AND(ISNUMBER($C624),ISNUMBER($AA624)),$AA624-$C624,"")</f>
        <v/>
      </c>
      <c r="AG624" s="87">
        <f>IF($AE624="","",IFERROR(MATCH($AE624,{"Wishlist","Applied","Screening","Interview 1","Interview 2","Final","Offer","Accepted"},0)-1,""))</f>
        <v/>
      </c>
      <c r="AH624" s="87">
        <f>IF($AC624="","",MATCH($AC624,{"FOLLOW UP REQUIRED","ACTION DUE TODAY","NO RESPONSE","DUE SOON"},0)*100000+IF(ISNUMBER($O624),$O624,IF(ISNUMBER($C624),$C624,0))+ROW()/10000)</f>
        <v/>
      </c>
      <c r="AI624" s="87">
        <f>IF(AND(ISNUMBER($AG624),$AG624&gt;=1,$AG624&lt;=6,$M624&lt;&gt;"Rejected",$M624&lt;&gt;"Withdrawn"),(10-$AG624)*100000+IF(ISNUMBER($C624),$C624,0)+ROW()/10000,"")</f>
        <v/>
      </c>
    </row>
    <row r="625">
      <c r="A625" s="80" t="n"/>
      <c r="B625" s="81" t="n"/>
      <c r="C625" s="81" t="n"/>
      <c r="D625" s="82" t="n"/>
      <c r="E625" s="82" t="n"/>
      <c r="F625" s="82" t="n"/>
      <c r="G625" s="82" t="n"/>
      <c r="H625" s="82" t="n"/>
      <c r="I625" s="83" t="n"/>
      <c r="J625" s="82" t="n"/>
      <c r="K625" s="84" t="n"/>
      <c r="L625" s="85" t="n"/>
      <c r="M625" s="82" t="n"/>
      <c r="N625" s="86" t="n"/>
      <c r="O625" s="81" t="n"/>
      <c r="P625" s="82" t="n"/>
      <c r="Q625" s="83" t="n"/>
      <c r="R625" s="82" t="n"/>
      <c r="S625" s="84" t="n"/>
      <c r="T625" s="84" t="n"/>
      <c r="U625" s="82" t="n"/>
      <c r="V625" s="86" t="n"/>
      <c r="W625" s="86" t="n"/>
      <c r="X625" s="86" t="n"/>
      <c r="Y625" s="81" t="n"/>
      <c r="Z625" s="82" t="n"/>
      <c r="AA625" s="81" t="n"/>
      <c r="AB625" s="82" t="n"/>
      <c r="AC625" s="87">
        <f>IF(OR($D625="",$M625="Rejected",$M625="Withdrawn",$M625="Accepted"),"",IF(ISNUMBER($O625),IF(INT($O625)&lt;TODAY(),"FOLLOW UP REQUIRED",IF(INT($O625)=TODAY(),"ACTION DUE TODAY",IF(INT($O625)-TODAY()&lt;=Set_DueSoonDays,"DUE SOON",""))),IF(AND($M625="Applied",$AA625=""),IF(ISNUMBER($C625),IF(TODAY()-$C625&gt;=Set_FollowUpDays,"NO RESPONSE",""),""),"")))</f>
        <v/>
      </c>
      <c r="AD625" s="87">
        <f>IF(ISNUMBER($L625),IF($L625&gt;=90,"Excellent Match",IF($L625&gt;=75,"Strong Match",IF($L625&gt;=60,"Moderate Match","Low Match"))),"")</f>
        <v/>
      </c>
      <c r="AE625" s="87">
        <f>IF($D625="","",IF(OR($M625="Rejected",$M625="Withdrawn"),IF($AB625&lt;&gt;"",$AB625,IF(OR($M625="Rejected",ISNUMBER($C625)),"Applied","Wishlist")),IF($M625="",IF(ISNUMBER($C625),"Applied","Wishlist"),$M625)))</f>
        <v/>
      </c>
      <c r="AF625" s="88">
        <f>IF(AND(ISNUMBER($C625),ISNUMBER($AA625)),$AA625-$C625,"")</f>
        <v/>
      </c>
      <c r="AG625" s="87">
        <f>IF($AE625="","",IFERROR(MATCH($AE625,{"Wishlist","Applied","Screening","Interview 1","Interview 2","Final","Offer","Accepted"},0)-1,""))</f>
        <v/>
      </c>
      <c r="AH625" s="87">
        <f>IF($AC625="","",MATCH($AC625,{"FOLLOW UP REQUIRED","ACTION DUE TODAY","NO RESPONSE","DUE SOON"},0)*100000+IF(ISNUMBER($O625),$O625,IF(ISNUMBER($C625),$C625,0))+ROW()/10000)</f>
        <v/>
      </c>
      <c r="AI625" s="87">
        <f>IF(AND(ISNUMBER($AG625),$AG625&gt;=1,$AG625&lt;=6,$M625&lt;&gt;"Rejected",$M625&lt;&gt;"Withdrawn"),(10-$AG625)*100000+IF(ISNUMBER($C625),$C625,0)+ROW()/10000,"")</f>
        <v/>
      </c>
    </row>
    <row r="626">
      <c r="A626" s="80" t="n"/>
      <c r="B626" s="81" t="n"/>
      <c r="C626" s="81" t="n"/>
      <c r="D626" s="82" t="n"/>
      <c r="E626" s="82" t="n"/>
      <c r="F626" s="82" t="n"/>
      <c r="G626" s="82" t="n"/>
      <c r="H626" s="82" t="n"/>
      <c r="I626" s="83" t="n"/>
      <c r="J626" s="82" t="n"/>
      <c r="K626" s="84" t="n"/>
      <c r="L626" s="85" t="n"/>
      <c r="M626" s="82" t="n"/>
      <c r="N626" s="86" t="n"/>
      <c r="O626" s="81" t="n"/>
      <c r="P626" s="82" t="n"/>
      <c r="Q626" s="83" t="n"/>
      <c r="R626" s="82" t="n"/>
      <c r="S626" s="84" t="n"/>
      <c r="T626" s="84" t="n"/>
      <c r="U626" s="82" t="n"/>
      <c r="V626" s="86" t="n"/>
      <c r="W626" s="86" t="n"/>
      <c r="X626" s="86" t="n"/>
      <c r="Y626" s="81" t="n"/>
      <c r="Z626" s="82" t="n"/>
      <c r="AA626" s="81" t="n"/>
      <c r="AB626" s="82" t="n"/>
      <c r="AC626" s="87">
        <f>IF(OR($D626="",$M626="Rejected",$M626="Withdrawn",$M626="Accepted"),"",IF(ISNUMBER($O626),IF(INT($O626)&lt;TODAY(),"FOLLOW UP REQUIRED",IF(INT($O626)=TODAY(),"ACTION DUE TODAY",IF(INT($O626)-TODAY()&lt;=Set_DueSoonDays,"DUE SOON",""))),IF(AND($M626="Applied",$AA626=""),IF(ISNUMBER($C626),IF(TODAY()-$C626&gt;=Set_FollowUpDays,"NO RESPONSE",""),""),"")))</f>
        <v/>
      </c>
      <c r="AD626" s="87">
        <f>IF(ISNUMBER($L626),IF($L626&gt;=90,"Excellent Match",IF($L626&gt;=75,"Strong Match",IF($L626&gt;=60,"Moderate Match","Low Match"))),"")</f>
        <v/>
      </c>
      <c r="AE626" s="87">
        <f>IF($D626="","",IF(OR($M626="Rejected",$M626="Withdrawn"),IF($AB626&lt;&gt;"",$AB626,IF(OR($M626="Rejected",ISNUMBER($C626)),"Applied","Wishlist")),IF($M626="",IF(ISNUMBER($C626),"Applied","Wishlist"),$M626)))</f>
        <v/>
      </c>
      <c r="AF626" s="88">
        <f>IF(AND(ISNUMBER($C626),ISNUMBER($AA626)),$AA626-$C626,"")</f>
        <v/>
      </c>
      <c r="AG626" s="87">
        <f>IF($AE626="","",IFERROR(MATCH($AE626,{"Wishlist","Applied","Screening","Interview 1","Interview 2","Final","Offer","Accepted"},0)-1,""))</f>
        <v/>
      </c>
      <c r="AH626" s="87">
        <f>IF($AC626="","",MATCH($AC626,{"FOLLOW UP REQUIRED","ACTION DUE TODAY","NO RESPONSE","DUE SOON"},0)*100000+IF(ISNUMBER($O626),$O626,IF(ISNUMBER($C626),$C626,0))+ROW()/10000)</f>
        <v/>
      </c>
      <c r="AI626" s="87">
        <f>IF(AND(ISNUMBER($AG626),$AG626&gt;=1,$AG626&lt;=6,$M626&lt;&gt;"Rejected",$M626&lt;&gt;"Withdrawn"),(10-$AG626)*100000+IF(ISNUMBER($C626),$C626,0)+ROW()/10000,"")</f>
        <v/>
      </c>
    </row>
    <row r="627">
      <c r="A627" s="80" t="n"/>
      <c r="B627" s="81" t="n"/>
      <c r="C627" s="81" t="n"/>
      <c r="D627" s="82" t="n"/>
      <c r="E627" s="82" t="n"/>
      <c r="F627" s="82" t="n"/>
      <c r="G627" s="82" t="n"/>
      <c r="H627" s="82" t="n"/>
      <c r="I627" s="83" t="n"/>
      <c r="J627" s="82" t="n"/>
      <c r="K627" s="84" t="n"/>
      <c r="L627" s="85" t="n"/>
      <c r="M627" s="82" t="n"/>
      <c r="N627" s="86" t="n"/>
      <c r="O627" s="81" t="n"/>
      <c r="P627" s="82" t="n"/>
      <c r="Q627" s="83" t="n"/>
      <c r="R627" s="82" t="n"/>
      <c r="S627" s="84" t="n"/>
      <c r="T627" s="84" t="n"/>
      <c r="U627" s="82" t="n"/>
      <c r="V627" s="86" t="n"/>
      <c r="W627" s="86" t="n"/>
      <c r="X627" s="86" t="n"/>
      <c r="Y627" s="81" t="n"/>
      <c r="Z627" s="82" t="n"/>
      <c r="AA627" s="81" t="n"/>
      <c r="AB627" s="82" t="n"/>
      <c r="AC627" s="87">
        <f>IF(OR($D627="",$M627="Rejected",$M627="Withdrawn",$M627="Accepted"),"",IF(ISNUMBER($O627),IF(INT($O627)&lt;TODAY(),"FOLLOW UP REQUIRED",IF(INT($O627)=TODAY(),"ACTION DUE TODAY",IF(INT($O627)-TODAY()&lt;=Set_DueSoonDays,"DUE SOON",""))),IF(AND($M627="Applied",$AA627=""),IF(ISNUMBER($C627),IF(TODAY()-$C627&gt;=Set_FollowUpDays,"NO RESPONSE",""),""),"")))</f>
        <v/>
      </c>
      <c r="AD627" s="87">
        <f>IF(ISNUMBER($L627),IF($L627&gt;=90,"Excellent Match",IF($L627&gt;=75,"Strong Match",IF($L627&gt;=60,"Moderate Match","Low Match"))),"")</f>
        <v/>
      </c>
      <c r="AE627" s="87">
        <f>IF($D627="","",IF(OR($M627="Rejected",$M627="Withdrawn"),IF($AB627&lt;&gt;"",$AB627,IF(OR($M627="Rejected",ISNUMBER($C627)),"Applied","Wishlist")),IF($M627="",IF(ISNUMBER($C627),"Applied","Wishlist"),$M627)))</f>
        <v/>
      </c>
      <c r="AF627" s="88">
        <f>IF(AND(ISNUMBER($C627),ISNUMBER($AA627)),$AA627-$C627,"")</f>
        <v/>
      </c>
      <c r="AG627" s="87">
        <f>IF($AE627="","",IFERROR(MATCH($AE627,{"Wishlist","Applied","Screening","Interview 1","Interview 2","Final","Offer","Accepted"},0)-1,""))</f>
        <v/>
      </c>
      <c r="AH627" s="87">
        <f>IF($AC627="","",MATCH($AC627,{"FOLLOW UP REQUIRED","ACTION DUE TODAY","NO RESPONSE","DUE SOON"},0)*100000+IF(ISNUMBER($O627),$O627,IF(ISNUMBER($C627),$C627,0))+ROW()/10000)</f>
        <v/>
      </c>
      <c r="AI627" s="87">
        <f>IF(AND(ISNUMBER($AG627),$AG627&gt;=1,$AG627&lt;=6,$M627&lt;&gt;"Rejected",$M627&lt;&gt;"Withdrawn"),(10-$AG627)*100000+IF(ISNUMBER($C627),$C627,0)+ROW()/10000,"")</f>
        <v/>
      </c>
    </row>
    <row r="628">
      <c r="A628" s="80" t="n"/>
      <c r="B628" s="81" t="n"/>
      <c r="C628" s="81" t="n"/>
      <c r="D628" s="82" t="n"/>
      <c r="E628" s="82" t="n"/>
      <c r="F628" s="82" t="n"/>
      <c r="G628" s="82" t="n"/>
      <c r="H628" s="82" t="n"/>
      <c r="I628" s="83" t="n"/>
      <c r="J628" s="82" t="n"/>
      <c r="K628" s="84" t="n"/>
      <c r="L628" s="85" t="n"/>
      <c r="M628" s="82" t="n"/>
      <c r="N628" s="86" t="n"/>
      <c r="O628" s="81" t="n"/>
      <c r="P628" s="82" t="n"/>
      <c r="Q628" s="83" t="n"/>
      <c r="R628" s="82" t="n"/>
      <c r="S628" s="84" t="n"/>
      <c r="T628" s="84" t="n"/>
      <c r="U628" s="82" t="n"/>
      <c r="V628" s="86" t="n"/>
      <c r="W628" s="86" t="n"/>
      <c r="X628" s="86" t="n"/>
      <c r="Y628" s="81" t="n"/>
      <c r="Z628" s="82" t="n"/>
      <c r="AA628" s="81" t="n"/>
      <c r="AB628" s="82" t="n"/>
      <c r="AC628" s="87">
        <f>IF(OR($D628="",$M628="Rejected",$M628="Withdrawn",$M628="Accepted"),"",IF(ISNUMBER($O628),IF(INT($O628)&lt;TODAY(),"FOLLOW UP REQUIRED",IF(INT($O628)=TODAY(),"ACTION DUE TODAY",IF(INT($O628)-TODAY()&lt;=Set_DueSoonDays,"DUE SOON",""))),IF(AND($M628="Applied",$AA628=""),IF(ISNUMBER($C628),IF(TODAY()-$C628&gt;=Set_FollowUpDays,"NO RESPONSE",""),""),"")))</f>
        <v/>
      </c>
      <c r="AD628" s="87">
        <f>IF(ISNUMBER($L628),IF($L628&gt;=90,"Excellent Match",IF($L628&gt;=75,"Strong Match",IF($L628&gt;=60,"Moderate Match","Low Match"))),"")</f>
        <v/>
      </c>
      <c r="AE628" s="87">
        <f>IF($D628="","",IF(OR($M628="Rejected",$M628="Withdrawn"),IF($AB628&lt;&gt;"",$AB628,IF(OR($M628="Rejected",ISNUMBER($C628)),"Applied","Wishlist")),IF($M628="",IF(ISNUMBER($C628),"Applied","Wishlist"),$M628)))</f>
        <v/>
      </c>
      <c r="AF628" s="88">
        <f>IF(AND(ISNUMBER($C628),ISNUMBER($AA628)),$AA628-$C628,"")</f>
        <v/>
      </c>
      <c r="AG628" s="87">
        <f>IF($AE628="","",IFERROR(MATCH($AE628,{"Wishlist","Applied","Screening","Interview 1","Interview 2","Final","Offer","Accepted"},0)-1,""))</f>
        <v/>
      </c>
      <c r="AH628" s="87">
        <f>IF($AC628="","",MATCH($AC628,{"FOLLOW UP REQUIRED","ACTION DUE TODAY","NO RESPONSE","DUE SOON"},0)*100000+IF(ISNUMBER($O628),$O628,IF(ISNUMBER($C628),$C628,0))+ROW()/10000)</f>
        <v/>
      </c>
      <c r="AI628" s="87">
        <f>IF(AND(ISNUMBER($AG628),$AG628&gt;=1,$AG628&lt;=6,$M628&lt;&gt;"Rejected",$M628&lt;&gt;"Withdrawn"),(10-$AG628)*100000+IF(ISNUMBER($C628),$C628,0)+ROW()/10000,"")</f>
        <v/>
      </c>
    </row>
    <row r="629">
      <c r="A629" s="80" t="n"/>
      <c r="B629" s="81" t="n"/>
      <c r="C629" s="81" t="n"/>
      <c r="D629" s="82" t="n"/>
      <c r="E629" s="82" t="n"/>
      <c r="F629" s="82" t="n"/>
      <c r="G629" s="82" t="n"/>
      <c r="H629" s="82" t="n"/>
      <c r="I629" s="83" t="n"/>
      <c r="J629" s="82" t="n"/>
      <c r="K629" s="84" t="n"/>
      <c r="L629" s="85" t="n"/>
      <c r="M629" s="82" t="n"/>
      <c r="N629" s="86" t="n"/>
      <c r="O629" s="81" t="n"/>
      <c r="P629" s="82" t="n"/>
      <c r="Q629" s="83" t="n"/>
      <c r="R629" s="82" t="n"/>
      <c r="S629" s="84" t="n"/>
      <c r="T629" s="84" t="n"/>
      <c r="U629" s="82" t="n"/>
      <c r="V629" s="86" t="n"/>
      <c r="W629" s="86" t="n"/>
      <c r="X629" s="86" t="n"/>
      <c r="Y629" s="81" t="n"/>
      <c r="Z629" s="82" t="n"/>
      <c r="AA629" s="81" t="n"/>
      <c r="AB629" s="82" t="n"/>
      <c r="AC629" s="87">
        <f>IF(OR($D629="",$M629="Rejected",$M629="Withdrawn",$M629="Accepted"),"",IF(ISNUMBER($O629),IF(INT($O629)&lt;TODAY(),"FOLLOW UP REQUIRED",IF(INT($O629)=TODAY(),"ACTION DUE TODAY",IF(INT($O629)-TODAY()&lt;=Set_DueSoonDays,"DUE SOON",""))),IF(AND($M629="Applied",$AA629=""),IF(ISNUMBER($C629),IF(TODAY()-$C629&gt;=Set_FollowUpDays,"NO RESPONSE",""),""),"")))</f>
        <v/>
      </c>
      <c r="AD629" s="87">
        <f>IF(ISNUMBER($L629),IF($L629&gt;=90,"Excellent Match",IF($L629&gt;=75,"Strong Match",IF($L629&gt;=60,"Moderate Match","Low Match"))),"")</f>
        <v/>
      </c>
      <c r="AE629" s="87">
        <f>IF($D629="","",IF(OR($M629="Rejected",$M629="Withdrawn"),IF($AB629&lt;&gt;"",$AB629,IF(OR($M629="Rejected",ISNUMBER($C629)),"Applied","Wishlist")),IF($M629="",IF(ISNUMBER($C629),"Applied","Wishlist"),$M629)))</f>
        <v/>
      </c>
      <c r="AF629" s="88">
        <f>IF(AND(ISNUMBER($C629),ISNUMBER($AA629)),$AA629-$C629,"")</f>
        <v/>
      </c>
      <c r="AG629" s="87">
        <f>IF($AE629="","",IFERROR(MATCH($AE629,{"Wishlist","Applied","Screening","Interview 1","Interview 2","Final","Offer","Accepted"},0)-1,""))</f>
        <v/>
      </c>
      <c r="AH629" s="87">
        <f>IF($AC629="","",MATCH($AC629,{"FOLLOW UP REQUIRED","ACTION DUE TODAY","NO RESPONSE","DUE SOON"},0)*100000+IF(ISNUMBER($O629),$O629,IF(ISNUMBER($C629),$C629,0))+ROW()/10000)</f>
        <v/>
      </c>
      <c r="AI629" s="87">
        <f>IF(AND(ISNUMBER($AG629),$AG629&gt;=1,$AG629&lt;=6,$M629&lt;&gt;"Rejected",$M629&lt;&gt;"Withdrawn"),(10-$AG629)*100000+IF(ISNUMBER($C629),$C629,0)+ROW()/10000,"")</f>
        <v/>
      </c>
    </row>
    <row r="630">
      <c r="A630" s="80" t="n"/>
      <c r="B630" s="81" t="n"/>
      <c r="C630" s="81" t="n"/>
      <c r="D630" s="82" t="n"/>
      <c r="E630" s="82" t="n"/>
      <c r="F630" s="82" t="n"/>
      <c r="G630" s="82" t="n"/>
      <c r="H630" s="82" t="n"/>
      <c r="I630" s="83" t="n"/>
      <c r="J630" s="82" t="n"/>
      <c r="K630" s="84" t="n"/>
      <c r="L630" s="85" t="n"/>
      <c r="M630" s="82" t="n"/>
      <c r="N630" s="86" t="n"/>
      <c r="O630" s="81" t="n"/>
      <c r="P630" s="82" t="n"/>
      <c r="Q630" s="83" t="n"/>
      <c r="R630" s="82" t="n"/>
      <c r="S630" s="84" t="n"/>
      <c r="T630" s="84" t="n"/>
      <c r="U630" s="82" t="n"/>
      <c r="V630" s="86" t="n"/>
      <c r="W630" s="86" t="n"/>
      <c r="X630" s="86" t="n"/>
      <c r="Y630" s="81" t="n"/>
      <c r="Z630" s="82" t="n"/>
      <c r="AA630" s="81" t="n"/>
      <c r="AB630" s="82" t="n"/>
      <c r="AC630" s="87">
        <f>IF(OR($D630="",$M630="Rejected",$M630="Withdrawn",$M630="Accepted"),"",IF(ISNUMBER($O630),IF(INT($O630)&lt;TODAY(),"FOLLOW UP REQUIRED",IF(INT($O630)=TODAY(),"ACTION DUE TODAY",IF(INT($O630)-TODAY()&lt;=Set_DueSoonDays,"DUE SOON",""))),IF(AND($M630="Applied",$AA630=""),IF(ISNUMBER($C630),IF(TODAY()-$C630&gt;=Set_FollowUpDays,"NO RESPONSE",""),""),"")))</f>
        <v/>
      </c>
      <c r="AD630" s="87">
        <f>IF(ISNUMBER($L630),IF($L630&gt;=90,"Excellent Match",IF($L630&gt;=75,"Strong Match",IF($L630&gt;=60,"Moderate Match","Low Match"))),"")</f>
        <v/>
      </c>
      <c r="AE630" s="87">
        <f>IF($D630="","",IF(OR($M630="Rejected",$M630="Withdrawn"),IF($AB630&lt;&gt;"",$AB630,IF(OR($M630="Rejected",ISNUMBER($C630)),"Applied","Wishlist")),IF($M630="",IF(ISNUMBER($C630),"Applied","Wishlist"),$M630)))</f>
        <v/>
      </c>
      <c r="AF630" s="88">
        <f>IF(AND(ISNUMBER($C630),ISNUMBER($AA630)),$AA630-$C630,"")</f>
        <v/>
      </c>
      <c r="AG630" s="87">
        <f>IF($AE630="","",IFERROR(MATCH($AE630,{"Wishlist","Applied","Screening","Interview 1","Interview 2","Final","Offer","Accepted"},0)-1,""))</f>
        <v/>
      </c>
      <c r="AH630" s="87">
        <f>IF($AC630="","",MATCH($AC630,{"FOLLOW UP REQUIRED","ACTION DUE TODAY","NO RESPONSE","DUE SOON"},0)*100000+IF(ISNUMBER($O630),$O630,IF(ISNUMBER($C630),$C630,0))+ROW()/10000)</f>
        <v/>
      </c>
      <c r="AI630" s="87">
        <f>IF(AND(ISNUMBER($AG630),$AG630&gt;=1,$AG630&lt;=6,$M630&lt;&gt;"Rejected",$M630&lt;&gt;"Withdrawn"),(10-$AG630)*100000+IF(ISNUMBER($C630),$C630,0)+ROW()/10000,"")</f>
        <v/>
      </c>
    </row>
    <row r="631">
      <c r="A631" s="80" t="n"/>
      <c r="B631" s="81" t="n"/>
      <c r="C631" s="81" t="n"/>
      <c r="D631" s="82" t="n"/>
      <c r="E631" s="82" t="n"/>
      <c r="F631" s="82" t="n"/>
      <c r="G631" s="82" t="n"/>
      <c r="H631" s="82" t="n"/>
      <c r="I631" s="83" t="n"/>
      <c r="J631" s="82" t="n"/>
      <c r="K631" s="84" t="n"/>
      <c r="L631" s="85" t="n"/>
      <c r="M631" s="82" t="n"/>
      <c r="N631" s="86" t="n"/>
      <c r="O631" s="81" t="n"/>
      <c r="P631" s="82" t="n"/>
      <c r="Q631" s="83" t="n"/>
      <c r="R631" s="82" t="n"/>
      <c r="S631" s="84" t="n"/>
      <c r="T631" s="84" t="n"/>
      <c r="U631" s="82" t="n"/>
      <c r="V631" s="86" t="n"/>
      <c r="W631" s="86" t="n"/>
      <c r="X631" s="86" t="n"/>
      <c r="Y631" s="81" t="n"/>
      <c r="Z631" s="82" t="n"/>
      <c r="AA631" s="81" t="n"/>
      <c r="AB631" s="82" t="n"/>
      <c r="AC631" s="87">
        <f>IF(OR($D631="",$M631="Rejected",$M631="Withdrawn",$M631="Accepted"),"",IF(ISNUMBER($O631),IF(INT($O631)&lt;TODAY(),"FOLLOW UP REQUIRED",IF(INT($O631)=TODAY(),"ACTION DUE TODAY",IF(INT($O631)-TODAY()&lt;=Set_DueSoonDays,"DUE SOON",""))),IF(AND($M631="Applied",$AA631=""),IF(ISNUMBER($C631),IF(TODAY()-$C631&gt;=Set_FollowUpDays,"NO RESPONSE",""),""),"")))</f>
        <v/>
      </c>
      <c r="AD631" s="87">
        <f>IF(ISNUMBER($L631),IF($L631&gt;=90,"Excellent Match",IF($L631&gt;=75,"Strong Match",IF($L631&gt;=60,"Moderate Match","Low Match"))),"")</f>
        <v/>
      </c>
      <c r="AE631" s="87">
        <f>IF($D631="","",IF(OR($M631="Rejected",$M631="Withdrawn"),IF($AB631&lt;&gt;"",$AB631,IF(OR($M631="Rejected",ISNUMBER($C631)),"Applied","Wishlist")),IF($M631="",IF(ISNUMBER($C631),"Applied","Wishlist"),$M631)))</f>
        <v/>
      </c>
      <c r="AF631" s="88">
        <f>IF(AND(ISNUMBER($C631),ISNUMBER($AA631)),$AA631-$C631,"")</f>
        <v/>
      </c>
      <c r="AG631" s="87">
        <f>IF($AE631="","",IFERROR(MATCH($AE631,{"Wishlist","Applied","Screening","Interview 1","Interview 2","Final","Offer","Accepted"},0)-1,""))</f>
        <v/>
      </c>
      <c r="AH631" s="87">
        <f>IF($AC631="","",MATCH($AC631,{"FOLLOW UP REQUIRED","ACTION DUE TODAY","NO RESPONSE","DUE SOON"},0)*100000+IF(ISNUMBER($O631),$O631,IF(ISNUMBER($C631),$C631,0))+ROW()/10000)</f>
        <v/>
      </c>
      <c r="AI631" s="87">
        <f>IF(AND(ISNUMBER($AG631),$AG631&gt;=1,$AG631&lt;=6,$M631&lt;&gt;"Rejected",$M631&lt;&gt;"Withdrawn"),(10-$AG631)*100000+IF(ISNUMBER($C631),$C631,0)+ROW()/10000,"")</f>
        <v/>
      </c>
    </row>
    <row r="632">
      <c r="A632" s="80" t="n"/>
      <c r="B632" s="81" t="n"/>
      <c r="C632" s="81" t="n"/>
      <c r="D632" s="82" t="n"/>
      <c r="E632" s="82" t="n"/>
      <c r="F632" s="82" t="n"/>
      <c r="G632" s="82" t="n"/>
      <c r="H632" s="82" t="n"/>
      <c r="I632" s="83" t="n"/>
      <c r="J632" s="82" t="n"/>
      <c r="K632" s="84" t="n"/>
      <c r="L632" s="85" t="n"/>
      <c r="M632" s="82" t="n"/>
      <c r="N632" s="86" t="n"/>
      <c r="O632" s="81" t="n"/>
      <c r="P632" s="82" t="n"/>
      <c r="Q632" s="83" t="n"/>
      <c r="R632" s="82" t="n"/>
      <c r="S632" s="84" t="n"/>
      <c r="T632" s="84" t="n"/>
      <c r="U632" s="82" t="n"/>
      <c r="V632" s="86" t="n"/>
      <c r="W632" s="86" t="n"/>
      <c r="X632" s="86" t="n"/>
      <c r="Y632" s="81" t="n"/>
      <c r="Z632" s="82" t="n"/>
      <c r="AA632" s="81" t="n"/>
      <c r="AB632" s="82" t="n"/>
      <c r="AC632" s="87">
        <f>IF(OR($D632="",$M632="Rejected",$M632="Withdrawn",$M632="Accepted"),"",IF(ISNUMBER($O632),IF(INT($O632)&lt;TODAY(),"FOLLOW UP REQUIRED",IF(INT($O632)=TODAY(),"ACTION DUE TODAY",IF(INT($O632)-TODAY()&lt;=Set_DueSoonDays,"DUE SOON",""))),IF(AND($M632="Applied",$AA632=""),IF(ISNUMBER($C632),IF(TODAY()-$C632&gt;=Set_FollowUpDays,"NO RESPONSE",""),""),"")))</f>
        <v/>
      </c>
      <c r="AD632" s="87">
        <f>IF(ISNUMBER($L632),IF($L632&gt;=90,"Excellent Match",IF($L632&gt;=75,"Strong Match",IF($L632&gt;=60,"Moderate Match","Low Match"))),"")</f>
        <v/>
      </c>
      <c r="AE632" s="87">
        <f>IF($D632="","",IF(OR($M632="Rejected",$M632="Withdrawn"),IF($AB632&lt;&gt;"",$AB632,IF(OR($M632="Rejected",ISNUMBER($C632)),"Applied","Wishlist")),IF($M632="",IF(ISNUMBER($C632),"Applied","Wishlist"),$M632)))</f>
        <v/>
      </c>
      <c r="AF632" s="88">
        <f>IF(AND(ISNUMBER($C632),ISNUMBER($AA632)),$AA632-$C632,"")</f>
        <v/>
      </c>
      <c r="AG632" s="87">
        <f>IF($AE632="","",IFERROR(MATCH($AE632,{"Wishlist","Applied","Screening","Interview 1","Interview 2","Final","Offer","Accepted"},0)-1,""))</f>
        <v/>
      </c>
      <c r="AH632" s="87">
        <f>IF($AC632="","",MATCH($AC632,{"FOLLOW UP REQUIRED","ACTION DUE TODAY","NO RESPONSE","DUE SOON"},0)*100000+IF(ISNUMBER($O632),$O632,IF(ISNUMBER($C632),$C632,0))+ROW()/10000)</f>
        <v/>
      </c>
      <c r="AI632" s="87">
        <f>IF(AND(ISNUMBER($AG632),$AG632&gt;=1,$AG632&lt;=6,$M632&lt;&gt;"Rejected",$M632&lt;&gt;"Withdrawn"),(10-$AG632)*100000+IF(ISNUMBER($C632),$C632,0)+ROW()/10000,"")</f>
        <v/>
      </c>
    </row>
    <row r="633">
      <c r="A633" s="80" t="n"/>
      <c r="B633" s="81" t="n"/>
      <c r="C633" s="81" t="n"/>
      <c r="D633" s="82" t="n"/>
      <c r="E633" s="82" t="n"/>
      <c r="F633" s="82" t="n"/>
      <c r="G633" s="82" t="n"/>
      <c r="H633" s="82" t="n"/>
      <c r="I633" s="83" t="n"/>
      <c r="J633" s="82" t="n"/>
      <c r="K633" s="84" t="n"/>
      <c r="L633" s="85" t="n"/>
      <c r="M633" s="82" t="n"/>
      <c r="N633" s="86" t="n"/>
      <c r="O633" s="81" t="n"/>
      <c r="P633" s="82" t="n"/>
      <c r="Q633" s="83" t="n"/>
      <c r="R633" s="82" t="n"/>
      <c r="S633" s="84" t="n"/>
      <c r="T633" s="84" t="n"/>
      <c r="U633" s="82" t="n"/>
      <c r="V633" s="86" t="n"/>
      <c r="W633" s="86" t="n"/>
      <c r="X633" s="86" t="n"/>
      <c r="Y633" s="81" t="n"/>
      <c r="Z633" s="82" t="n"/>
      <c r="AA633" s="81" t="n"/>
      <c r="AB633" s="82" t="n"/>
      <c r="AC633" s="87">
        <f>IF(OR($D633="",$M633="Rejected",$M633="Withdrawn",$M633="Accepted"),"",IF(ISNUMBER($O633),IF(INT($O633)&lt;TODAY(),"FOLLOW UP REQUIRED",IF(INT($O633)=TODAY(),"ACTION DUE TODAY",IF(INT($O633)-TODAY()&lt;=Set_DueSoonDays,"DUE SOON",""))),IF(AND($M633="Applied",$AA633=""),IF(ISNUMBER($C633),IF(TODAY()-$C633&gt;=Set_FollowUpDays,"NO RESPONSE",""),""),"")))</f>
        <v/>
      </c>
      <c r="AD633" s="87">
        <f>IF(ISNUMBER($L633),IF($L633&gt;=90,"Excellent Match",IF($L633&gt;=75,"Strong Match",IF($L633&gt;=60,"Moderate Match","Low Match"))),"")</f>
        <v/>
      </c>
      <c r="AE633" s="87">
        <f>IF($D633="","",IF(OR($M633="Rejected",$M633="Withdrawn"),IF($AB633&lt;&gt;"",$AB633,IF(OR($M633="Rejected",ISNUMBER($C633)),"Applied","Wishlist")),IF($M633="",IF(ISNUMBER($C633),"Applied","Wishlist"),$M633)))</f>
        <v/>
      </c>
      <c r="AF633" s="88">
        <f>IF(AND(ISNUMBER($C633),ISNUMBER($AA633)),$AA633-$C633,"")</f>
        <v/>
      </c>
      <c r="AG633" s="87">
        <f>IF($AE633="","",IFERROR(MATCH($AE633,{"Wishlist","Applied","Screening","Interview 1","Interview 2","Final","Offer","Accepted"},0)-1,""))</f>
        <v/>
      </c>
      <c r="AH633" s="87">
        <f>IF($AC633="","",MATCH($AC633,{"FOLLOW UP REQUIRED","ACTION DUE TODAY","NO RESPONSE","DUE SOON"},0)*100000+IF(ISNUMBER($O633),$O633,IF(ISNUMBER($C633),$C633,0))+ROW()/10000)</f>
        <v/>
      </c>
      <c r="AI633" s="87">
        <f>IF(AND(ISNUMBER($AG633),$AG633&gt;=1,$AG633&lt;=6,$M633&lt;&gt;"Rejected",$M633&lt;&gt;"Withdrawn"),(10-$AG633)*100000+IF(ISNUMBER($C633),$C633,0)+ROW()/10000,"")</f>
        <v/>
      </c>
    </row>
    <row r="634">
      <c r="A634" s="80" t="n"/>
      <c r="B634" s="81" t="n"/>
      <c r="C634" s="81" t="n"/>
      <c r="D634" s="82" t="n"/>
      <c r="E634" s="82" t="n"/>
      <c r="F634" s="82" t="n"/>
      <c r="G634" s="82" t="n"/>
      <c r="H634" s="82" t="n"/>
      <c r="I634" s="83" t="n"/>
      <c r="J634" s="82" t="n"/>
      <c r="K634" s="84" t="n"/>
      <c r="L634" s="85" t="n"/>
      <c r="M634" s="82" t="n"/>
      <c r="N634" s="86" t="n"/>
      <c r="O634" s="81" t="n"/>
      <c r="P634" s="82" t="n"/>
      <c r="Q634" s="83" t="n"/>
      <c r="R634" s="82" t="n"/>
      <c r="S634" s="84" t="n"/>
      <c r="T634" s="84" t="n"/>
      <c r="U634" s="82" t="n"/>
      <c r="V634" s="86" t="n"/>
      <c r="W634" s="86" t="n"/>
      <c r="X634" s="86" t="n"/>
      <c r="Y634" s="81" t="n"/>
      <c r="Z634" s="82" t="n"/>
      <c r="AA634" s="81" t="n"/>
      <c r="AB634" s="82" t="n"/>
      <c r="AC634" s="87">
        <f>IF(OR($D634="",$M634="Rejected",$M634="Withdrawn",$M634="Accepted"),"",IF(ISNUMBER($O634),IF(INT($O634)&lt;TODAY(),"FOLLOW UP REQUIRED",IF(INT($O634)=TODAY(),"ACTION DUE TODAY",IF(INT($O634)-TODAY()&lt;=Set_DueSoonDays,"DUE SOON",""))),IF(AND($M634="Applied",$AA634=""),IF(ISNUMBER($C634),IF(TODAY()-$C634&gt;=Set_FollowUpDays,"NO RESPONSE",""),""),"")))</f>
        <v/>
      </c>
      <c r="AD634" s="87">
        <f>IF(ISNUMBER($L634),IF($L634&gt;=90,"Excellent Match",IF($L634&gt;=75,"Strong Match",IF($L634&gt;=60,"Moderate Match","Low Match"))),"")</f>
        <v/>
      </c>
      <c r="AE634" s="87">
        <f>IF($D634="","",IF(OR($M634="Rejected",$M634="Withdrawn"),IF($AB634&lt;&gt;"",$AB634,IF(OR($M634="Rejected",ISNUMBER($C634)),"Applied","Wishlist")),IF($M634="",IF(ISNUMBER($C634),"Applied","Wishlist"),$M634)))</f>
        <v/>
      </c>
      <c r="AF634" s="88">
        <f>IF(AND(ISNUMBER($C634),ISNUMBER($AA634)),$AA634-$C634,"")</f>
        <v/>
      </c>
      <c r="AG634" s="87">
        <f>IF($AE634="","",IFERROR(MATCH($AE634,{"Wishlist","Applied","Screening","Interview 1","Interview 2","Final","Offer","Accepted"},0)-1,""))</f>
        <v/>
      </c>
      <c r="AH634" s="87">
        <f>IF($AC634="","",MATCH($AC634,{"FOLLOW UP REQUIRED","ACTION DUE TODAY","NO RESPONSE","DUE SOON"},0)*100000+IF(ISNUMBER($O634),$O634,IF(ISNUMBER($C634),$C634,0))+ROW()/10000)</f>
        <v/>
      </c>
      <c r="AI634" s="87">
        <f>IF(AND(ISNUMBER($AG634),$AG634&gt;=1,$AG634&lt;=6,$M634&lt;&gt;"Rejected",$M634&lt;&gt;"Withdrawn"),(10-$AG634)*100000+IF(ISNUMBER($C634),$C634,0)+ROW()/10000,"")</f>
        <v/>
      </c>
    </row>
    <row r="635">
      <c r="A635" s="80" t="n"/>
      <c r="B635" s="81" t="n"/>
      <c r="C635" s="81" t="n"/>
      <c r="D635" s="82" t="n"/>
      <c r="E635" s="82" t="n"/>
      <c r="F635" s="82" t="n"/>
      <c r="G635" s="82" t="n"/>
      <c r="H635" s="82" t="n"/>
      <c r="I635" s="83" t="n"/>
      <c r="J635" s="82" t="n"/>
      <c r="K635" s="84" t="n"/>
      <c r="L635" s="85" t="n"/>
      <c r="M635" s="82" t="n"/>
      <c r="N635" s="86" t="n"/>
      <c r="O635" s="81" t="n"/>
      <c r="P635" s="82" t="n"/>
      <c r="Q635" s="83" t="n"/>
      <c r="R635" s="82" t="n"/>
      <c r="S635" s="84" t="n"/>
      <c r="T635" s="84" t="n"/>
      <c r="U635" s="82" t="n"/>
      <c r="V635" s="86" t="n"/>
      <c r="W635" s="86" t="n"/>
      <c r="X635" s="86" t="n"/>
      <c r="Y635" s="81" t="n"/>
      <c r="Z635" s="82" t="n"/>
      <c r="AA635" s="81" t="n"/>
      <c r="AB635" s="82" t="n"/>
      <c r="AC635" s="87">
        <f>IF(OR($D635="",$M635="Rejected",$M635="Withdrawn",$M635="Accepted"),"",IF(ISNUMBER($O635),IF(INT($O635)&lt;TODAY(),"FOLLOW UP REQUIRED",IF(INT($O635)=TODAY(),"ACTION DUE TODAY",IF(INT($O635)-TODAY()&lt;=Set_DueSoonDays,"DUE SOON",""))),IF(AND($M635="Applied",$AA635=""),IF(ISNUMBER($C635),IF(TODAY()-$C635&gt;=Set_FollowUpDays,"NO RESPONSE",""),""),"")))</f>
        <v/>
      </c>
      <c r="AD635" s="87">
        <f>IF(ISNUMBER($L635),IF($L635&gt;=90,"Excellent Match",IF($L635&gt;=75,"Strong Match",IF($L635&gt;=60,"Moderate Match","Low Match"))),"")</f>
        <v/>
      </c>
      <c r="AE635" s="87">
        <f>IF($D635="","",IF(OR($M635="Rejected",$M635="Withdrawn"),IF($AB635&lt;&gt;"",$AB635,IF(OR($M635="Rejected",ISNUMBER($C635)),"Applied","Wishlist")),IF($M635="",IF(ISNUMBER($C635),"Applied","Wishlist"),$M635)))</f>
        <v/>
      </c>
      <c r="AF635" s="88">
        <f>IF(AND(ISNUMBER($C635),ISNUMBER($AA635)),$AA635-$C635,"")</f>
        <v/>
      </c>
      <c r="AG635" s="87">
        <f>IF($AE635="","",IFERROR(MATCH($AE635,{"Wishlist","Applied","Screening","Interview 1","Interview 2","Final","Offer","Accepted"},0)-1,""))</f>
        <v/>
      </c>
      <c r="AH635" s="87">
        <f>IF($AC635="","",MATCH($AC635,{"FOLLOW UP REQUIRED","ACTION DUE TODAY","NO RESPONSE","DUE SOON"},0)*100000+IF(ISNUMBER($O635),$O635,IF(ISNUMBER($C635),$C635,0))+ROW()/10000)</f>
        <v/>
      </c>
      <c r="AI635" s="87">
        <f>IF(AND(ISNUMBER($AG635),$AG635&gt;=1,$AG635&lt;=6,$M635&lt;&gt;"Rejected",$M635&lt;&gt;"Withdrawn"),(10-$AG635)*100000+IF(ISNUMBER($C635),$C635,0)+ROW()/10000,"")</f>
        <v/>
      </c>
    </row>
    <row r="636">
      <c r="A636" s="80" t="n"/>
      <c r="B636" s="81" t="n"/>
      <c r="C636" s="81" t="n"/>
      <c r="D636" s="82" t="n"/>
      <c r="E636" s="82" t="n"/>
      <c r="F636" s="82" t="n"/>
      <c r="G636" s="82" t="n"/>
      <c r="H636" s="82" t="n"/>
      <c r="I636" s="83" t="n"/>
      <c r="J636" s="82" t="n"/>
      <c r="K636" s="84" t="n"/>
      <c r="L636" s="85" t="n"/>
      <c r="M636" s="82" t="n"/>
      <c r="N636" s="86" t="n"/>
      <c r="O636" s="81" t="n"/>
      <c r="P636" s="82" t="n"/>
      <c r="Q636" s="83" t="n"/>
      <c r="R636" s="82" t="n"/>
      <c r="S636" s="84" t="n"/>
      <c r="T636" s="84" t="n"/>
      <c r="U636" s="82" t="n"/>
      <c r="V636" s="86" t="n"/>
      <c r="W636" s="86" t="n"/>
      <c r="X636" s="86" t="n"/>
      <c r="Y636" s="81" t="n"/>
      <c r="Z636" s="82" t="n"/>
      <c r="AA636" s="81" t="n"/>
      <c r="AB636" s="82" t="n"/>
      <c r="AC636" s="87">
        <f>IF(OR($D636="",$M636="Rejected",$M636="Withdrawn",$M636="Accepted"),"",IF(ISNUMBER($O636),IF(INT($O636)&lt;TODAY(),"FOLLOW UP REQUIRED",IF(INT($O636)=TODAY(),"ACTION DUE TODAY",IF(INT($O636)-TODAY()&lt;=Set_DueSoonDays,"DUE SOON",""))),IF(AND($M636="Applied",$AA636=""),IF(ISNUMBER($C636),IF(TODAY()-$C636&gt;=Set_FollowUpDays,"NO RESPONSE",""),""),"")))</f>
        <v/>
      </c>
      <c r="AD636" s="87">
        <f>IF(ISNUMBER($L636),IF($L636&gt;=90,"Excellent Match",IF($L636&gt;=75,"Strong Match",IF($L636&gt;=60,"Moderate Match","Low Match"))),"")</f>
        <v/>
      </c>
      <c r="AE636" s="87">
        <f>IF($D636="","",IF(OR($M636="Rejected",$M636="Withdrawn"),IF($AB636&lt;&gt;"",$AB636,IF(OR($M636="Rejected",ISNUMBER($C636)),"Applied","Wishlist")),IF($M636="",IF(ISNUMBER($C636),"Applied","Wishlist"),$M636)))</f>
        <v/>
      </c>
      <c r="AF636" s="88">
        <f>IF(AND(ISNUMBER($C636),ISNUMBER($AA636)),$AA636-$C636,"")</f>
        <v/>
      </c>
      <c r="AG636" s="87">
        <f>IF($AE636="","",IFERROR(MATCH($AE636,{"Wishlist","Applied","Screening","Interview 1","Interview 2","Final","Offer","Accepted"},0)-1,""))</f>
        <v/>
      </c>
      <c r="AH636" s="87">
        <f>IF($AC636="","",MATCH($AC636,{"FOLLOW UP REQUIRED","ACTION DUE TODAY","NO RESPONSE","DUE SOON"},0)*100000+IF(ISNUMBER($O636),$O636,IF(ISNUMBER($C636),$C636,0))+ROW()/10000)</f>
        <v/>
      </c>
      <c r="AI636" s="87">
        <f>IF(AND(ISNUMBER($AG636),$AG636&gt;=1,$AG636&lt;=6,$M636&lt;&gt;"Rejected",$M636&lt;&gt;"Withdrawn"),(10-$AG636)*100000+IF(ISNUMBER($C636),$C636,0)+ROW()/10000,"")</f>
        <v/>
      </c>
    </row>
    <row r="637">
      <c r="A637" s="80" t="n"/>
      <c r="B637" s="81" t="n"/>
      <c r="C637" s="81" t="n"/>
      <c r="D637" s="82" t="n"/>
      <c r="E637" s="82" t="n"/>
      <c r="F637" s="82" t="n"/>
      <c r="G637" s="82" t="n"/>
      <c r="H637" s="82" t="n"/>
      <c r="I637" s="83" t="n"/>
      <c r="J637" s="82" t="n"/>
      <c r="K637" s="84" t="n"/>
      <c r="L637" s="85" t="n"/>
      <c r="M637" s="82" t="n"/>
      <c r="N637" s="86" t="n"/>
      <c r="O637" s="81" t="n"/>
      <c r="P637" s="82" t="n"/>
      <c r="Q637" s="83" t="n"/>
      <c r="R637" s="82" t="n"/>
      <c r="S637" s="84" t="n"/>
      <c r="T637" s="84" t="n"/>
      <c r="U637" s="82" t="n"/>
      <c r="V637" s="86" t="n"/>
      <c r="W637" s="86" t="n"/>
      <c r="X637" s="86" t="n"/>
      <c r="Y637" s="81" t="n"/>
      <c r="Z637" s="82" t="n"/>
      <c r="AA637" s="81" t="n"/>
      <c r="AB637" s="82" t="n"/>
      <c r="AC637" s="87">
        <f>IF(OR($D637="",$M637="Rejected",$M637="Withdrawn",$M637="Accepted"),"",IF(ISNUMBER($O637),IF(INT($O637)&lt;TODAY(),"FOLLOW UP REQUIRED",IF(INT($O637)=TODAY(),"ACTION DUE TODAY",IF(INT($O637)-TODAY()&lt;=Set_DueSoonDays,"DUE SOON",""))),IF(AND($M637="Applied",$AA637=""),IF(ISNUMBER($C637),IF(TODAY()-$C637&gt;=Set_FollowUpDays,"NO RESPONSE",""),""),"")))</f>
        <v/>
      </c>
      <c r="AD637" s="87">
        <f>IF(ISNUMBER($L637),IF($L637&gt;=90,"Excellent Match",IF($L637&gt;=75,"Strong Match",IF($L637&gt;=60,"Moderate Match","Low Match"))),"")</f>
        <v/>
      </c>
      <c r="AE637" s="87">
        <f>IF($D637="","",IF(OR($M637="Rejected",$M637="Withdrawn"),IF($AB637&lt;&gt;"",$AB637,IF(OR($M637="Rejected",ISNUMBER($C637)),"Applied","Wishlist")),IF($M637="",IF(ISNUMBER($C637),"Applied","Wishlist"),$M637)))</f>
        <v/>
      </c>
      <c r="AF637" s="88">
        <f>IF(AND(ISNUMBER($C637),ISNUMBER($AA637)),$AA637-$C637,"")</f>
        <v/>
      </c>
      <c r="AG637" s="87">
        <f>IF($AE637="","",IFERROR(MATCH($AE637,{"Wishlist","Applied","Screening","Interview 1","Interview 2","Final","Offer","Accepted"},0)-1,""))</f>
        <v/>
      </c>
      <c r="AH637" s="87">
        <f>IF($AC637="","",MATCH($AC637,{"FOLLOW UP REQUIRED","ACTION DUE TODAY","NO RESPONSE","DUE SOON"},0)*100000+IF(ISNUMBER($O637),$O637,IF(ISNUMBER($C637),$C637,0))+ROW()/10000)</f>
        <v/>
      </c>
      <c r="AI637" s="87">
        <f>IF(AND(ISNUMBER($AG637),$AG637&gt;=1,$AG637&lt;=6,$M637&lt;&gt;"Rejected",$M637&lt;&gt;"Withdrawn"),(10-$AG637)*100000+IF(ISNUMBER($C637),$C637,0)+ROW()/10000,"")</f>
        <v/>
      </c>
    </row>
    <row r="638">
      <c r="A638" s="80" t="n"/>
      <c r="B638" s="81" t="n"/>
      <c r="C638" s="81" t="n"/>
      <c r="D638" s="82" t="n"/>
      <c r="E638" s="82" t="n"/>
      <c r="F638" s="82" t="n"/>
      <c r="G638" s="82" t="n"/>
      <c r="H638" s="82" t="n"/>
      <c r="I638" s="83" t="n"/>
      <c r="J638" s="82" t="n"/>
      <c r="K638" s="84" t="n"/>
      <c r="L638" s="85" t="n"/>
      <c r="M638" s="82" t="n"/>
      <c r="N638" s="86" t="n"/>
      <c r="O638" s="81" t="n"/>
      <c r="P638" s="82" t="n"/>
      <c r="Q638" s="83" t="n"/>
      <c r="R638" s="82" t="n"/>
      <c r="S638" s="84" t="n"/>
      <c r="T638" s="84" t="n"/>
      <c r="U638" s="82" t="n"/>
      <c r="V638" s="86" t="n"/>
      <c r="W638" s="86" t="n"/>
      <c r="X638" s="86" t="n"/>
      <c r="Y638" s="81" t="n"/>
      <c r="Z638" s="82" t="n"/>
      <c r="AA638" s="81" t="n"/>
      <c r="AB638" s="82" t="n"/>
      <c r="AC638" s="87">
        <f>IF(OR($D638="",$M638="Rejected",$M638="Withdrawn",$M638="Accepted"),"",IF(ISNUMBER($O638),IF(INT($O638)&lt;TODAY(),"FOLLOW UP REQUIRED",IF(INT($O638)=TODAY(),"ACTION DUE TODAY",IF(INT($O638)-TODAY()&lt;=Set_DueSoonDays,"DUE SOON",""))),IF(AND($M638="Applied",$AA638=""),IF(ISNUMBER($C638),IF(TODAY()-$C638&gt;=Set_FollowUpDays,"NO RESPONSE",""),""),"")))</f>
        <v/>
      </c>
      <c r="AD638" s="87">
        <f>IF(ISNUMBER($L638),IF($L638&gt;=90,"Excellent Match",IF($L638&gt;=75,"Strong Match",IF($L638&gt;=60,"Moderate Match","Low Match"))),"")</f>
        <v/>
      </c>
      <c r="AE638" s="87">
        <f>IF($D638="","",IF(OR($M638="Rejected",$M638="Withdrawn"),IF($AB638&lt;&gt;"",$AB638,IF(OR($M638="Rejected",ISNUMBER($C638)),"Applied","Wishlist")),IF($M638="",IF(ISNUMBER($C638),"Applied","Wishlist"),$M638)))</f>
        <v/>
      </c>
      <c r="AF638" s="88">
        <f>IF(AND(ISNUMBER($C638),ISNUMBER($AA638)),$AA638-$C638,"")</f>
        <v/>
      </c>
      <c r="AG638" s="87">
        <f>IF($AE638="","",IFERROR(MATCH($AE638,{"Wishlist","Applied","Screening","Interview 1","Interview 2","Final","Offer","Accepted"},0)-1,""))</f>
        <v/>
      </c>
      <c r="AH638" s="87">
        <f>IF($AC638="","",MATCH($AC638,{"FOLLOW UP REQUIRED","ACTION DUE TODAY","NO RESPONSE","DUE SOON"},0)*100000+IF(ISNUMBER($O638),$O638,IF(ISNUMBER($C638),$C638,0))+ROW()/10000)</f>
        <v/>
      </c>
      <c r="AI638" s="87">
        <f>IF(AND(ISNUMBER($AG638),$AG638&gt;=1,$AG638&lt;=6,$M638&lt;&gt;"Rejected",$M638&lt;&gt;"Withdrawn"),(10-$AG638)*100000+IF(ISNUMBER($C638),$C638,0)+ROW()/10000,"")</f>
        <v/>
      </c>
    </row>
    <row r="639">
      <c r="A639" s="80" t="n"/>
      <c r="B639" s="81" t="n"/>
      <c r="C639" s="81" t="n"/>
      <c r="D639" s="82" t="n"/>
      <c r="E639" s="82" t="n"/>
      <c r="F639" s="82" t="n"/>
      <c r="G639" s="82" t="n"/>
      <c r="H639" s="82" t="n"/>
      <c r="I639" s="83" t="n"/>
      <c r="J639" s="82" t="n"/>
      <c r="K639" s="84" t="n"/>
      <c r="L639" s="85" t="n"/>
      <c r="M639" s="82" t="n"/>
      <c r="N639" s="86" t="n"/>
      <c r="O639" s="81" t="n"/>
      <c r="P639" s="82" t="n"/>
      <c r="Q639" s="83" t="n"/>
      <c r="R639" s="82" t="n"/>
      <c r="S639" s="84" t="n"/>
      <c r="T639" s="84" t="n"/>
      <c r="U639" s="82" t="n"/>
      <c r="V639" s="86" t="n"/>
      <c r="W639" s="86" t="n"/>
      <c r="X639" s="86" t="n"/>
      <c r="Y639" s="81" t="n"/>
      <c r="Z639" s="82" t="n"/>
      <c r="AA639" s="81" t="n"/>
      <c r="AB639" s="82" t="n"/>
      <c r="AC639" s="87">
        <f>IF(OR($D639="",$M639="Rejected",$M639="Withdrawn",$M639="Accepted"),"",IF(ISNUMBER($O639),IF(INT($O639)&lt;TODAY(),"FOLLOW UP REQUIRED",IF(INT($O639)=TODAY(),"ACTION DUE TODAY",IF(INT($O639)-TODAY()&lt;=Set_DueSoonDays,"DUE SOON",""))),IF(AND($M639="Applied",$AA639=""),IF(ISNUMBER($C639),IF(TODAY()-$C639&gt;=Set_FollowUpDays,"NO RESPONSE",""),""),"")))</f>
        <v/>
      </c>
      <c r="AD639" s="87">
        <f>IF(ISNUMBER($L639),IF($L639&gt;=90,"Excellent Match",IF($L639&gt;=75,"Strong Match",IF($L639&gt;=60,"Moderate Match","Low Match"))),"")</f>
        <v/>
      </c>
      <c r="AE639" s="87">
        <f>IF($D639="","",IF(OR($M639="Rejected",$M639="Withdrawn"),IF($AB639&lt;&gt;"",$AB639,IF(OR($M639="Rejected",ISNUMBER($C639)),"Applied","Wishlist")),IF($M639="",IF(ISNUMBER($C639),"Applied","Wishlist"),$M639)))</f>
        <v/>
      </c>
      <c r="AF639" s="88">
        <f>IF(AND(ISNUMBER($C639),ISNUMBER($AA639)),$AA639-$C639,"")</f>
        <v/>
      </c>
      <c r="AG639" s="87">
        <f>IF($AE639="","",IFERROR(MATCH($AE639,{"Wishlist","Applied","Screening","Interview 1","Interview 2","Final","Offer","Accepted"},0)-1,""))</f>
        <v/>
      </c>
      <c r="AH639" s="87">
        <f>IF($AC639="","",MATCH($AC639,{"FOLLOW UP REQUIRED","ACTION DUE TODAY","NO RESPONSE","DUE SOON"},0)*100000+IF(ISNUMBER($O639),$O639,IF(ISNUMBER($C639),$C639,0))+ROW()/10000)</f>
        <v/>
      </c>
      <c r="AI639" s="87">
        <f>IF(AND(ISNUMBER($AG639),$AG639&gt;=1,$AG639&lt;=6,$M639&lt;&gt;"Rejected",$M639&lt;&gt;"Withdrawn"),(10-$AG639)*100000+IF(ISNUMBER($C639),$C639,0)+ROW()/10000,"")</f>
        <v/>
      </c>
    </row>
    <row r="640">
      <c r="A640" s="80" t="n"/>
      <c r="B640" s="81" t="n"/>
      <c r="C640" s="81" t="n"/>
      <c r="D640" s="82" t="n"/>
      <c r="E640" s="82" t="n"/>
      <c r="F640" s="82" t="n"/>
      <c r="G640" s="82" t="n"/>
      <c r="H640" s="82" t="n"/>
      <c r="I640" s="83" t="n"/>
      <c r="J640" s="82" t="n"/>
      <c r="K640" s="84" t="n"/>
      <c r="L640" s="85" t="n"/>
      <c r="M640" s="82" t="n"/>
      <c r="N640" s="86" t="n"/>
      <c r="O640" s="81" t="n"/>
      <c r="P640" s="82" t="n"/>
      <c r="Q640" s="83" t="n"/>
      <c r="R640" s="82" t="n"/>
      <c r="S640" s="84" t="n"/>
      <c r="T640" s="84" t="n"/>
      <c r="U640" s="82" t="n"/>
      <c r="V640" s="86" t="n"/>
      <c r="W640" s="86" t="n"/>
      <c r="X640" s="86" t="n"/>
      <c r="Y640" s="81" t="n"/>
      <c r="Z640" s="82" t="n"/>
      <c r="AA640" s="81" t="n"/>
      <c r="AB640" s="82" t="n"/>
      <c r="AC640" s="87">
        <f>IF(OR($D640="",$M640="Rejected",$M640="Withdrawn",$M640="Accepted"),"",IF(ISNUMBER($O640),IF(INT($O640)&lt;TODAY(),"FOLLOW UP REQUIRED",IF(INT($O640)=TODAY(),"ACTION DUE TODAY",IF(INT($O640)-TODAY()&lt;=Set_DueSoonDays,"DUE SOON",""))),IF(AND($M640="Applied",$AA640=""),IF(ISNUMBER($C640),IF(TODAY()-$C640&gt;=Set_FollowUpDays,"NO RESPONSE",""),""),"")))</f>
        <v/>
      </c>
      <c r="AD640" s="87">
        <f>IF(ISNUMBER($L640),IF($L640&gt;=90,"Excellent Match",IF($L640&gt;=75,"Strong Match",IF($L640&gt;=60,"Moderate Match","Low Match"))),"")</f>
        <v/>
      </c>
      <c r="AE640" s="87">
        <f>IF($D640="","",IF(OR($M640="Rejected",$M640="Withdrawn"),IF($AB640&lt;&gt;"",$AB640,IF(OR($M640="Rejected",ISNUMBER($C640)),"Applied","Wishlist")),IF($M640="",IF(ISNUMBER($C640),"Applied","Wishlist"),$M640)))</f>
        <v/>
      </c>
      <c r="AF640" s="88">
        <f>IF(AND(ISNUMBER($C640),ISNUMBER($AA640)),$AA640-$C640,"")</f>
        <v/>
      </c>
      <c r="AG640" s="87">
        <f>IF($AE640="","",IFERROR(MATCH($AE640,{"Wishlist","Applied","Screening","Interview 1","Interview 2","Final","Offer","Accepted"},0)-1,""))</f>
        <v/>
      </c>
      <c r="AH640" s="87">
        <f>IF($AC640="","",MATCH($AC640,{"FOLLOW UP REQUIRED","ACTION DUE TODAY","NO RESPONSE","DUE SOON"},0)*100000+IF(ISNUMBER($O640),$O640,IF(ISNUMBER($C640),$C640,0))+ROW()/10000)</f>
        <v/>
      </c>
      <c r="AI640" s="87">
        <f>IF(AND(ISNUMBER($AG640),$AG640&gt;=1,$AG640&lt;=6,$M640&lt;&gt;"Rejected",$M640&lt;&gt;"Withdrawn"),(10-$AG640)*100000+IF(ISNUMBER($C640),$C640,0)+ROW()/10000,"")</f>
        <v/>
      </c>
    </row>
    <row r="641">
      <c r="A641" s="80" t="n"/>
      <c r="B641" s="81" t="n"/>
      <c r="C641" s="81" t="n"/>
      <c r="D641" s="82" t="n"/>
      <c r="E641" s="82" t="n"/>
      <c r="F641" s="82" t="n"/>
      <c r="G641" s="82" t="n"/>
      <c r="H641" s="82" t="n"/>
      <c r="I641" s="83" t="n"/>
      <c r="J641" s="82" t="n"/>
      <c r="K641" s="84" t="n"/>
      <c r="L641" s="85" t="n"/>
      <c r="M641" s="82" t="n"/>
      <c r="N641" s="86" t="n"/>
      <c r="O641" s="81" t="n"/>
      <c r="P641" s="82" t="n"/>
      <c r="Q641" s="83" t="n"/>
      <c r="R641" s="82" t="n"/>
      <c r="S641" s="84" t="n"/>
      <c r="T641" s="84" t="n"/>
      <c r="U641" s="82" t="n"/>
      <c r="V641" s="86" t="n"/>
      <c r="W641" s="86" t="n"/>
      <c r="X641" s="86" t="n"/>
      <c r="Y641" s="81" t="n"/>
      <c r="Z641" s="82" t="n"/>
      <c r="AA641" s="81" t="n"/>
      <c r="AB641" s="82" t="n"/>
      <c r="AC641" s="87">
        <f>IF(OR($D641="",$M641="Rejected",$M641="Withdrawn",$M641="Accepted"),"",IF(ISNUMBER($O641),IF(INT($O641)&lt;TODAY(),"FOLLOW UP REQUIRED",IF(INT($O641)=TODAY(),"ACTION DUE TODAY",IF(INT($O641)-TODAY()&lt;=Set_DueSoonDays,"DUE SOON",""))),IF(AND($M641="Applied",$AA641=""),IF(ISNUMBER($C641),IF(TODAY()-$C641&gt;=Set_FollowUpDays,"NO RESPONSE",""),""),"")))</f>
        <v/>
      </c>
      <c r="AD641" s="87">
        <f>IF(ISNUMBER($L641),IF($L641&gt;=90,"Excellent Match",IF($L641&gt;=75,"Strong Match",IF($L641&gt;=60,"Moderate Match","Low Match"))),"")</f>
        <v/>
      </c>
      <c r="AE641" s="87">
        <f>IF($D641="","",IF(OR($M641="Rejected",$M641="Withdrawn"),IF($AB641&lt;&gt;"",$AB641,IF(OR($M641="Rejected",ISNUMBER($C641)),"Applied","Wishlist")),IF($M641="",IF(ISNUMBER($C641),"Applied","Wishlist"),$M641)))</f>
        <v/>
      </c>
      <c r="AF641" s="88">
        <f>IF(AND(ISNUMBER($C641),ISNUMBER($AA641)),$AA641-$C641,"")</f>
        <v/>
      </c>
      <c r="AG641" s="87">
        <f>IF($AE641="","",IFERROR(MATCH($AE641,{"Wishlist","Applied","Screening","Interview 1","Interview 2","Final","Offer","Accepted"},0)-1,""))</f>
        <v/>
      </c>
      <c r="AH641" s="87">
        <f>IF($AC641="","",MATCH($AC641,{"FOLLOW UP REQUIRED","ACTION DUE TODAY","NO RESPONSE","DUE SOON"},0)*100000+IF(ISNUMBER($O641),$O641,IF(ISNUMBER($C641),$C641,0))+ROW()/10000)</f>
        <v/>
      </c>
      <c r="AI641" s="87">
        <f>IF(AND(ISNUMBER($AG641),$AG641&gt;=1,$AG641&lt;=6,$M641&lt;&gt;"Rejected",$M641&lt;&gt;"Withdrawn"),(10-$AG641)*100000+IF(ISNUMBER($C641),$C641,0)+ROW()/10000,"")</f>
        <v/>
      </c>
    </row>
    <row r="642">
      <c r="A642" s="80" t="n"/>
      <c r="B642" s="81" t="n"/>
      <c r="C642" s="81" t="n"/>
      <c r="D642" s="82" t="n"/>
      <c r="E642" s="82" t="n"/>
      <c r="F642" s="82" t="n"/>
      <c r="G642" s="82" t="n"/>
      <c r="H642" s="82" t="n"/>
      <c r="I642" s="83" t="n"/>
      <c r="J642" s="82" t="n"/>
      <c r="K642" s="84" t="n"/>
      <c r="L642" s="85" t="n"/>
      <c r="M642" s="82" t="n"/>
      <c r="N642" s="86" t="n"/>
      <c r="O642" s="81" t="n"/>
      <c r="P642" s="82" t="n"/>
      <c r="Q642" s="83" t="n"/>
      <c r="R642" s="82" t="n"/>
      <c r="S642" s="84" t="n"/>
      <c r="T642" s="84" t="n"/>
      <c r="U642" s="82" t="n"/>
      <c r="V642" s="86" t="n"/>
      <c r="W642" s="86" t="n"/>
      <c r="X642" s="86" t="n"/>
      <c r="Y642" s="81" t="n"/>
      <c r="Z642" s="82" t="n"/>
      <c r="AA642" s="81" t="n"/>
      <c r="AB642" s="82" t="n"/>
      <c r="AC642" s="87">
        <f>IF(OR($D642="",$M642="Rejected",$M642="Withdrawn",$M642="Accepted"),"",IF(ISNUMBER($O642),IF(INT($O642)&lt;TODAY(),"FOLLOW UP REQUIRED",IF(INT($O642)=TODAY(),"ACTION DUE TODAY",IF(INT($O642)-TODAY()&lt;=Set_DueSoonDays,"DUE SOON",""))),IF(AND($M642="Applied",$AA642=""),IF(ISNUMBER($C642),IF(TODAY()-$C642&gt;=Set_FollowUpDays,"NO RESPONSE",""),""),"")))</f>
        <v/>
      </c>
      <c r="AD642" s="87">
        <f>IF(ISNUMBER($L642),IF($L642&gt;=90,"Excellent Match",IF($L642&gt;=75,"Strong Match",IF($L642&gt;=60,"Moderate Match","Low Match"))),"")</f>
        <v/>
      </c>
      <c r="AE642" s="87">
        <f>IF($D642="","",IF(OR($M642="Rejected",$M642="Withdrawn"),IF($AB642&lt;&gt;"",$AB642,IF(OR($M642="Rejected",ISNUMBER($C642)),"Applied","Wishlist")),IF($M642="",IF(ISNUMBER($C642),"Applied","Wishlist"),$M642)))</f>
        <v/>
      </c>
      <c r="AF642" s="88">
        <f>IF(AND(ISNUMBER($C642),ISNUMBER($AA642)),$AA642-$C642,"")</f>
        <v/>
      </c>
      <c r="AG642" s="87">
        <f>IF($AE642="","",IFERROR(MATCH($AE642,{"Wishlist","Applied","Screening","Interview 1","Interview 2","Final","Offer","Accepted"},0)-1,""))</f>
        <v/>
      </c>
      <c r="AH642" s="87">
        <f>IF($AC642="","",MATCH($AC642,{"FOLLOW UP REQUIRED","ACTION DUE TODAY","NO RESPONSE","DUE SOON"},0)*100000+IF(ISNUMBER($O642),$O642,IF(ISNUMBER($C642),$C642,0))+ROW()/10000)</f>
        <v/>
      </c>
      <c r="AI642" s="87">
        <f>IF(AND(ISNUMBER($AG642),$AG642&gt;=1,$AG642&lt;=6,$M642&lt;&gt;"Rejected",$M642&lt;&gt;"Withdrawn"),(10-$AG642)*100000+IF(ISNUMBER($C642),$C642,0)+ROW()/10000,"")</f>
        <v/>
      </c>
    </row>
    <row r="643">
      <c r="A643" s="80" t="n"/>
      <c r="B643" s="81" t="n"/>
      <c r="C643" s="81" t="n"/>
      <c r="D643" s="82" t="n"/>
      <c r="E643" s="82" t="n"/>
      <c r="F643" s="82" t="n"/>
      <c r="G643" s="82" t="n"/>
      <c r="H643" s="82" t="n"/>
      <c r="I643" s="83" t="n"/>
      <c r="J643" s="82" t="n"/>
      <c r="K643" s="84" t="n"/>
      <c r="L643" s="85" t="n"/>
      <c r="M643" s="82" t="n"/>
      <c r="N643" s="86" t="n"/>
      <c r="O643" s="81" t="n"/>
      <c r="P643" s="82" t="n"/>
      <c r="Q643" s="83" t="n"/>
      <c r="R643" s="82" t="n"/>
      <c r="S643" s="84" t="n"/>
      <c r="T643" s="84" t="n"/>
      <c r="U643" s="82" t="n"/>
      <c r="V643" s="86" t="n"/>
      <c r="W643" s="86" t="n"/>
      <c r="X643" s="86" t="n"/>
      <c r="Y643" s="81" t="n"/>
      <c r="Z643" s="82" t="n"/>
      <c r="AA643" s="81" t="n"/>
      <c r="AB643" s="82" t="n"/>
      <c r="AC643" s="87">
        <f>IF(OR($D643="",$M643="Rejected",$M643="Withdrawn",$M643="Accepted"),"",IF(ISNUMBER($O643),IF(INT($O643)&lt;TODAY(),"FOLLOW UP REQUIRED",IF(INT($O643)=TODAY(),"ACTION DUE TODAY",IF(INT($O643)-TODAY()&lt;=Set_DueSoonDays,"DUE SOON",""))),IF(AND($M643="Applied",$AA643=""),IF(ISNUMBER($C643),IF(TODAY()-$C643&gt;=Set_FollowUpDays,"NO RESPONSE",""),""),"")))</f>
        <v/>
      </c>
      <c r="AD643" s="87">
        <f>IF(ISNUMBER($L643),IF($L643&gt;=90,"Excellent Match",IF($L643&gt;=75,"Strong Match",IF($L643&gt;=60,"Moderate Match","Low Match"))),"")</f>
        <v/>
      </c>
      <c r="AE643" s="87">
        <f>IF($D643="","",IF(OR($M643="Rejected",$M643="Withdrawn"),IF($AB643&lt;&gt;"",$AB643,IF(OR($M643="Rejected",ISNUMBER($C643)),"Applied","Wishlist")),IF($M643="",IF(ISNUMBER($C643),"Applied","Wishlist"),$M643)))</f>
        <v/>
      </c>
      <c r="AF643" s="88">
        <f>IF(AND(ISNUMBER($C643),ISNUMBER($AA643)),$AA643-$C643,"")</f>
        <v/>
      </c>
      <c r="AG643" s="87">
        <f>IF($AE643="","",IFERROR(MATCH($AE643,{"Wishlist","Applied","Screening","Interview 1","Interview 2","Final","Offer","Accepted"},0)-1,""))</f>
        <v/>
      </c>
      <c r="AH643" s="87">
        <f>IF($AC643="","",MATCH($AC643,{"FOLLOW UP REQUIRED","ACTION DUE TODAY","NO RESPONSE","DUE SOON"},0)*100000+IF(ISNUMBER($O643),$O643,IF(ISNUMBER($C643),$C643,0))+ROW()/10000)</f>
        <v/>
      </c>
      <c r="AI643" s="87">
        <f>IF(AND(ISNUMBER($AG643),$AG643&gt;=1,$AG643&lt;=6,$M643&lt;&gt;"Rejected",$M643&lt;&gt;"Withdrawn"),(10-$AG643)*100000+IF(ISNUMBER($C643),$C643,0)+ROW()/10000,"")</f>
        <v/>
      </c>
    </row>
    <row r="644">
      <c r="A644" s="80" t="n"/>
      <c r="B644" s="81" t="n"/>
      <c r="C644" s="81" t="n"/>
      <c r="D644" s="82" t="n"/>
      <c r="E644" s="82" t="n"/>
      <c r="F644" s="82" t="n"/>
      <c r="G644" s="82" t="n"/>
      <c r="H644" s="82" t="n"/>
      <c r="I644" s="83" t="n"/>
      <c r="J644" s="82" t="n"/>
      <c r="K644" s="84" t="n"/>
      <c r="L644" s="85" t="n"/>
      <c r="M644" s="82" t="n"/>
      <c r="N644" s="86" t="n"/>
      <c r="O644" s="81" t="n"/>
      <c r="P644" s="82" t="n"/>
      <c r="Q644" s="83" t="n"/>
      <c r="R644" s="82" t="n"/>
      <c r="S644" s="84" t="n"/>
      <c r="T644" s="84" t="n"/>
      <c r="U644" s="82" t="n"/>
      <c r="V644" s="86" t="n"/>
      <c r="W644" s="86" t="n"/>
      <c r="X644" s="86" t="n"/>
      <c r="Y644" s="81" t="n"/>
      <c r="Z644" s="82" t="n"/>
      <c r="AA644" s="81" t="n"/>
      <c r="AB644" s="82" t="n"/>
      <c r="AC644" s="87">
        <f>IF(OR($D644="",$M644="Rejected",$M644="Withdrawn",$M644="Accepted"),"",IF(ISNUMBER($O644),IF(INT($O644)&lt;TODAY(),"FOLLOW UP REQUIRED",IF(INT($O644)=TODAY(),"ACTION DUE TODAY",IF(INT($O644)-TODAY()&lt;=Set_DueSoonDays,"DUE SOON",""))),IF(AND($M644="Applied",$AA644=""),IF(ISNUMBER($C644),IF(TODAY()-$C644&gt;=Set_FollowUpDays,"NO RESPONSE",""),""),"")))</f>
        <v/>
      </c>
      <c r="AD644" s="87">
        <f>IF(ISNUMBER($L644),IF($L644&gt;=90,"Excellent Match",IF($L644&gt;=75,"Strong Match",IF($L644&gt;=60,"Moderate Match","Low Match"))),"")</f>
        <v/>
      </c>
      <c r="AE644" s="87">
        <f>IF($D644="","",IF(OR($M644="Rejected",$M644="Withdrawn"),IF($AB644&lt;&gt;"",$AB644,IF(OR($M644="Rejected",ISNUMBER($C644)),"Applied","Wishlist")),IF($M644="",IF(ISNUMBER($C644),"Applied","Wishlist"),$M644)))</f>
        <v/>
      </c>
      <c r="AF644" s="88">
        <f>IF(AND(ISNUMBER($C644),ISNUMBER($AA644)),$AA644-$C644,"")</f>
        <v/>
      </c>
      <c r="AG644" s="87">
        <f>IF($AE644="","",IFERROR(MATCH($AE644,{"Wishlist","Applied","Screening","Interview 1","Interview 2","Final","Offer","Accepted"},0)-1,""))</f>
        <v/>
      </c>
      <c r="AH644" s="87">
        <f>IF($AC644="","",MATCH($AC644,{"FOLLOW UP REQUIRED","ACTION DUE TODAY","NO RESPONSE","DUE SOON"},0)*100000+IF(ISNUMBER($O644),$O644,IF(ISNUMBER($C644),$C644,0))+ROW()/10000)</f>
        <v/>
      </c>
      <c r="AI644" s="87">
        <f>IF(AND(ISNUMBER($AG644),$AG644&gt;=1,$AG644&lt;=6,$M644&lt;&gt;"Rejected",$M644&lt;&gt;"Withdrawn"),(10-$AG644)*100000+IF(ISNUMBER($C644),$C644,0)+ROW()/10000,"")</f>
        <v/>
      </c>
    </row>
    <row r="645">
      <c r="A645" s="80" t="n"/>
      <c r="B645" s="81" t="n"/>
      <c r="C645" s="81" t="n"/>
      <c r="D645" s="82" t="n"/>
      <c r="E645" s="82" t="n"/>
      <c r="F645" s="82" t="n"/>
      <c r="G645" s="82" t="n"/>
      <c r="H645" s="82" t="n"/>
      <c r="I645" s="83" t="n"/>
      <c r="J645" s="82" t="n"/>
      <c r="K645" s="84" t="n"/>
      <c r="L645" s="85" t="n"/>
      <c r="M645" s="82" t="n"/>
      <c r="N645" s="86" t="n"/>
      <c r="O645" s="81" t="n"/>
      <c r="P645" s="82" t="n"/>
      <c r="Q645" s="83" t="n"/>
      <c r="R645" s="82" t="n"/>
      <c r="S645" s="84" t="n"/>
      <c r="T645" s="84" t="n"/>
      <c r="U645" s="82" t="n"/>
      <c r="V645" s="86" t="n"/>
      <c r="W645" s="86" t="n"/>
      <c r="X645" s="86" t="n"/>
      <c r="Y645" s="81" t="n"/>
      <c r="Z645" s="82" t="n"/>
      <c r="AA645" s="81" t="n"/>
      <c r="AB645" s="82" t="n"/>
      <c r="AC645" s="87">
        <f>IF(OR($D645="",$M645="Rejected",$M645="Withdrawn",$M645="Accepted"),"",IF(ISNUMBER($O645),IF(INT($O645)&lt;TODAY(),"FOLLOW UP REQUIRED",IF(INT($O645)=TODAY(),"ACTION DUE TODAY",IF(INT($O645)-TODAY()&lt;=Set_DueSoonDays,"DUE SOON",""))),IF(AND($M645="Applied",$AA645=""),IF(ISNUMBER($C645),IF(TODAY()-$C645&gt;=Set_FollowUpDays,"NO RESPONSE",""),""),"")))</f>
        <v/>
      </c>
      <c r="AD645" s="87">
        <f>IF(ISNUMBER($L645),IF($L645&gt;=90,"Excellent Match",IF($L645&gt;=75,"Strong Match",IF($L645&gt;=60,"Moderate Match","Low Match"))),"")</f>
        <v/>
      </c>
      <c r="AE645" s="87">
        <f>IF($D645="","",IF(OR($M645="Rejected",$M645="Withdrawn"),IF($AB645&lt;&gt;"",$AB645,IF(OR($M645="Rejected",ISNUMBER($C645)),"Applied","Wishlist")),IF($M645="",IF(ISNUMBER($C645),"Applied","Wishlist"),$M645)))</f>
        <v/>
      </c>
      <c r="AF645" s="88">
        <f>IF(AND(ISNUMBER($C645),ISNUMBER($AA645)),$AA645-$C645,"")</f>
        <v/>
      </c>
      <c r="AG645" s="87">
        <f>IF($AE645="","",IFERROR(MATCH($AE645,{"Wishlist","Applied","Screening","Interview 1","Interview 2","Final","Offer","Accepted"},0)-1,""))</f>
        <v/>
      </c>
      <c r="AH645" s="87">
        <f>IF($AC645="","",MATCH($AC645,{"FOLLOW UP REQUIRED","ACTION DUE TODAY","NO RESPONSE","DUE SOON"},0)*100000+IF(ISNUMBER($O645),$O645,IF(ISNUMBER($C645),$C645,0))+ROW()/10000)</f>
        <v/>
      </c>
      <c r="AI645" s="87">
        <f>IF(AND(ISNUMBER($AG645),$AG645&gt;=1,$AG645&lt;=6,$M645&lt;&gt;"Rejected",$M645&lt;&gt;"Withdrawn"),(10-$AG645)*100000+IF(ISNUMBER($C645),$C645,0)+ROW()/10000,"")</f>
        <v/>
      </c>
    </row>
    <row r="646">
      <c r="A646" s="80" t="n"/>
      <c r="B646" s="81" t="n"/>
      <c r="C646" s="81" t="n"/>
      <c r="D646" s="82" t="n"/>
      <c r="E646" s="82" t="n"/>
      <c r="F646" s="82" t="n"/>
      <c r="G646" s="82" t="n"/>
      <c r="H646" s="82" t="n"/>
      <c r="I646" s="83" t="n"/>
      <c r="J646" s="82" t="n"/>
      <c r="K646" s="84" t="n"/>
      <c r="L646" s="85" t="n"/>
      <c r="M646" s="82" t="n"/>
      <c r="N646" s="86" t="n"/>
      <c r="O646" s="81" t="n"/>
      <c r="P646" s="82" t="n"/>
      <c r="Q646" s="83" t="n"/>
      <c r="R646" s="82" t="n"/>
      <c r="S646" s="84" t="n"/>
      <c r="T646" s="84" t="n"/>
      <c r="U646" s="82" t="n"/>
      <c r="V646" s="86" t="n"/>
      <c r="W646" s="86" t="n"/>
      <c r="X646" s="86" t="n"/>
      <c r="Y646" s="81" t="n"/>
      <c r="Z646" s="82" t="n"/>
      <c r="AA646" s="81" t="n"/>
      <c r="AB646" s="82" t="n"/>
      <c r="AC646" s="87">
        <f>IF(OR($D646="",$M646="Rejected",$M646="Withdrawn",$M646="Accepted"),"",IF(ISNUMBER($O646),IF(INT($O646)&lt;TODAY(),"FOLLOW UP REQUIRED",IF(INT($O646)=TODAY(),"ACTION DUE TODAY",IF(INT($O646)-TODAY()&lt;=Set_DueSoonDays,"DUE SOON",""))),IF(AND($M646="Applied",$AA646=""),IF(ISNUMBER($C646),IF(TODAY()-$C646&gt;=Set_FollowUpDays,"NO RESPONSE",""),""),"")))</f>
        <v/>
      </c>
      <c r="AD646" s="87">
        <f>IF(ISNUMBER($L646),IF($L646&gt;=90,"Excellent Match",IF($L646&gt;=75,"Strong Match",IF($L646&gt;=60,"Moderate Match","Low Match"))),"")</f>
        <v/>
      </c>
      <c r="AE646" s="87">
        <f>IF($D646="","",IF(OR($M646="Rejected",$M646="Withdrawn"),IF($AB646&lt;&gt;"",$AB646,IF(OR($M646="Rejected",ISNUMBER($C646)),"Applied","Wishlist")),IF($M646="",IF(ISNUMBER($C646),"Applied","Wishlist"),$M646)))</f>
        <v/>
      </c>
      <c r="AF646" s="88">
        <f>IF(AND(ISNUMBER($C646),ISNUMBER($AA646)),$AA646-$C646,"")</f>
        <v/>
      </c>
      <c r="AG646" s="87">
        <f>IF($AE646="","",IFERROR(MATCH($AE646,{"Wishlist","Applied","Screening","Interview 1","Interview 2","Final","Offer","Accepted"},0)-1,""))</f>
        <v/>
      </c>
      <c r="AH646" s="87">
        <f>IF($AC646="","",MATCH($AC646,{"FOLLOW UP REQUIRED","ACTION DUE TODAY","NO RESPONSE","DUE SOON"},0)*100000+IF(ISNUMBER($O646),$O646,IF(ISNUMBER($C646),$C646,0))+ROW()/10000)</f>
        <v/>
      </c>
      <c r="AI646" s="87">
        <f>IF(AND(ISNUMBER($AG646),$AG646&gt;=1,$AG646&lt;=6,$M646&lt;&gt;"Rejected",$M646&lt;&gt;"Withdrawn"),(10-$AG646)*100000+IF(ISNUMBER($C646),$C646,0)+ROW()/10000,"")</f>
        <v/>
      </c>
    </row>
    <row r="647">
      <c r="A647" s="80" t="n"/>
      <c r="B647" s="81" t="n"/>
      <c r="C647" s="81" t="n"/>
      <c r="D647" s="82" t="n"/>
      <c r="E647" s="82" t="n"/>
      <c r="F647" s="82" t="n"/>
      <c r="G647" s="82" t="n"/>
      <c r="H647" s="82" t="n"/>
      <c r="I647" s="83" t="n"/>
      <c r="J647" s="82" t="n"/>
      <c r="K647" s="84" t="n"/>
      <c r="L647" s="85" t="n"/>
      <c r="M647" s="82" t="n"/>
      <c r="N647" s="86" t="n"/>
      <c r="O647" s="81" t="n"/>
      <c r="P647" s="82" t="n"/>
      <c r="Q647" s="83" t="n"/>
      <c r="R647" s="82" t="n"/>
      <c r="S647" s="84" t="n"/>
      <c r="T647" s="84" t="n"/>
      <c r="U647" s="82" t="n"/>
      <c r="V647" s="86" t="n"/>
      <c r="W647" s="86" t="n"/>
      <c r="X647" s="86" t="n"/>
      <c r="Y647" s="81" t="n"/>
      <c r="Z647" s="82" t="n"/>
      <c r="AA647" s="81" t="n"/>
      <c r="AB647" s="82" t="n"/>
      <c r="AC647" s="87">
        <f>IF(OR($D647="",$M647="Rejected",$M647="Withdrawn",$M647="Accepted"),"",IF(ISNUMBER($O647),IF(INT($O647)&lt;TODAY(),"FOLLOW UP REQUIRED",IF(INT($O647)=TODAY(),"ACTION DUE TODAY",IF(INT($O647)-TODAY()&lt;=Set_DueSoonDays,"DUE SOON",""))),IF(AND($M647="Applied",$AA647=""),IF(ISNUMBER($C647),IF(TODAY()-$C647&gt;=Set_FollowUpDays,"NO RESPONSE",""),""),"")))</f>
        <v/>
      </c>
      <c r="AD647" s="87">
        <f>IF(ISNUMBER($L647),IF($L647&gt;=90,"Excellent Match",IF($L647&gt;=75,"Strong Match",IF($L647&gt;=60,"Moderate Match","Low Match"))),"")</f>
        <v/>
      </c>
      <c r="AE647" s="87">
        <f>IF($D647="","",IF(OR($M647="Rejected",$M647="Withdrawn"),IF($AB647&lt;&gt;"",$AB647,IF(OR($M647="Rejected",ISNUMBER($C647)),"Applied","Wishlist")),IF($M647="",IF(ISNUMBER($C647),"Applied","Wishlist"),$M647)))</f>
        <v/>
      </c>
      <c r="AF647" s="88">
        <f>IF(AND(ISNUMBER($C647),ISNUMBER($AA647)),$AA647-$C647,"")</f>
        <v/>
      </c>
      <c r="AG647" s="87">
        <f>IF($AE647="","",IFERROR(MATCH($AE647,{"Wishlist","Applied","Screening","Interview 1","Interview 2","Final","Offer","Accepted"},0)-1,""))</f>
        <v/>
      </c>
      <c r="AH647" s="87">
        <f>IF($AC647="","",MATCH($AC647,{"FOLLOW UP REQUIRED","ACTION DUE TODAY","NO RESPONSE","DUE SOON"},0)*100000+IF(ISNUMBER($O647),$O647,IF(ISNUMBER($C647),$C647,0))+ROW()/10000)</f>
        <v/>
      </c>
      <c r="AI647" s="87">
        <f>IF(AND(ISNUMBER($AG647),$AG647&gt;=1,$AG647&lt;=6,$M647&lt;&gt;"Rejected",$M647&lt;&gt;"Withdrawn"),(10-$AG647)*100000+IF(ISNUMBER($C647),$C647,0)+ROW()/10000,"")</f>
        <v/>
      </c>
    </row>
    <row r="648">
      <c r="A648" s="80" t="n"/>
      <c r="B648" s="81" t="n"/>
      <c r="C648" s="81" t="n"/>
      <c r="D648" s="82" t="n"/>
      <c r="E648" s="82" t="n"/>
      <c r="F648" s="82" t="n"/>
      <c r="G648" s="82" t="n"/>
      <c r="H648" s="82" t="n"/>
      <c r="I648" s="83" t="n"/>
      <c r="J648" s="82" t="n"/>
      <c r="K648" s="84" t="n"/>
      <c r="L648" s="85" t="n"/>
      <c r="M648" s="82" t="n"/>
      <c r="N648" s="86" t="n"/>
      <c r="O648" s="81" t="n"/>
      <c r="P648" s="82" t="n"/>
      <c r="Q648" s="83" t="n"/>
      <c r="R648" s="82" t="n"/>
      <c r="S648" s="84" t="n"/>
      <c r="T648" s="84" t="n"/>
      <c r="U648" s="82" t="n"/>
      <c r="V648" s="86" t="n"/>
      <c r="W648" s="86" t="n"/>
      <c r="X648" s="86" t="n"/>
      <c r="Y648" s="81" t="n"/>
      <c r="Z648" s="82" t="n"/>
      <c r="AA648" s="81" t="n"/>
      <c r="AB648" s="82" t="n"/>
      <c r="AC648" s="87">
        <f>IF(OR($D648="",$M648="Rejected",$M648="Withdrawn",$M648="Accepted"),"",IF(ISNUMBER($O648),IF(INT($O648)&lt;TODAY(),"FOLLOW UP REQUIRED",IF(INT($O648)=TODAY(),"ACTION DUE TODAY",IF(INT($O648)-TODAY()&lt;=Set_DueSoonDays,"DUE SOON",""))),IF(AND($M648="Applied",$AA648=""),IF(ISNUMBER($C648),IF(TODAY()-$C648&gt;=Set_FollowUpDays,"NO RESPONSE",""),""),"")))</f>
        <v/>
      </c>
      <c r="AD648" s="87">
        <f>IF(ISNUMBER($L648),IF($L648&gt;=90,"Excellent Match",IF($L648&gt;=75,"Strong Match",IF($L648&gt;=60,"Moderate Match","Low Match"))),"")</f>
        <v/>
      </c>
      <c r="AE648" s="87">
        <f>IF($D648="","",IF(OR($M648="Rejected",$M648="Withdrawn"),IF($AB648&lt;&gt;"",$AB648,IF(OR($M648="Rejected",ISNUMBER($C648)),"Applied","Wishlist")),IF($M648="",IF(ISNUMBER($C648),"Applied","Wishlist"),$M648)))</f>
        <v/>
      </c>
      <c r="AF648" s="88">
        <f>IF(AND(ISNUMBER($C648),ISNUMBER($AA648)),$AA648-$C648,"")</f>
        <v/>
      </c>
      <c r="AG648" s="87">
        <f>IF($AE648="","",IFERROR(MATCH($AE648,{"Wishlist","Applied","Screening","Interview 1","Interview 2","Final","Offer","Accepted"},0)-1,""))</f>
        <v/>
      </c>
      <c r="AH648" s="87">
        <f>IF($AC648="","",MATCH($AC648,{"FOLLOW UP REQUIRED","ACTION DUE TODAY","NO RESPONSE","DUE SOON"},0)*100000+IF(ISNUMBER($O648),$O648,IF(ISNUMBER($C648),$C648,0))+ROW()/10000)</f>
        <v/>
      </c>
      <c r="AI648" s="87">
        <f>IF(AND(ISNUMBER($AG648),$AG648&gt;=1,$AG648&lt;=6,$M648&lt;&gt;"Rejected",$M648&lt;&gt;"Withdrawn"),(10-$AG648)*100000+IF(ISNUMBER($C648),$C648,0)+ROW()/10000,"")</f>
        <v/>
      </c>
    </row>
    <row r="649">
      <c r="A649" s="80" t="n"/>
      <c r="B649" s="81" t="n"/>
      <c r="C649" s="81" t="n"/>
      <c r="D649" s="82" t="n"/>
      <c r="E649" s="82" t="n"/>
      <c r="F649" s="82" t="n"/>
      <c r="G649" s="82" t="n"/>
      <c r="H649" s="82" t="n"/>
      <c r="I649" s="83" t="n"/>
      <c r="J649" s="82" t="n"/>
      <c r="K649" s="84" t="n"/>
      <c r="L649" s="85" t="n"/>
      <c r="M649" s="82" t="n"/>
      <c r="N649" s="86" t="n"/>
      <c r="O649" s="81" t="n"/>
      <c r="P649" s="82" t="n"/>
      <c r="Q649" s="83" t="n"/>
      <c r="R649" s="82" t="n"/>
      <c r="S649" s="84" t="n"/>
      <c r="T649" s="84" t="n"/>
      <c r="U649" s="82" t="n"/>
      <c r="V649" s="86" t="n"/>
      <c r="W649" s="86" t="n"/>
      <c r="X649" s="86" t="n"/>
      <c r="Y649" s="81" t="n"/>
      <c r="Z649" s="82" t="n"/>
      <c r="AA649" s="81" t="n"/>
      <c r="AB649" s="82" t="n"/>
      <c r="AC649" s="87">
        <f>IF(OR($D649="",$M649="Rejected",$M649="Withdrawn",$M649="Accepted"),"",IF(ISNUMBER($O649),IF(INT($O649)&lt;TODAY(),"FOLLOW UP REQUIRED",IF(INT($O649)=TODAY(),"ACTION DUE TODAY",IF(INT($O649)-TODAY()&lt;=Set_DueSoonDays,"DUE SOON",""))),IF(AND($M649="Applied",$AA649=""),IF(ISNUMBER($C649),IF(TODAY()-$C649&gt;=Set_FollowUpDays,"NO RESPONSE",""),""),"")))</f>
        <v/>
      </c>
      <c r="AD649" s="87">
        <f>IF(ISNUMBER($L649),IF($L649&gt;=90,"Excellent Match",IF($L649&gt;=75,"Strong Match",IF($L649&gt;=60,"Moderate Match","Low Match"))),"")</f>
        <v/>
      </c>
      <c r="AE649" s="87">
        <f>IF($D649="","",IF(OR($M649="Rejected",$M649="Withdrawn"),IF($AB649&lt;&gt;"",$AB649,IF(OR($M649="Rejected",ISNUMBER($C649)),"Applied","Wishlist")),IF($M649="",IF(ISNUMBER($C649),"Applied","Wishlist"),$M649)))</f>
        <v/>
      </c>
      <c r="AF649" s="88">
        <f>IF(AND(ISNUMBER($C649),ISNUMBER($AA649)),$AA649-$C649,"")</f>
        <v/>
      </c>
      <c r="AG649" s="87">
        <f>IF($AE649="","",IFERROR(MATCH($AE649,{"Wishlist","Applied","Screening","Interview 1","Interview 2","Final","Offer","Accepted"},0)-1,""))</f>
        <v/>
      </c>
      <c r="AH649" s="87">
        <f>IF($AC649="","",MATCH($AC649,{"FOLLOW UP REQUIRED","ACTION DUE TODAY","NO RESPONSE","DUE SOON"},0)*100000+IF(ISNUMBER($O649),$O649,IF(ISNUMBER($C649),$C649,0))+ROW()/10000)</f>
        <v/>
      </c>
      <c r="AI649" s="87">
        <f>IF(AND(ISNUMBER($AG649),$AG649&gt;=1,$AG649&lt;=6,$M649&lt;&gt;"Rejected",$M649&lt;&gt;"Withdrawn"),(10-$AG649)*100000+IF(ISNUMBER($C649),$C649,0)+ROW()/10000,"")</f>
        <v/>
      </c>
    </row>
    <row r="650">
      <c r="A650" s="80" t="n"/>
      <c r="B650" s="81" t="n"/>
      <c r="C650" s="81" t="n"/>
      <c r="D650" s="82" t="n"/>
      <c r="E650" s="82" t="n"/>
      <c r="F650" s="82" t="n"/>
      <c r="G650" s="82" t="n"/>
      <c r="H650" s="82" t="n"/>
      <c r="I650" s="83" t="n"/>
      <c r="J650" s="82" t="n"/>
      <c r="K650" s="84" t="n"/>
      <c r="L650" s="85" t="n"/>
      <c r="M650" s="82" t="n"/>
      <c r="N650" s="86" t="n"/>
      <c r="O650" s="81" t="n"/>
      <c r="P650" s="82" t="n"/>
      <c r="Q650" s="83" t="n"/>
      <c r="R650" s="82" t="n"/>
      <c r="S650" s="84" t="n"/>
      <c r="T650" s="84" t="n"/>
      <c r="U650" s="82" t="n"/>
      <c r="V650" s="86" t="n"/>
      <c r="W650" s="86" t="n"/>
      <c r="X650" s="86" t="n"/>
      <c r="Y650" s="81" t="n"/>
      <c r="Z650" s="82" t="n"/>
      <c r="AA650" s="81" t="n"/>
      <c r="AB650" s="82" t="n"/>
      <c r="AC650" s="87">
        <f>IF(OR($D650="",$M650="Rejected",$M650="Withdrawn",$M650="Accepted"),"",IF(ISNUMBER($O650),IF(INT($O650)&lt;TODAY(),"FOLLOW UP REQUIRED",IF(INT($O650)=TODAY(),"ACTION DUE TODAY",IF(INT($O650)-TODAY()&lt;=Set_DueSoonDays,"DUE SOON",""))),IF(AND($M650="Applied",$AA650=""),IF(ISNUMBER($C650),IF(TODAY()-$C650&gt;=Set_FollowUpDays,"NO RESPONSE",""),""),"")))</f>
        <v/>
      </c>
      <c r="AD650" s="87">
        <f>IF(ISNUMBER($L650),IF($L650&gt;=90,"Excellent Match",IF($L650&gt;=75,"Strong Match",IF($L650&gt;=60,"Moderate Match","Low Match"))),"")</f>
        <v/>
      </c>
      <c r="AE650" s="87">
        <f>IF($D650="","",IF(OR($M650="Rejected",$M650="Withdrawn"),IF($AB650&lt;&gt;"",$AB650,IF(OR($M650="Rejected",ISNUMBER($C650)),"Applied","Wishlist")),IF($M650="",IF(ISNUMBER($C650),"Applied","Wishlist"),$M650)))</f>
        <v/>
      </c>
      <c r="AF650" s="88">
        <f>IF(AND(ISNUMBER($C650),ISNUMBER($AA650)),$AA650-$C650,"")</f>
        <v/>
      </c>
      <c r="AG650" s="87">
        <f>IF($AE650="","",IFERROR(MATCH($AE650,{"Wishlist","Applied","Screening","Interview 1","Interview 2","Final","Offer","Accepted"},0)-1,""))</f>
        <v/>
      </c>
      <c r="AH650" s="87">
        <f>IF($AC650="","",MATCH($AC650,{"FOLLOW UP REQUIRED","ACTION DUE TODAY","NO RESPONSE","DUE SOON"},0)*100000+IF(ISNUMBER($O650),$O650,IF(ISNUMBER($C650),$C650,0))+ROW()/10000)</f>
        <v/>
      </c>
      <c r="AI650" s="87">
        <f>IF(AND(ISNUMBER($AG650),$AG650&gt;=1,$AG650&lt;=6,$M650&lt;&gt;"Rejected",$M650&lt;&gt;"Withdrawn"),(10-$AG650)*100000+IF(ISNUMBER($C650),$C650,0)+ROW()/10000,"")</f>
        <v/>
      </c>
    </row>
    <row r="651">
      <c r="A651" s="80" t="n"/>
      <c r="B651" s="81" t="n"/>
      <c r="C651" s="81" t="n"/>
      <c r="D651" s="82" t="n"/>
      <c r="E651" s="82" t="n"/>
      <c r="F651" s="82" t="n"/>
      <c r="G651" s="82" t="n"/>
      <c r="H651" s="82" t="n"/>
      <c r="I651" s="83" t="n"/>
      <c r="J651" s="82" t="n"/>
      <c r="K651" s="84" t="n"/>
      <c r="L651" s="85" t="n"/>
      <c r="M651" s="82" t="n"/>
      <c r="N651" s="86" t="n"/>
      <c r="O651" s="81" t="n"/>
      <c r="P651" s="82" t="n"/>
      <c r="Q651" s="83" t="n"/>
      <c r="R651" s="82" t="n"/>
      <c r="S651" s="84" t="n"/>
      <c r="T651" s="84" t="n"/>
      <c r="U651" s="82" t="n"/>
      <c r="V651" s="86" t="n"/>
      <c r="W651" s="86" t="n"/>
      <c r="X651" s="86" t="n"/>
      <c r="Y651" s="81" t="n"/>
      <c r="Z651" s="82" t="n"/>
      <c r="AA651" s="81" t="n"/>
      <c r="AB651" s="82" t="n"/>
      <c r="AC651" s="87">
        <f>IF(OR($D651="",$M651="Rejected",$M651="Withdrawn",$M651="Accepted"),"",IF(ISNUMBER($O651),IF(INT($O651)&lt;TODAY(),"FOLLOW UP REQUIRED",IF(INT($O651)=TODAY(),"ACTION DUE TODAY",IF(INT($O651)-TODAY()&lt;=Set_DueSoonDays,"DUE SOON",""))),IF(AND($M651="Applied",$AA651=""),IF(ISNUMBER($C651),IF(TODAY()-$C651&gt;=Set_FollowUpDays,"NO RESPONSE",""),""),"")))</f>
        <v/>
      </c>
      <c r="AD651" s="87">
        <f>IF(ISNUMBER($L651),IF($L651&gt;=90,"Excellent Match",IF($L651&gt;=75,"Strong Match",IF($L651&gt;=60,"Moderate Match","Low Match"))),"")</f>
        <v/>
      </c>
      <c r="AE651" s="87">
        <f>IF($D651="","",IF(OR($M651="Rejected",$M651="Withdrawn"),IF($AB651&lt;&gt;"",$AB651,IF(OR($M651="Rejected",ISNUMBER($C651)),"Applied","Wishlist")),IF($M651="",IF(ISNUMBER($C651),"Applied","Wishlist"),$M651)))</f>
        <v/>
      </c>
      <c r="AF651" s="88">
        <f>IF(AND(ISNUMBER($C651),ISNUMBER($AA651)),$AA651-$C651,"")</f>
        <v/>
      </c>
      <c r="AG651" s="87">
        <f>IF($AE651="","",IFERROR(MATCH($AE651,{"Wishlist","Applied","Screening","Interview 1","Interview 2","Final","Offer","Accepted"},0)-1,""))</f>
        <v/>
      </c>
      <c r="AH651" s="87">
        <f>IF($AC651="","",MATCH($AC651,{"FOLLOW UP REQUIRED","ACTION DUE TODAY","NO RESPONSE","DUE SOON"},0)*100000+IF(ISNUMBER($O651),$O651,IF(ISNUMBER($C651),$C651,0))+ROW()/10000)</f>
        <v/>
      </c>
      <c r="AI651" s="87">
        <f>IF(AND(ISNUMBER($AG651),$AG651&gt;=1,$AG651&lt;=6,$M651&lt;&gt;"Rejected",$M651&lt;&gt;"Withdrawn"),(10-$AG651)*100000+IF(ISNUMBER($C651),$C651,0)+ROW()/10000,"")</f>
        <v/>
      </c>
    </row>
    <row r="652">
      <c r="A652" s="80" t="n"/>
      <c r="B652" s="81" t="n"/>
      <c r="C652" s="81" t="n"/>
      <c r="D652" s="82" t="n"/>
      <c r="E652" s="82" t="n"/>
      <c r="F652" s="82" t="n"/>
      <c r="G652" s="82" t="n"/>
      <c r="H652" s="82" t="n"/>
      <c r="I652" s="83" t="n"/>
      <c r="J652" s="82" t="n"/>
      <c r="K652" s="84" t="n"/>
      <c r="L652" s="85" t="n"/>
      <c r="M652" s="82" t="n"/>
      <c r="N652" s="86" t="n"/>
      <c r="O652" s="81" t="n"/>
      <c r="P652" s="82" t="n"/>
      <c r="Q652" s="83" t="n"/>
      <c r="R652" s="82" t="n"/>
      <c r="S652" s="84" t="n"/>
      <c r="T652" s="84" t="n"/>
      <c r="U652" s="82" t="n"/>
      <c r="V652" s="86" t="n"/>
      <c r="W652" s="86" t="n"/>
      <c r="X652" s="86" t="n"/>
      <c r="Y652" s="81" t="n"/>
      <c r="Z652" s="82" t="n"/>
      <c r="AA652" s="81" t="n"/>
      <c r="AB652" s="82" t="n"/>
      <c r="AC652" s="87">
        <f>IF(OR($D652="",$M652="Rejected",$M652="Withdrawn",$M652="Accepted"),"",IF(ISNUMBER($O652),IF(INT($O652)&lt;TODAY(),"FOLLOW UP REQUIRED",IF(INT($O652)=TODAY(),"ACTION DUE TODAY",IF(INT($O652)-TODAY()&lt;=Set_DueSoonDays,"DUE SOON",""))),IF(AND($M652="Applied",$AA652=""),IF(ISNUMBER($C652),IF(TODAY()-$C652&gt;=Set_FollowUpDays,"NO RESPONSE",""),""),"")))</f>
        <v/>
      </c>
      <c r="AD652" s="87">
        <f>IF(ISNUMBER($L652),IF($L652&gt;=90,"Excellent Match",IF($L652&gt;=75,"Strong Match",IF($L652&gt;=60,"Moderate Match","Low Match"))),"")</f>
        <v/>
      </c>
      <c r="AE652" s="87">
        <f>IF($D652="","",IF(OR($M652="Rejected",$M652="Withdrawn"),IF($AB652&lt;&gt;"",$AB652,IF(OR($M652="Rejected",ISNUMBER($C652)),"Applied","Wishlist")),IF($M652="",IF(ISNUMBER($C652),"Applied","Wishlist"),$M652)))</f>
        <v/>
      </c>
      <c r="AF652" s="88">
        <f>IF(AND(ISNUMBER($C652),ISNUMBER($AA652)),$AA652-$C652,"")</f>
        <v/>
      </c>
      <c r="AG652" s="87">
        <f>IF($AE652="","",IFERROR(MATCH($AE652,{"Wishlist","Applied","Screening","Interview 1","Interview 2","Final","Offer","Accepted"},0)-1,""))</f>
        <v/>
      </c>
      <c r="AH652" s="87">
        <f>IF($AC652="","",MATCH($AC652,{"FOLLOW UP REQUIRED","ACTION DUE TODAY","NO RESPONSE","DUE SOON"},0)*100000+IF(ISNUMBER($O652),$O652,IF(ISNUMBER($C652),$C652,0))+ROW()/10000)</f>
        <v/>
      </c>
      <c r="AI652" s="87">
        <f>IF(AND(ISNUMBER($AG652),$AG652&gt;=1,$AG652&lt;=6,$M652&lt;&gt;"Rejected",$M652&lt;&gt;"Withdrawn"),(10-$AG652)*100000+IF(ISNUMBER($C652),$C652,0)+ROW()/10000,"")</f>
        <v/>
      </c>
    </row>
    <row r="653">
      <c r="A653" s="80" t="n"/>
      <c r="B653" s="81" t="n"/>
      <c r="C653" s="81" t="n"/>
      <c r="D653" s="82" t="n"/>
      <c r="E653" s="82" t="n"/>
      <c r="F653" s="82" t="n"/>
      <c r="G653" s="82" t="n"/>
      <c r="H653" s="82" t="n"/>
      <c r="I653" s="83" t="n"/>
      <c r="J653" s="82" t="n"/>
      <c r="K653" s="84" t="n"/>
      <c r="L653" s="85" t="n"/>
      <c r="M653" s="82" t="n"/>
      <c r="N653" s="86" t="n"/>
      <c r="O653" s="81" t="n"/>
      <c r="P653" s="82" t="n"/>
      <c r="Q653" s="83" t="n"/>
      <c r="R653" s="82" t="n"/>
      <c r="S653" s="84" t="n"/>
      <c r="T653" s="84" t="n"/>
      <c r="U653" s="82" t="n"/>
      <c r="V653" s="86" t="n"/>
      <c r="W653" s="86" t="n"/>
      <c r="X653" s="86" t="n"/>
      <c r="Y653" s="81" t="n"/>
      <c r="Z653" s="82" t="n"/>
      <c r="AA653" s="81" t="n"/>
      <c r="AB653" s="82" t="n"/>
      <c r="AC653" s="87">
        <f>IF(OR($D653="",$M653="Rejected",$M653="Withdrawn",$M653="Accepted"),"",IF(ISNUMBER($O653),IF(INT($O653)&lt;TODAY(),"FOLLOW UP REQUIRED",IF(INT($O653)=TODAY(),"ACTION DUE TODAY",IF(INT($O653)-TODAY()&lt;=Set_DueSoonDays,"DUE SOON",""))),IF(AND($M653="Applied",$AA653=""),IF(ISNUMBER($C653),IF(TODAY()-$C653&gt;=Set_FollowUpDays,"NO RESPONSE",""),""),"")))</f>
        <v/>
      </c>
      <c r="AD653" s="87">
        <f>IF(ISNUMBER($L653),IF($L653&gt;=90,"Excellent Match",IF($L653&gt;=75,"Strong Match",IF($L653&gt;=60,"Moderate Match","Low Match"))),"")</f>
        <v/>
      </c>
      <c r="AE653" s="87">
        <f>IF($D653="","",IF(OR($M653="Rejected",$M653="Withdrawn"),IF($AB653&lt;&gt;"",$AB653,IF(OR($M653="Rejected",ISNUMBER($C653)),"Applied","Wishlist")),IF($M653="",IF(ISNUMBER($C653),"Applied","Wishlist"),$M653)))</f>
        <v/>
      </c>
      <c r="AF653" s="88">
        <f>IF(AND(ISNUMBER($C653),ISNUMBER($AA653)),$AA653-$C653,"")</f>
        <v/>
      </c>
      <c r="AG653" s="87">
        <f>IF($AE653="","",IFERROR(MATCH($AE653,{"Wishlist","Applied","Screening","Interview 1","Interview 2","Final","Offer","Accepted"},0)-1,""))</f>
        <v/>
      </c>
      <c r="AH653" s="87">
        <f>IF($AC653="","",MATCH($AC653,{"FOLLOW UP REQUIRED","ACTION DUE TODAY","NO RESPONSE","DUE SOON"},0)*100000+IF(ISNUMBER($O653),$O653,IF(ISNUMBER($C653),$C653,0))+ROW()/10000)</f>
        <v/>
      </c>
      <c r="AI653" s="87">
        <f>IF(AND(ISNUMBER($AG653),$AG653&gt;=1,$AG653&lt;=6,$M653&lt;&gt;"Rejected",$M653&lt;&gt;"Withdrawn"),(10-$AG653)*100000+IF(ISNUMBER($C653),$C653,0)+ROW()/10000,"")</f>
        <v/>
      </c>
    </row>
    <row r="654">
      <c r="A654" s="80" t="n"/>
      <c r="B654" s="81" t="n"/>
      <c r="C654" s="81" t="n"/>
      <c r="D654" s="82" t="n"/>
      <c r="E654" s="82" t="n"/>
      <c r="F654" s="82" t="n"/>
      <c r="G654" s="82" t="n"/>
      <c r="H654" s="82" t="n"/>
      <c r="I654" s="83" t="n"/>
      <c r="J654" s="82" t="n"/>
      <c r="K654" s="84" t="n"/>
      <c r="L654" s="85" t="n"/>
      <c r="M654" s="82" t="n"/>
      <c r="N654" s="86" t="n"/>
      <c r="O654" s="81" t="n"/>
      <c r="P654" s="82" t="n"/>
      <c r="Q654" s="83" t="n"/>
      <c r="R654" s="82" t="n"/>
      <c r="S654" s="84" t="n"/>
      <c r="T654" s="84" t="n"/>
      <c r="U654" s="82" t="n"/>
      <c r="V654" s="86" t="n"/>
      <c r="W654" s="86" t="n"/>
      <c r="X654" s="86" t="n"/>
      <c r="Y654" s="81" t="n"/>
      <c r="Z654" s="82" t="n"/>
      <c r="AA654" s="81" t="n"/>
      <c r="AB654" s="82" t="n"/>
      <c r="AC654" s="87">
        <f>IF(OR($D654="",$M654="Rejected",$M654="Withdrawn",$M654="Accepted"),"",IF(ISNUMBER($O654),IF(INT($O654)&lt;TODAY(),"FOLLOW UP REQUIRED",IF(INT($O654)=TODAY(),"ACTION DUE TODAY",IF(INT($O654)-TODAY()&lt;=Set_DueSoonDays,"DUE SOON",""))),IF(AND($M654="Applied",$AA654=""),IF(ISNUMBER($C654),IF(TODAY()-$C654&gt;=Set_FollowUpDays,"NO RESPONSE",""),""),"")))</f>
        <v/>
      </c>
      <c r="AD654" s="87">
        <f>IF(ISNUMBER($L654),IF($L654&gt;=90,"Excellent Match",IF($L654&gt;=75,"Strong Match",IF($L654&gt;=60,"Moderate Match","Low Match"))),"")</f>
        <v/>
      </c>
      <c r="AE654" s="87">
        <f>IF($D654="","",IF(OR($M654="Rejected",$M654="Withdrawn"),IF($AB654&lt;&gt;"",$AB654,IF(OR($M654="Rejected",ISNUMBER($C654)),"Applied","Wishlist")),IF($M654="",IF(ISNUMBER($C654),"Applied","Wishlist"),$M654)))</f>
        <v/>
      </c>
      <c r="AF654" s="88">
        <f>IF(AND(ISNUMBER($C654),ISNUMBER($AA654)),$AA654-$C654,"")</f>
        <v/>
      </c>
      <c r="AG654" s="87">
        <f>IF($AE654="","",IFERROR(MATCH($AE654,{"Wishlist","Applied","Screening","Interview 1","Interview 2","Final","Offer","Accepted"},0)-1,""))</f>
        <v/>
      </c>
      <c r="AH654" s="87">
        <f>IF($AC654="","",MATCH($AC654,{"FOLLOW UP REQUIRED","ACTION DUE TODAY","NO RESPONSE","DUE SOON"},0)*100000+IF(ISNUMBER($O654),$O654,IF(ISNUMBER($C654),$C654,0))+ROW()/10000)</f>
        <v/>
      </c>
      <c r="AI654" s="87">
        <f>IF(AND(ISNUMBER($AG654),$AG654&gt;=1,$AG654&lt;=6,$M654&lt;&gt;"Rejected",$M654&lt;&gt;"Withdrawn"),(10-$AG654)*100000+IF(ISNUMBER($C654),$C654,0)+ROW()/10000,"")</f>
        <v/>
      </c>
    </row>
    <row r="655">
      <c r="A655" s="80" t="n"/>
      <c r="B655" s="81" t="n"/>
      <c r="C655" s="81" t="n"/>
      <c r="D655" s="82" t="n"/>
      <c r="E655" s="82" t="n"/>
      <c r="F655" s="82" t="n"/>
      <c r="G655" s="82" t="n"/>
      <c r="H655" s="82" t="n"/>
      <c r="I655" s="83" t="n"/>
      <c r="J655" s="82" t="n"/>
      <c r="K655" s="84" t="n"/>
      <c r="L655" s="85" t="n"/>
      <c r="M655" s="82" t="n"/>
      <c r="N655" s="86" t="n"/>
      <c r="O655" s="81" t="n"/>
      <c r="P655" s="82" t="n"/>
      <c r="Q655" s="83" t="n"/>
      <c r="R655" s="82" t="n"/>
      <c r="S655" s="84" t="n"/>
      <c r="T655" s="84" t="n"/>
      <c r="U655" s="82" t="n"/>
      <c r="V655" s="86" t="n"/>
      <c r="W655" s="86" t="n"/>
      <c r="X655" s="86" t="n"/>
      <c r="Y655" s="81" t="n"/>
      <c r="Z655" s="82" t="n"/>
      <c r="AA655" s="81" t="n"/>
      <c r="AB655" s="82" t="n"/>
      <c r="AC655" s="87">
        <f>IF(OR($D655="",$M655="Rejected",$M655="Withdrawn",$M655="Accepted"),"",IF(ISNUMBER($O655),IF(INT($O655)&lt;TODAY(),"FOLLOW UP REQUIRED",IF(INT($O655)=TODAY(),"ACTION DUE TODAY",IF(INT($O655)-TODAY()&lt;=Set_DueSoonDays,"DUE SOON",""))),IF(AND($M655="Applied",$AA655=""),IF(ISNUMBER($C655),IF(TODAY()-$C655&gt;=Set_FollowUpDays,"NO RESPONSE",""),""),"")))</f>
        <v/>
      </c>
      <c r="AD655" s="87">
        <f>IF(ISNUMBER($L655),IF($L655&gt;=90,"Excellent Match",IF($L655&gt;=75,"Strong Match",IF($L655&gt;=60,"Moderate Match","Low Match"))),"")</f>
        <v/>
      </c>
      <c r="AE655" s="87">
        <f>IF($D655="","",IF(OR($M655="Rejected",$M655="Withdrawn"),IF($AB655&lt;&gt;"",$AB655,IF(OR($M655="Rejected",ISNUMBER($C655)),"Applied","Wishlist")),IF($M655="",IF(ISNUMBER($C655),"Applied","Wishlist"),$M655)))</f>
        <v/>
      </c>
      <c r="AF655" s="88">
        <f>IF(AND(ISNUMBER($C655),ISNUMBER($AA655)),$AA655-$C655,"")</f>
        <v/>
      </c>
      <c r="AG655" s="87">
        <f>IF($AE655="","",IFERROR(MATCH($AE655,{"Wishlist","Applied","Screening","Interview 1","Interview 2","Final","Offer","Accepted"},0)-1,""))</f>
        <v/>
      </c>
      <c r="AH655" s="87">
        <f>IF($AC655="","",MATCH($AC655,{"FOLLOW UP REQUIRED","ACTION DUE TODAY","NO RESPONSE","DUE SOON"},0)*100000+IF(ISNUMBER($O655),$O655,IF(ISNUMBER($C655),$C655,0))+ROW()/10000)</f>
        <v/>
      </c>
      <c r="AI655" s="87">
        <f>IF(AND(ISNUMBER($AG655),$AG655&gt;=1,$AG655&lt;=6,$M655&lt;&gt;"Rejected",$M655&lt;&gt;"Withdrawn"),(10-$AG655)*100000+IF(ISNUMBER($C655),$C655,0)+ROW()/10000,"")</f>
        <v/>
      </c>
    </row>
    <row r="656">
      <c r="A656" s="80" t="n"/>
      <c r="B656" s="81" t="n"/>
      <c r="C656" s="81" t="n"/>
      <c r="D656" s="82" t="n"/>
      <c r="E656" s="82" t="n"/>
      <c r="F656" s="82" t="n"/>
      <c r="G656" s="82" t="n"/>
      <c r="H656" s="82" t="n"/>
      <c r="I656" s="83" t="n"/>
      <c r="J656" s="82" t="n"/>
      <c r="K656" s="84" t="n"/>
      <c r="L656" s="85" t="n"/>
      <c r="M656" s="82" t="n"/>
      <c r="N656" s="86" t="n"/>
      <c r="O656" s="81" t="n"/>
      <c r="P656" s="82" t="n"/>
      <c r="Q656" s="83" t="n"/>
      <c r="R656" s="82" t="n"/>
      <c r="S656" s="84" t="n"/>
      <c r="T656" s="84" t="n"/>
      <c r="U656" s="82" t="n"/>
      <c r="V656" s="86" t="n"/>
      <c r="W656" s="86" t="n"/>
      <c r="X656" s="86" t="n"/>
      <c r="Y656" s="81" t="n"/>
      <c r="Z656" s="82" t="n"/>
      <c r="AA656" s="81" t="n"/>
      <c r="AB656" s="82" t="n"/>
      <c r="AC656" s="87">
        <f>IF(OR($D656="",$M656="Rejected",$M656="Withdrawn",$M656="Accepted"),"",IF(ISNUMBER($O656),IF(INT($O656)&lt;TODAY(),"FOLLOW UP REQUIRED",IF(INT($O656)=TODAY(),"ACTION DUE TODAY",IF(INT($O656)-TODAY()&lt;=Set_DueSoonDays,"DUE SOON",""))),IF(AND($M656="Applied",$AA656=""),IF(ISNUMBER($C656),IF(TODAY()-$C656&gt;=Set_FollowUpDays,"NO RESPONSE",""),""),"")))</f>
        <v/>
      </c>
      <c r="AD656" s="87">
        <f>IF(ISNUMBER($L656),IF($L656&gt;=90,"Excellent Match",IF($L656&gt;=75,"Strong Match",IF($L656&gt;=60,"Moderate Match","Low Match"))),"")</f>
        <v/>
      </c>
      <c r="AE656" s="87">
        <f>IF($D656="","",IF(OR($M656="Rejected",$M656="Withdrawn"),IF($AB656&lt;&gt;"",$AB656,IF(OR($M656="Rejected",ISNUMBER($C656)),"Applied","Wishlist")),IF($M656="",IF(ISNUMBER($C656),"Applied","Wishlist"),$M656)))</f>
        <v/>
      </c>
      <c r="AF656" s="88">
        <f>IF(AND(ISNUMBER($C656),ISNUMBER($AA656)),$AA656-$C656,"")</f>
        <v/>
      </c>
      <c r="AG656" s="87">
        <f>IF($AE656="","",IFERROR(MATCH($AE656,{"Wishlist","Applied","Screening","Interview 1","Interview 2","Final","Offer","Accepted"},0)-1,""))</f>
        <v/>
      </c>
      <c r="AH656" s="87">
        <f>IF($AC656="","",MATCH($AC656,{"FOLLOW UP REQUIRED","ACTION DUE TODAY","NO RESPONSE","DUE SOON"},0)*100000+IF(ISNUMBER($O656),$O656,IF(ISNUMBER($C656),$C656,0))+ROW()/10000)</f>
        <v/>
      </c>
      <c r="AI656" s="87">
        <f>IF(AND(ISNUMBER($AG656),$AG656&gt;=1,$AG656&lt;=6,$M656&lt;&gt;"Rejected",$M656&lt;&gt;"Withdrawn"),(10-$AG656)*100000+IF(ISNUMBER($C656),$C656,0)+ROW()/10000,"")</f>
        <v/>
      </c>
    </row>
    <row r="657">
      <c r="A657" s="80" t="n"/>
      <c r="B657" s="81" t="n"/>
      <c r="C657" s="81" t="n"/>
      <c r="D657" s="82" t="n"/>
      <c r="E657" s="82" t="n"/>
      <c r="F657" s="82" t="n"/>
      <c r="G657" s="82" t="n"/>
      <c r="H657" s="82" t="n"/>
      <c r="I657" s="83" t="n"/>
      <c r="J657" s="82" t="n"/>
      <c r="K657" s="84" t="n"/>
      <c r="L657" s="85" t="n"/>
      <c r="M657" s="82" t="n"/>
      <c r="N657" s="86" t="n"/>
      <c r="O657" s="81" t="n"/>
      <c r="P657" s="82" t="n"/>
      <c r="Q657" s="83" t="n"/>
      <c r="R657" s="82" t="n"/>
      <c r="S657" s="84" t="n"/>
      <c r="T657" s="84" t="n"/>
      <c r="U657" s="82" t="n"/>
      <c r="V657" s="86" t="n"/>
      <c r="W657" s="86" t="n"/>
      <c r="X657" s="86" t="n"/>
      <c r="Y657" s="81" t="n"/>
      <c r="Z657" s="82" t="n"/>
      <c r="AA657" s="81" t="n"/>
      <c r="AB657" s="82" t="n"/>
      <c r="AC657" s="87">
        <f>IF(OR($D657="",$M657="Rejected",$M657="Withdrawn",$M657="Accepted"),"",IF(ISNUMBER($O657),IF(INT($O657)&lt;TODAY(),"FOLLOW UP REQUIRED",IF(INT($O657)=TODAY(),"ACTION DUE TODAY",IF(INT($O657)-TODAY()&lt;=Set_DueSoonDays,"DUE SOON",""))),IF(AND($M657="Applied",$AA657=""),IF(ISNUMBER($C657),IF(TODAY()-$C657&gt;=Set_FollowUpDays,"NO RESPONSE",""),""),"")))</f>
        <v/>
      </c>
      <c r="AD657" s="87">
        <f>IF(ISNUMBER($L657),IF($L657&gt;=90,"Excellent Match",IF($L657&gt;=75,"Strong Match",IF($L657&gt;=60,"Moderate Match","Low Match"))),"")</f>
        <v/>
      </c>
      <c r="AE657" s="87">
        <f>IF($D657="","",IF(OR($M657="Rejected",$M657="Withdrawn"),IF($AB657&lt;&gt;"",$AB657,IF(OR($M657="Rejected",ISNUMBER($C657)),"Applied","Wishlist")),IF($M657="",IF(ISNUMBER($C657),"Applied","Wishlist"),$M657)))</f>
        <v/>
      </c>
      <c r="AF657" s="88">
        <f>IF(AND(ISNUMBER($C657),ISNUMBER($AA657)),$AA657-$C657,"")</f>
        <v/>
      </c>
      <c r="AG657" s="87">
        <f>IF($AE657="","",IFERROR(MATCH($AE657,{"Wishlist","Applied","Screening","Interview 1","Interview 2","Final","Offer","Accepted"},0)-1,""))</f>
        <v/>
      </c>
      <c r="AH657" s="87">
        <f>IF($AC657="","",MATCH($AC657,{"FOLLOW UP REQUIRED","ACTION DUE TODAY","NO RESPONSE","DUE SOON"},0)*100000+IF(ISNUMBER($O657),$O657,IF(ISNUMBER($C657),$C657,0))+ROW()/10000)</f>
        <v/>
      </c>
      <c r="AI657" s="87">
        <f>IF(AND(ISNUMBER($AG657),$AG657&gt;=1,$AG657&lt;=6,$M657&lt;&gt;"Rejected",$M657&lt;&gt;"Withdrawn"),(10-$AG657)*100000+IF(ISNUMBER($C657),$C657,0)+ROW()/10000,"")</f>
        <v/>
      </c>
    </row>
    <row r="658">
      <c r="A658" s="80" t="n"/>
      <c r="B658" s="81" t="n"/>
      <c r="C658" s="81" t="n"/>
      <c r="D658" s="82" t="n"/>
      <c r="E658" s="82" t="n"/>
      <c r="F658" s="82" t="n"/>
      <c r="G658" s="82" t="n"/>
      <c r="H658" s="82" t="n"/>
      <c r="I658" s="83" t="n"/>
      <c r="J658" s="82" t="n"/>
      <c r="K658" s="84" t="n"/>
      <c r="L658" s="85" t="n"/>
      <c r="M658" s="82" t="n"/>
      <c r="N658" s="86" t="n"/>
      <c r="O658" s="81" t="n"/>
      <c r="P658" s="82" t="n"/>
      <c r="Q658" s="83" t="n"/>
      <c r="R658" s="82" t="n"/>
      <c r="S658" s="84" t="n"/>
      <c r="T658" s="84" t="n"/>
      <c r="U658" s="82" t="n"/>
      <c r="V658" s="86" t="n"/>
      <c r="W658" s="86" t="n"/>
      <c r="X658" s="86" t="n"/>
      <c r="Y658" s="81" t="n"/>
      <c r="Z658" s="82" t="n"/>
      <c r="AA658" s="81" t="n"/>
      <c r="AB658" s="82" t="n"/>
      <c r="AC658" s="87">
        <f>IF(OR($D658="",$M658="Rejected",$M658="Withdrawn",$M658="Accepted"),"",IF(ISNUMBER($O658),IF(INT($O658)&lt;TODAY(),"FOLLOW UP REQUIRED",IF(INT($O658)=TODAY(),"ACTION DUE TODAY",IF(INT($O658)-TODAY()&lt;=Set_DueSoonDays,"DUE SOON",""))),IF(AND($M658="Applied",$AA658=""),IF(ISNUMBER($C658),IF(TODAY()-$C658&gt;=Set_FollowUpDays,"NO RESPONSE",""),""),"")))</f>
        <v/>
      </c>
      <c r="AD658" s="87">
        <f>IF(ISNUMBER($L658),IF($L658&gt;=90,"Excellent Match",IF($L658&gt;=75,"Strong Match",IF($L658&gt;=60,"Moderate Match","Low Match"))),"")</f>
        <v/>
      </c>
      <c r="AE658" s="87">
        <f>IF($D658="","",IF(OR($M658="Rejected",$M658="Withdrawn"),IF($AB658&lt;&gt;"",$AB658,IF(OR($M658="Rejected",ISNUMBER($C658)),"Applied","Wishlist")),IF($M658="",IF(ISNUMBER($C658),"Applied","Wishlist"),$M658)))</f>
        <v/>
      </c>
      <c r="AF658" s="88">
        <f>IF(AND(ISNUMBER($C658),ISNUMBER($AA658)),$AA658-$C658,"")</f>
        <v/>
      </c>
      <c r="AG658" s="87">
        <f>IF($AE658="","",IFERROR(MATCH($AE658,{"Wishlist","Applied","Screening","Interview 1","Interview 2","Final","Offer","Accepted"},0)-1,""))</f>
        <v/>
      </c>
      <c r="AH658" s="87">
        <f>IF($AC658="","",MATCH($AC658,{"FOLLOW UP REQUIRED","ACTION DUE TODAY","NO RESPONSE","DUE SOON"},0)*100000+IF(ISNUMBER($O658),$O658,IF(ISNUMBER($C658),$C658,0))+ROW()/10000)</f>
        <v/>
      </c>
      <c r="AI658" s="87">
        <f>IF(AND(ISNUMBER($AG658),$AG658&gt;=1,$AG658&lt;=6,$M658&lt;&gt;"Rejected",$M658&lt;&gt;"Withdrawn"),(10-$AG658)*100000+IF(ISNUMBER($C658),$C658,0)+ROW()/10000,"")</f>
        <v/>
      </c>
    </row>
    <row r="659">
      <c r="A659" s="80" t="n"/>
      <c r="B659" s="81" t="n"/>
      <c r="C659" s="81" t="n"/>
      <c r="D659" s="82" t="n"/>
      <c r="E659" s="82" t="n"/>
      <c r="F659" s="82" t="n"/>
      <c r="G659" s="82" t="n"/>
      <c r="H659" s="82" t="n"/>
      <c r="I659" s="83" t="n"/>
      <c r="J659" s="82" t="n"/>
      <c r="K659" s="84" t="n"/>
      <c r="L659" s="85" t="n"/>
      <c r="M659" s="82" t="n"/>
      <c r="N659" s="86" t="n"/>
      <c r="O659" s="81" t="n"/>
      <c r="P659" s="82" t="n"/>
      <c r="Q659" s="83" t="n"/>
      <c r="R659" s="82" t="n"/>
      <c r="S659" s="84" t="n"/>
      <c r="T659" s="84" t="n"/>
      <c r="U659" s="82" t="n"/>
      <c r="V659" s="86" t="n"/>
      <c r="W659" s="86" t="n"/>
      <c r="X659" s="86" t="n"/>
      <c r="Y659" s="81" t="n"/>
      <c r="Z659" s="82" t="n"/>
      <c r="AA659" s="81" t="n"/>
      <c r="AB659" s="82" t="n"/>
      <c r="AC659" s="87">
        <f>IF(OR($D659="",$M659="Rejected",$M659="Withdrawn",$M659="Accepted"),"",IF(ISNUMBER($O659),IF(INT($O659)&lt;TODAY(),"FOLLOW UP REQUIRED",IF(INT($O659)=TODAY(),"ACTION DUE TODAY",IF(INT($O659)-TODAY()&lt;=Set_DueSoonDays,"DUE SOON",""))),IF(AND($M659="Applied",$AA659=""),IF(ISNUMBER($C659),IF(TODAY()-$C659&gt;=Set_FollowUpDays,"NO RESPONSE",""),""),"")))</f>
        <v/>
      </c>
      <c r="AD659" s="87">
        <f>IF(ISNUMBER($L659),IF($L659&gt;=90,"Excellent Match",IF($L659&gt;=75,"Strong Match",IF($L659&gt;=60,"Moderate Match","Low Match"))),"")</f>
        <v/>
      </c>
      <c r="AE659" s="87">
        <f>IF($D659="","",IF(OR($M659="Rejected",$M659="Withdrawn"),IF($AB659&lt;&gt;"",$AB659,IF(OR($M659="Rejected",ISNUMBER($C659)),"Applied","Wishlist")),IF($M659="",IF(ISNUMBER($C659),"Applied","Wishlist"),$M659)))</f>
        <v/>
      </c>
      <c r="AF659" s="88">
        <f>IF(AND(ISNUMBER($C659),ISNUMBER($AA659)),$AA659-$C659,"")</f>
        <v/>
      </c>
      <c r="AG659" s="87">
        <f>IF($AE659="","",IFERROR(MATCH($AE659,{"Wishlist","Applied","Screening","Interview 1","Interview 2","Final","Offer","Accepted"},0)-1,""))</f>
        <v/>
      </c>
      <c r="AH659" s="87">
        <f>IF($AC659="","",MATCH($AC659,{"FOLLOW UP REQUIRED","ACTION DUE TODAY","NO RESPONSE","DUE SOON"},0)*100000+IF(ISNUMBER($O659),$O659,IF(ISNUMBER($C659),$C659,0))+ROW()/10000)</f>
        <v/>
      </c>
      <c r="AI659" s="87">
        <f>IF(AND(ISNUMBER($AG659),$AG659&gt;=1,$AG659&lt;=6,$M659&lt;&gt;"Rejected",$M659&lt;&gt;"Withdrawn"),(10-$AG659)*100000+IF(ISNUMBER($C659),$C659,0)+ROW()/10000,"")</f>
        <v/>
      </c>
    </row>
    <row r="660">
      <c r="A660" s="80" t="n"/>
      <c r="B660" s="81" t="n"/>
      <c r="C660" s="81" t="n"/>
      <c r="D660" s="82" t="n"/>
      <c r="E660" s="82" t="n"/>
      <c r="F660" s="82" t="n"/>
      <c r="G660" s="82" t="n"/>
      <c r="H660" s="82" t="n"/>
      <c r="I660" s="83" t="n"/>
      <c r="J660" s="82" t="n"/>
      <c r="K660" s="84" t="n"/>
      <c r="L660" s="85" t="n"/>
      <c r="M660" s="82" t="n"/>
      <c r="N660" s="86" t="n"/>
      <c r="O660" s="81" t="n"/>
      <c r="P660" s="82" t="n"/>
      <c r="Q660" s="83" t="n"/>
      <c r="R660" s="82" t="n"/>
      <c r="S660" s="84" t="n"/>
      <c r="T660" s="84" t="n"/>
      <c r="U660" s="82" t="n"/>
      <c r="V660" s="86" t="n"/>
      <c r="W660" s="86" t="n"/>
      <c r="X660" s="86" t="n"/>
      <c r="Y660" s="81" t="n"/>
      <c r="Z660" s="82" t="n"/>
      <c r="AA660" s="81" t="n"/>
      <c r="AB660" s="82" t="n"/>
      <c r="AC660" s="87">
        <f>IF(OR($D660="",$M660="Rejected",$M660="Withdrawn",$M660="Accepted"),"",IF(ISNUMBER($O660),IF(INT($O660)&lt;TODAY(),"FOLLOW UP REQUIRED",IF(INT($O660)=TODAY(),"ACTION DUE TODAY",IF(INT($O660)-TODAY()&lt;=Set_DueSoonDays,"DUE SOON",""))),IF(AND($M660="Applied",$AA660=""),IF(ISNUMBER($C660),IF(TODAY()-$C660&gt;=Set_FollowUpDays,"NO RESPONSE",""),""),"")))</f>
        <v/>
      </c>
      <c r="AD660" s="87">
        <f>IF(ISNUMBER($L660),IF($L660&gt;=90,"Excellent Match",IF($L660&gt;=75,"Strong Match",IF($L660&gt;=60,"Moderate Match","Low Match"))),"")</f>
        <v/>
      </c>
      <c r="AE660" s="87">
        <f>IF($D660="","",IF(OR($M660="Rejected",$M660="Withdrawn"),IF($AB660&lt;&gt;"",$AB660,IF(OR($M660="Rejected",ISNUMBER($C660)),"Applied","Wishlist")),IF($M660="",IF(ISNUMBER($C660),"Applied","Wishlist"),$M660)))</f>
        <v/>
      </c>
      <c r="AF660" s="88">
        <f>IF(AND(ISNUMBER($C660),ISNUMBER($AA660)),$AA660-$C660,"")</f>
        <v/>
      </c>
      <c r="AG660" s="87">
        <f>IF($AE660="","",IFERROR(MATCH($AE660,{"Wishlist","Applied","Screening","Interview 1","Interview 2","Final","Offer","Accepted"},0)-1,""))</f>
        <v/>
      </c>
      <c r="AH660" s="87">
        <f>IF($AC660="","",MATCH($AC660,{"FOLLOW UP REQUIRED","ACTION DUE TODAY","NO RESPONSE","DUE SOON"},0)*100000+IF(ISNUMBER($O660),$O660,IF(ISNUMBER($C660),$C660,0))+ROW()/10000)</f>
        <v/>
      </c>
      <c r="AI660" s="87">
        <f>IF(AND(ISNUMBER($AG660),$AG660&gt;=1,$AG660&lt;=6,$M660&lt;&gt;"Rejected",$M660&lt;&gt;"Withdrawn"),(10-$AG660)*100000+IF(ISNUMBER($C660),$C660,0)+ROW()/10000,"")</f>
        <v/>
      </c>
    </row>
    <row r="661">
      <c r="A661" s="80" t="n"/>
      <c r="B661" s="81" t="n"/>
      <c r="C661" s="81" t="n"/>
      <c r="D661" s="82" t="n"/>
      <c r="E661" s="82" t="n"/>
      <c r="F661" s="82" t="n"/>
      <c r="G661" s="82" t="n"/>
      <c r="H661" s="82" t="n"/>
      <c r="I661" s="83" t="n"/>
      <c r="J661" s="82" t="n"/>
      <c r="K661" s="84" t="n"/>
      <c r="L661" s="85" t="n"/>
      <c r="M661" s="82" t="n"/>
      <c r="N661" s="86" t="n"/>
      <c r="O661" s="81" t="n"/>
      <c r="P661" s="82" t="n"/>
      <c r="Q661" s="83" t="n"/>
      <c r="R661" s="82" t="n"/>
      <c r="S661" s="84" t="n"/>
      <c r="T661" s="84" t="n"/>
      <c r="U661" s="82" t="n"/>
      <c r="V661" s="86" t="n"/>
      <c r="W661" s="86" t="n"/>
      <c r="X661" s="86" t="n"/>
      <c r="Y661" s="81" t="n"/>
      <c r="Z661" s="82" t="n"/>
      <c r="AA661" s="81" t="n"/>
      <c r="AB661" s="82" t="n"/>
      <c r="AC661" s="87">
        <f>IF(OR($D661="",$M661="Rejected",$M661="Withdrawn",$M661="Accepted"),"",IF(ISNUMBER($O661),IF(INT($O661)&lt;TODAY(),"FOLLOW UP REQUIRED",IF(INT($O661)=TODAY(),"ACTION DUE TODAY",IF(INT($O661)-TODAY()&lt;=Set_DueSoonDays,"DUE SOON",""))),IF(AND($M661="Applied",$AA661=""),IF(ISNUMBER($C661),IF(TODAY()-$C661&gt;=Set_FollowUpDays,"NO RESPONSE",""),""),"")))</f>
        <v/>
      </c>
      <c r="AD661" s="87">
        <f>IF(ISNUMBER($L661),IF($L661&gt;=90,"Excellent Match",IF($L661&gt;=75,"Strong Match",IF($L661&gt;=60,"Moderate Match","Low Match"))),"")</f>
        <v/>
      </c>
      <c r="AE661" s="87">
        <f>IF($D661="","",IF(OR($M661="Rejected",$M661="Withdrawn"),IF($AB661&lt;&gt;"",$AB661,IF(OR($M661="Rejected",ISNUMBER($C661)),"Applied","Wishlist")),IF($M661="",IF(ISNUMBER($C661),"Applied","Wishlist"),$M661)))</f>
        <v/>
      </c>
      <c r="AF661" s="88">
        <f>IF(AND(ISNUMBER($C661),ISNUMBER($AA661)),$AA661-$C661,"")</f>
        <v/>
      </c>
      <c r="AG661" s="87">
        <f>IF($AE661="","",IFERROR(MATCH($AE661,{"Wishlist","Applied","Screening","Interview 1","Interview 2","Final","Offer","Accepted"},0)-1,""))</f>
        <v/>
      </c>
      <c r="AH661" s="87">
        <f>IF($AC661="","",MATCH($AC661,{"FOLLOW UP REQUIRED","ACTION DUE TODAY","NO RESPONSE","DUE SOON"},0)*100000+IF(ISNUMBER($O661),$O661,IF(ISNUMBER($C661),$C661,0))+ROW()/10000)</f>
        <v/>
      </c>
      <c r="AI661" s="87">
        <f>IF(AND(ISNUMBER($AG661),$AG661&gt;=1,$AG661&lt;=6,$M661&lt;&gt;"Rejected",$M661&lt;&gt;"Withdrawn"),(10-$AG661)*100000+IF(ISNUMBER($C661),$C661,0)+ROW()/10000,"")</f>
        <v/>
      </c>
    </row>
    <row r="662">
      <c r="A662" s="80" t="n"/>
      <c r="B662" s="81" t="n"/>
      <c r="C662" s="81" t="n"/>
      <c r="D662" s="82" t="n"/>
      <c r="E662" s="82" t="n"/>
      <c r="F662" s="82" t="n"/>
      <c r="G662" s="82" t="n"/>
      <c r="H662" s="82" t="n"/>
      <c r="I662" s="83" t="n"/>
      <c r="J662" s="82" t="n"/>
      <c r="K662" s="84" t="n"/>
      <c r="L662" s="85" t="n"/>
      <c r="M662" s="82" t="n"/>
      <c r="N662" s="86" t="n"/>
      <c r="O662" s="81" t="n"/>
      <c r="P662" s="82" t="n"/>
      <c r="Q662" s="83" t="n"/>
      <c r="R662" s="82" t="n"/>
      <c r="S662" s="84" t="n"/>
      <c r="T662" s="84" t="n"/>
      <c r="U662" s="82" t="n"/>
      <c r="V662" s="86" t="n"/>
      <c r="W662" s="86" t="n"/>
      <c r="X662" s="86" t="n"/>
      <c r="Y662" s="81" t="n"/>
      <c r="Z662" s="82" t="n"/>
      <c r="AA662" s="81" t="n"/>
      <c r="AB662" s="82" t="n"/>
      <c r="AC662" s="87">
        <f>IF(OR($D662="",$M662="Rejected",$M662="Withdrawn",$M662="Accepted"),"",IF(ISNUMBER($O662),IF(INT($O662)&lt;TODAY(),"FOLLOW UP REQUIRED",IF(INT($O662)=TODAY(),"ACTION DUE TODAY",IF(INT($O662)-TODAY()&lt;=Set_DueSoonDays,"DUE SOON",""))),IF(AND($M662="Applied",$AA662=""),IF(ISNUMBER($C662),IF(TODAY()-$C662&gt;=Set_FollowUpDays,"NO RESPONSE",""),""),"")))</f>
        <v/>
      </c>
      <c r="AD662" s="87">
        <f>IF(ISNUMBER($L662),IF($L662&gt;=90,"Excellent Match",IF($L662&gt;=75,"Strong Match",IF($L662&gt;=60,"Moderate Match","Low Match"))),"")</f>
        <v/>
      </c>
      <c r="AE662" s="87">
        <f>IF($D662="","",IF(OR($M662="Rejected",$M662="Withdrawn"),IF($AB662&lt;&gt;"",$AB662,IF(OR($M662="Rejected",ISNUMBER($C662)),"Applied","Wishlist")),IF($M662="",IF(ISNUMBER($C662),"Applied","Wishlist"),$M662)))</f>
        <v/>
      </c>
      <c r="AF662" s="88">
        <f>IF(AND(ISNUMBER($C662),ISNUMBER($AA662)),$AA662-$C662,"")</f>
        <v/>
      </c>
      <c r="AG662" s="87">
        <f>IF($AE662="","",IFERROR(MATCH($AE662,{"Wishlist","Applied","Screening","Interview 1","Interview 2","Final","Offer","Accepted"},0)-1,""))</f>
        <v/>
      </c>
      <c r="AH662" s="87">
        <f>IF($AC662="","",MATCH($AC662,{"FOLLOW UP REQUIRED","ACTION DUE TODAY","NO RESPONSE","DUE SOON"},0)*100000+IF(ISNUMBER($O662),$O662,IF(ISNUMBER($C662),$C662,0))+ROW()/10000)</f>
        <v/>
      </c>
      <c r="AI662" s="87">
        <f>IF(AND(ISNUMBER($AG662),$AG662&gt;=1,$AG662&lt;=6,$M662&lt;&gt;"Rejected",$M662&lt;&gt;"Withdrawn"),(10-$AG662)*100000+IF(ISNUMBER($C662),$C662,0)+ROW()/10000,"")</f>
        <v/>
      </c>
    </row>
    <row r="663">
      <c r="A663" s="80" t="n"/>
      <c r="B663" s="81" t="n"/>
      <c r="C663" s="81" t="n"/>
      <c r="D663" s="82" t="n"/>
      <c r="E663" s="82" t="n"/>
      <c r="F663" s="82" t="n"/>
      <c r="G663" s="82" t="n"/>
      <c r="H663" s="82" t="n"/>
      <c r="I663" s="83" t="n"/>
      <c r="J663" s="82" t="n"/>
      <c r="K663" s="84" t="n"/>
      <c r="L663" s="85" t="n"/>
      <c r="M663" s="82" t="n"/>
      <c r="N663" s="86" t="n"/>
      <c r="O663" s="81" t="n"/>
      <c r="P663" s="82" t="n"/>
      <c r="Q663" s="83" t="n"/>
      <c r="R663" s="82" t="n"/>
      <c r="S663" s="84" t="n"/>
      <c r="T663" s="84" t="n"/>
      <c r="U663" s="82" t="n"/>
      <c r="V663" s="86" t="n"/>
      <c r="W663" s="86" t="n"/>
      <c r="X663" s="86" t="n"/>
      <c r="Y663" s="81" t="n"/>
      <c r="Z663" s="82" t="n"/>
      <c r="AA663" s="81" t="n"/>
      <c r="AB663" s="82" t="n"/>
      <c r="AC663" s="87">
        <f>IF(OR($D663="",$M663="Rejected",$M663="Withdrawn",$M663="Accepted"),"",IF(ISNUMBER($O663),IF(INT($O663)&lt;TODAY(),"FOLLOW UP REQUIRED",IF(INT($O663)=TODAY(),"ACTION DUE TODAY",IF(INT($O663)-TODAY()&lt;=Set_DueSoonDays,"DUE SOON",""))),IF(AND($M663="Applied",$AA663=""),IF(ISNUMBER($C663),IF(TODAY()-$C663&gt;=Set_FollowUpDays,"NO RESPONSE",""),""),"")))</f>
        <v/>
      </c>
      <c r="AD663" s="87">
        <f>IF(ISNUMBER($L663),IF($L663&gt;=90,"Excellent Match",IF($L663&gt;=75,"Strong Match",IF($L663&gt;=60,"Moderate Match","Low Match"))),"")</f>
        <v/>
      </c>
      <c r="AE663" s="87">
        <f>IF($D663="","",IF(OR($M663="Rejected",$M663="Withdrawn"),IF($AB663&lt;&gt;"",$AB663,IF(OR($M663="Rejected",ISNUMBER($C663)),"Applied","Wishlist")),IF($M663="",IF(ISNUMBER($C663),"Applied","Wishlist"),$M663)))</f>
        <v/>
      </c>
      <c r="AF663" s="88">
        <f>IF(AND(ISNUMBER($C663),ISNUMBER($AA663)),$AA663-$C663,"")</f>
        <v/>
      </c>
      <c r="AG663" s="87">
        <f>IF($AE663="","",IFERROR(MATCH($AE663,{"Wishlist","Applied","Screening","Interview 1","Interview 2","Final","Offer","Accepted"},0)-1,""))</f>
        <v/>
      </c>
      <c r="AH663" s="87">
        <f>IF($AC663="","",MATCH($AC663,{"FOLLOW UP REQUIRED","ACTION DUE TODAY","NO RESPONSE","DUE SOON"},0)*100000+IF(ISNUMBER($O663),$O663,IF(ISNUMBER($C663),$C663,0))+ROW()/10000)</f>
        <v/>
      </c>
      <c r="AI663" s="87">
        <f>IF(AND(ISNUMBER($AG663),$AG663&gt;=1,$AG663&lt;=6,$M663&lt;&gt;"Rejected",$M663&lt;&gt;"Withdrawn"),(10-$AG663)*100000+IF(ISNUMBER($C663),$C663,0)+ROW()/10000,"")</f>
        <v/>
      </c>
    </row>
    <row r="664">
      <c r="A664" s="80" t="n"/>
      <c r="B664" s="81" t="n"/>
      <c r="C664" s="81" t="n"/>
      <c r="D664" s="82" t="n"/>
      <c r="E664" s="82" t="n"/>
      <c r="F664" s="82" t="n"/>
      <c r="G664" s="82" t="n"/>
      <c r="H664" s="82" t="n"/>
      <c r="I664" s="83" t="n"/>
      <c r="J664" s="82" t="n"/>
      <c r="K664" s="84" t="n"/>
      <c r="L664" s="85" t="n"/>
      <c r="M664" s="82" t="n"/>
      <c r="N664" s="86" t="n"/>
      <c r="O664" s="81" t="n"/>
      <c r="P664" s="82" t="n"/>
      <c r="Q664" s="83" t="n"/>
      <c r="R664" s="82" t="n"/>
      <c r="S664" s="84" t="n"/>
      <c r="T664" s="84" t="n"/>
      <c r="U664" s="82" t="n"/>
      <c r="V664" s="86" t="n"/>
      <c r="W664" s="86" t="n"/>
      <c r="X664" s="86" t="n"/>
      <c r="Y664" s="81" t="n"/>
      <c r="Z664" s="82" t="n"/>
      <c r="AA664" s="81" t="n"/>
      <c r="AB664" s="82" t="n"/>
      <c r="AC664" s="87">
        <f>IF(OR($D664="",$M664="Rejected",$M664="Withdrawn",$M664="Accepted"),"",IF(ISNUMBER($O664),IF(INT($O664)&lt;TODAY(),"FOLLOW UP REQUIRED",IF(INT($O664)=TODAY(),"ACTION DUE TODAY",IF(INT($O664)-TODAY()&lt;=Set_DueSoonDays,"DUE SOON",""))),IF(AND($M664="Applied",$AA664=""),IF(ISNUMBER($C664),IF(TODAY()-$C664&gt;=Set_FollowUpDays,"NO RESPONSE",""),""),"")))</f>
        <v/>
      </c>
      <c r="AD664" s="87">
        <f>IF(ISNUMBER($L664),IF($L664&gt;=90,"Excellent Match",IF($L664&gt;=75,"Strong Match",IF($L664&gt;=60,"Moderate Match","Low Match"))),"")</f>
        <v/>
      </c>
      <c r="AE664" s="87">
        <f>IF($D664="","",IF(OR($M664="Rejected",$M664="Withdrawn"),IF($AB664&lt;&gt;"",$AB664,IF(OR($M664="Rejected",ISNUMBER($C664)),"Applied","Wishlist")),IF($M664="",IF(ISNUMBER($C664),"Applied","Wishlist"),$M664)))</f>
        <v/>
      </c>
      <c r="AF664" s="88">
        <f>IF(AND(ISNUMBER($C664),ISNUMBER($AA664)),$AA664-$C664,"")</f>
        <v/>
      </c>
      <c r="AG664" s="87">
        <f>IF($AE664="","",IFERROR(MATCH($AE664,{"Wishlist","Applied","Screening","Interview 1","Interview 2","Final","Offer","Accepted"},0)-1,""))</f>
        <v/>
      </c>
      <c r="AH664" s="87">
        <f>IF($AC664="","",MATCH($AC664,{"FOLLOW UP REQUIRED","ACTION DUE TODAY","NO RESPONSE","DUE SOON"},0)*100000+IF(ISNUMBER($O664),$O664,IF(ISNUMBER($C664),$C664,0))+ROW()/10000)</f>
        <v/>
      </c>
      <c r="AI664" s="87">
        <f>IF(AND(ISNUMBER($AG664),$AG664&gt;=1,$AG664&lt;=6,$M664&lt;&gt;"Rejected",$M664&lt;&gt;"Withdrawn"),(10-$AG664)*100000+IF(ISNUMBER($C664),$C664,0)+ROW()/10000,"")</f>
        <v/>
      </c>
    </row>
    <row r="665">
      <c r="A665" s="80" t="n"/>
      <c r="B665" s="81" t="n"/>
      <c r="C665" s="81" t="n"/>
      <c r="D665" s="82" t="n"/>
      <c r="E665" s="82" t="n"/>
      <c r="F665" s="82" t="n"/>
      <c r="G665" s="82" t="n"/>
      <c r="H665" s="82" t="n"/>
      <c r="I665" s="83" t="n"/>
      <c r="J665" s="82" t="n"/>
      <c r="K665" s="84" t="n"/>
      <c r="L665" s="85" t="n"/>
      <c r="M665" s="82" t="n"/>
      <c r="N665" s="86" t="n"/>
      <c r="O665" s="81" t="n"/>
      <c r="P665" s="82" t="n"/>
      <c r="Q665" s="83" t="n"/>
      <c r="R665" s="82" t="n"/>
      <c r="S665" s="84" t="n"/>
      <c r="T665" s="84" t="n"/>
      <c r="U665" s="82" t="n"/>
      <c r="V665" s="86" t="n"/>
      <c r="W665" s="86" t="n"/>
      <c r="X665" s="86" t="n"/>
      <c r="Y665" s="81" t="n"/>
      <c r="Z665" s="82" t="n"/>
      <c r="AA665" s="81" t="n"/>
      <c r="AB665" s="82" t="n"/>
      <c r="AC665" s="87">
        <f>IF(OR($D665="",$M665="Rejected",$M665="Withdrawn",$M665="Accepted"),"",IF(ISNUMBER($O665),IF(INT($O665)&lt;TODAY(),"FOLLOW UP REQUIRED",IF(INT($O665)=TODAY(),"ACTION DUE TODAY",IF(INT($O665)-TODAY()&lt;=Set_DueSoonDays,"DUE SOON",""))),IF(AND($M665="Applied",$AA665=""),IF(ISNUMBER($C665),IF(TODAY()-$C665&gt;=Set_FollowUpDays,"NO RESPONSE",""),""),"")))</f>
        <v/>
      </c>
      <c r="AD665" s="87">
        <f>IF(ISNUMBER($L665),IF($L665&gt;=90,"Excellent Match",IF($L665&gt;=75,"Strong Match",IF($L665&gt;=60,"Moderate Match","Low Match"))),"")</f>
        <v/>
      </c>
      <c r="AE665" s="87">
        <f>IF($D665="","",IF(OR($M665="Rejected",$M665="Withdrawn"),IF($AB665&lt;&gt;"",$AB665,IF(OR($M665="Rejected",ISNUMBER($C665)),"Applied","Wishlist")),IF($M665="",IF(ISNUMBER($C665),"Applied","Wishlist"),$M665)))</f>
        <v/>
      </c>
      <c r="AF665" s="88">
        <f>IF(AND(ISNUMBER($C665),ISNUMBER($AA665)),$AA665-$C665,"")</f>
        <v/>
      </c>
      <c r="AG665" s="87">
        <f>IF($AE665="","",IFERROR(MATCH($AE665,{"Wishlist","Applied","Screening","Interview 1","Interview 2","Final","Offer","Accepted"},0)-1,""))</f>
        <v/>
      </c>
      <c r="AH665" s="87">
        <f>IF($AC665="","",MATCH($AC665,{"FOLLOW UP REQUIRED","ACTION DUE TODAY","NO RESPONSE","DUE SOON"},0)*100000+IF(ISNUMBER($O665),$O665,IF(ISNUMBER($C665),$C665,0))+ROW()/10000)</f>
        <v/>
      </c>
      <c r="AI665" s="87">
        <f>IF(AND(ISNUMBER($AG665),$AG665&gt;=1,$AG665&lt;=6,$M665&lt;&gt;"Rejected",$M665&lt;&gt;"Withdrawn"),(10-$AG665)*100000+IF(ISNUMBER($C665),$C665,0)+ROW()/10000,"")</f>
        <v/>
      </c>
    </row>
    <row r="666">
      <c r="A666" s="80" t="n"/>
      <c r="B666" s="81" t="n"/>
      <c r="C666" s="81" t="n"/>
      <c r="D666" s="82" t="n"/>
      <c r="E666" s="82" t="n"/>
      <c r="F666" s="82" t="n"/>
      <c r="G666" s="82" t="n"/>
      <c r="H666" s="82" t="n"/>
      <c r="I666" s="83" t="n"/>
      <c r="J666" s="82" t="n"/>
      <c r="K666" s="84" t="n"/>
      <c r="L666" s="85" t="n"/>
      <c r="M666" s="82" t="n"/>
      <c r="N666" s="86" t="n"/>
      <c r="O666" s="81" t="n"/>
      <c r="P666" s="82" t="n"/>
      <c r="Q666" s="83" t="n"/>
      <c r="R666" s="82" t="n"/>
      <c r="S666" s="84" t="n"/>
      <c r="T666" s="84" t="n"/>
      <c r="U666" s="82" t="n"/>
      <c r="V666" s="86" t="n"/>
      <c r="W666" s="86" t="n"/>
      <c r="X666" s="86" t="n"/>
      <c r="Y666" s="81" t="n"/>
      <c r="Z666" s="82" t="n"/>
      <c r="AA666" s="81" t="n"/>
      <c r="AB666" s="82" t="n"/>
      <c r="AC666" s="87">
        <f>IF(OR($D666="",$M666="Rejected",$M666="Withdrawn",$M666="Accepted"),"",IF(ISNUMBER($O666),IF(INT($O666)&lt;TODAY(),"FOLLOW UP REQUIRED",IF(INT($O666)=TODAY(),"ACTION DUE TODAY",IF(INT($O666)-TODAY()&lt;=Set_DueSoonDays,"DUE SOON",""))),IF(AND($M666="Applied",$AA666=""),IF(ISNUMBER($C666),IF(TODAY()-$C666&gt;=Set_FollowUpDays,"NO RESPONSE",""),""),"")))</f>
        <v/>
      </c>
      <c r="AD666" s="87">
        <f>IF(ISNUMBER($L666),IF($L666&gt;=90,"Excellent Match",IF($L666&gt;=75,"Strong Match",IF($L666&gt;=60,"Moderate Match","Low Match"))),"")</f>
        <v/>
      </c>
      <c r="AE666" s="87">
        <f>IF($D666="","",IF(OR($M666="Rejected",$M666="Withdrawn"),IF($AB666&lt;&gt;"",$AB666,IF(OR($M666="Rejected",ISNUMBER($C666)),"Applied","Wishlist")),IF($M666="",IF(ISNUMBER($C666),"Applied","Wishlist"),$M666)))</f>
        <v/>
      </c>
      <c r="AF666" s="88">
        <f>IF(AND(ISNUMBER($C666),ISNUMBER($AA666)),$AA666-$C666,"")</f>
        <v/>
      </c>
      <c r="AG666" s="87">
        <f>IF($AE666="","",IFERROR(MATCH($AE666,{"Wishlist","Applied","Screening","Interview 1","Interview 2","Final","Offer","Accepted"},0)-1,""))</f>
        <v/>
      </c>
      <c r="AH666" s="87">
        <f>IF($AC666="","",MATCH($AC666,{"FOLLOW UP REQUIRED","ACTION DUE TODAY","NO RESPONSE","DUE SOON"},0)*100000+IF(ISNUMBER($O666),$O666,IF(ISNUMBER($C666),$C666,0))+ROW()/10000)</f>
        <v/>
      </c>
      <c r="AI666" s="87">
        <f>IF(AND(ISNUMBER($AG666),$AG666&gt;=1,$AG666&lt;=6,$M666&lt;&gt;"Rejected",$M666&lt;&gt;"Withdrawn"),(10-$AG666)*100000+IF(ISNUMBER($C666),$C666,0)+ROW()/10000,"")</f>
        <v/>
      </c>
    </row>
    <row r="667">
      <c r="A667" s="80" t="n"/>
      <c r="B667" s="81" t="n"/>
      <c r="C667" s="81" t="n"/>
      <c r="D667" s="82" t="n"/>
      <c r="E667" s="82" t="n"/>
      <c r="F667" s="82" t="n"/>
      <c r="G667" s="82" t="n"/>
      <c r="H667" s="82" t="n"/>
      <c r="I667" s="83" t="n"/>
      <c r="J667" s="82" t="n"/>
      <c r="K667" s="84" t="n"/>
      <c r="L667" s="85" t="n"/>
      <c r="M667" s="82" t="n"/>
      <c r="N667" s="86" t="n"/>
      <c r="O667" s="81" t="n"/>
      <c r="P667" s="82" t="n"/>
      <c r="Q667" s="83" t="n"/>
      <c r="R667" s="82" t="n"/>
      <c r="S667" s="84" t="n"/>
      <c r="T667" s="84" t="n"/>
      <c r="U667" s="82" t="n"/>
      <c r="V667" s="86" t="n"/>
      <c r="W667" s="86" t="n"/>
      <c r="X667" s="86" t="n"/>
      <c r="Y667" s="81" t="n"/>
      <c r="Z667" s="82" t="n"/>
      <c r="AA667" s="81" t="n"/>
      <c r="AB667" s="82" t="n"/>
      <c r="AC667" s="87">
        <f>IF(OR($D667="",$M667="Rejected",$M667="Withdrawn",$M667="Accepted"),"",IF(ISNUMBER($O667),IF(INT($O667)&lt;TODAY(),"FOLLOW UP REQUIRED",IF(INT($O667)=TODAY(),"ACTION DUE TODAY",IF(INT($O667)-TODAY()&lt;=Set_DueSoonDays,"DUE SOON",""))),IF(AND($M667="Applied",$AA667=""),IF(ISNUMBER($C667),IF(TODAY()-$C667&gt;=Set_FollowUpDays,"NO RESPONSE",""),""),"")))</f>
        <v/>
      </c>
      <c r="AD667" s="87">
        <f>IF(ISNUMBER($L667),IF($L667&gt;=90,"Excellent Match",IF($L667&gt;=75,"Strong Match",IF($L667&gt;=60,"Moderate Match","Low Match"))),"")</f>
        <v/>
      </c>
      <c r="AE667" s="87">
        <f>IF($D667="","",IF(OR($M667="Rejected",$M667="Withdrawn"),IF($AB667&lt;&gt;"",$AB667,IF(OR($M667="Rejected",ISNUMBER($C667)),"Applied","Wishlist")),IF($M667="",IF(ISNUMBER($C667),"Applied","Wishlist"),$M667)))</f>
        <v/>
      </c>
      <c r="AF667" s="88">
        <f>IF(AND(ISNUMBER($C667),ISNUMBER($AA667)),$AA667-$C667,"")</f>
        <v/>
      </c>
      <c r="AG667" s="87">
        <f>IF($AE667="","",IFERROR(MATCH($AE667,{"Wishlist","Applied","Screening","Interview 1","Interview 2","Final","Offer","Accepted"},0)-1,""))</f>
        <v/>
      </c>
      <c r="AH667" s="87">
        <f>IF($AC667="","",MATCH($AC667,{"FOLLOW UP REQUIRED","ACTION DUE TODAY","NO RESPONSE","DUE SOON"},0)*100000+IF(ISNUMBER($O667),$O667,IF(ISNUMBER($C667),$C667,0))+ROW()/10000)</f>
        <v/>
      </c>
      <c r="AI667" s="87">
        <f>IF(AND(ISNUMBER($AG667),$AG667&gt;=1,$AG667&lt;=6,$M667&lt;&gt;"Rejected",$M667&lt;&gt;"Withdrawn"),(10-$AG667)*100000+IF(ISNUMBER($C667),$C667,0)+ROW()/10000,"")</f>
        <v/>
      </c>
    </row>
    <row r="668">
      <c r="A668" s="80" t="n"/>
      <c r="B668" s="81" t="n"/>
      <c r="C668" s="81" t="n"/>
      <c r="D668" s="82" t="n"/>
      <c r="E668" s="82" t="n"/>
      <c r="F668" s="82" t="n"/>
      <c r="G668" s="82" t="n"/>
      <c r="H668" s="82" t="n"/>
      <c r="I668" s="83" t="n"/>
      <c r="J668" s="82" t="n"/>
      <c r="K668" s="84" t="n"/>
      <c r="L668" s="85" t="n"/>
      <c r="M668" s="82" t="n"/>
      <c r="N668" s="86" t="n"/>
      <c r="O668" s="81" t="n"/>
      <c r="P668" s="82" t="n"/>
      <c r="Q668" s="83" t="n"/>
      <c r="R668" s="82" t="n"/>
      <c r="S668" s="84" t="n"/>
      <c r="T668" s="84" t="n"/>
      <c r="U668" s="82" t="n"/>
      <c r="V668" s="86" t="n"/>
      <c r="W668" s="86" t="n"/>
      <c r="X668" s="86" t="n"/>
      <c r="Y668" s="81" t="n"/>
      <c r="Z668" s="82" t="n"/>
      <c r="AA668" s="81" t="n"/>
      <c r="AB668" s="82" t="n"/>
      <c r="AC668" s="87">
        <f>IF(OR($D668="",$M668="Rejected",$M668="Withdrawn",$M668="Accepted"),"",IF(ISNUMBER($O668),IF(INT($O668)&lt;TODAY(),"FOLLOW UP REQUIRED",IF(INT($O668)=TODAY(),"ACTION DUE TODAY",IF(INT($O668)-TODAY()&lt;=Set_DueSoonDays,"DUE SOON",""))),IF(AND($M668="Applied",$AA668=""),IF(ISNUMBER($C668),IF(TODAY()-$C668&gt;=Set_FollowUpDays,"NO RESPONSE",""),""),"")))</f>
        <v/>
      </c>
      <c r="AD668" s="87">
        <f>IF(ISNUMBER($L668),IF($L668&gt;=90,"Excellent Match",IF($L668&gt;=75,"Strong Match",IF($L668&gt;=60,"Moderate Match","Low Match"))),"")</f>
        <v/>
      </c>
      <c r="AE668" s="87">
        <f>IF($D668="","",IF(OR($M668="Rejected",$M668="Withdrawn"),IF($AB668&lt;&gt;"",$AB668,IF(OR($M668="Rejected",ISNUMBER($C668)),"Applied","Wishlist")),IF($M668="",IF(ISNUMBER($C668),"Applied","Wishlist"),$M668)))</f>
        <v/>
      </c>
      <c r="AF668" s="88">
        <f>IF(AND(ISNUMBER($C668),ISNUMBER($AA668)),$AA668-$C668,"")</f>
        <v/>
      </c>
      <c r="AG668" s="87">
        <f>IF($AE668="","",IFERROR(MATCH($AE668,{"Wishlist","Applied","Screening","Interview 1","Interview 2","Final","Offer","Accepted"},0)-1,""))</f>
        <v/>
      </c>
      <c r="AH668" s="87">
        <f>IF($AC668="","",MATCH($AC668,{"FOLLOW UP REQUIRED","ACTION DUE TODAY","NO RESPONSE","DUE SOON"},0)*100000+IF(ISNUMBER($O668),$O668,IF(ISNUMBER($C668),$C668,0))+ROW()/10000)</f>
        <v/>
      </c>
      <c r="AI668" s="87">
        <f>IF(AND(ISNUMBER($AG668),$AG668&gt;=1,$AG668&lt;=6,$M668&lt;&gt;"Rejected",$M668&lt;&gt;"Withdrawn"),(10-$AG668)*100000+IF(ISNUMBER($C668),$C668,0)+ROW()/10000,"")</f>
        <v/>
      </c>
    </row>
    <row r="669">
      <c r="A669" s="80" t="n"/>
      <c r="B669" s="81" t="n"/>
      <c r="C669" s="81" t="n"/>
      <c r="D669" s="82" t="n"/>
      <c r="E669" s="82" t="n"/>
      <c r="F669" s="82" t="n"/>
      <c r="G669" s="82" t="n"/>
      <c r="H669" s="82" t="n"/>
      <c r="I669" s="83" t="n"/>
      <c r="J669" s="82" t="n"/>
      <c r="K669" s="84" t="n"/>
      <c r="L669" s="85" t="n"/>
      <c r="M669" s="82" t="n"/>
      <c r="N669" s="86" t="n"/>
      <c r="O669" s="81" t="n"/>
      <c r="P669" s="82" t="n"/>
      <c r="Q669" s="83" t="n"/>
      <c r="R669" s="82" t="n"/>
      <c r="S669" s="84" t="n"/>
      <c r="T669" s="84" t="n"/>
      <c r="U669" s="82" t="n"/>
      <c r="V669" s="86" t="n"/>
      <c r="W669" s="86" t="n"/>
      <c r="X669" s="86" t="n"/>
      <c r="Y669" s="81" t="n"/>
      <c r="Z669" s="82" t="n"/>
      <c r="AA669" s="81" t="n"/>
      <c r="AB669" s="82" t="n"/>
      <c r="AC669" s="87">
        <f>IF(OR($D669="",$M669="Rejected",$M669="Withdrawn",$M669="Accepted"),"",IF(ISNUMBER($O669),IF(INT($O669)&lt;TODAY(),"FOLLOW UP REQUIRED",IF(INT($O669)=TODAY(),"ACTION DUE TODAY",IF(INT($O669)-TODAY()&lt;=Set_DueSoonDays,"DUE SOON",""))),IF(AND($M669="Applied",$AA669=""),IF(ISNUMBER($C669),IF(TODAY()-$C669&gt;=Set_FollowUpDays,"NO RESPONSE",""),""),"")))</f>
        <v/>
      </c>
      <c r="AD669" s="87">
        <f>IF(ISNUMBER($L669),IF($L669&gt;=90,"Excellent Match",IF($L669&gt;=75,"Strong Match",IF($L669&gt;=60,"Moderate Match","Low Match"))),"")</f>
        <v/>
      </c>
      <c r="AE669" s="87">
        <f>IF($D669="","",IF(OR($M669="Rejected",$M669="Withdrawn"),IF($AB669&lt;&gt;"",$AB669,IF(OR($M669="Rejected",ISNUMBER($C669)),"Applied","Wishlist")),IF($M669="",IF(ISNUMBER($C669),"Applied","Wishlist"),$M669)))</f>
        <v/>
      </c>
      <c r="AF669" s="88">
        <f>IF(AND(ISNUMBER($C669),ISNUMBER($AA669)),$AA669-$C669,"")</f>
        <v/>
      </c>
      <c r="AG669" s="87">
        <f>IF($AE669="","",IFERROR(MATCH($AE669,{"Wishlist","Applied","Screening","Interview 1","Interview 2","Final","Offer","Accepted"},0)-1,""))</f>
        <v/>
      </c>
      <c r="AH669" s="87">
        <f>IF($AC669="","",MATCH($AC669,{"FOLLOW UP REQUIRED","ACTION DUE TODAY","NO RESPONSE","DUE SOON"},0)*100000+IF(ISNUMBER($O669),$O669,IF(ISNUMBER($C669),$C669,0))+ROW()/10000)</f>
        <v/>
      </c>
      <c r="AI669" s="87">
        <f>IF(AND(ISNUMBER($AG669),$AG669&gt;=1,$AG669&lt;=6,$M669&lt;&gt;"Rejected",$M669&lt;&gt;"Withdrawn"),(10-$AG669)*100000+IF(ISNUMBER($C669),$C669,0)+ROW()/10000,"")</f>
        <v/>
      </c>
    </row>
    <row r="670">
      <c r="A670" s="80" t="n"/>
      <c r="B670" s="81" t="n"/>
      <c r="C670" s="81" t="n"/>
      <c r="D670" s="82" t="n"/>
      <c r="E670" s="82" t="n"/>
      <c r="F670" s="82" t="n"/>
      <c r="G670" s="82" t="n"/>
      <c r="H670" s="82" t="n"/>
      <c r="I670" s="83" t="n"/>
      <c r="J670" s="82" t="n"/>
      <c r="K670" s="84" t="n"/>
      <c r="L670" s="85" t="n"/>
      <c r="M670" s="82" t="n"/>
      <c r="N670" s="86" t="n"/>
      <c r="O670" s="81" t="n"/>
      <c r="P670" s="82" t="n"/>
      <c r="Q670" s="83" t="n"/>
      <c r="R670" s="82" t="n"/>
      <c r="S670" s="84" t="n"/>
      <c r="T670" s="84" t="n"/>
      <c r="U670" s="82" t="n"/>
      <c r="V670" s="86" t="n"/>
      <c r="W670" s="86" t="n"/>
      <c r="X670" s="86" t="n"/>
      <c r="Y670" s="81" t="n"/>
      <c r="Z670" s="82" t="n"/>
      <c r="AA670" s="81" t="n"/>
      <c r="AB670" s="82" t="n"/>
      <c r="AC670" s="87">
        <f>IF(OR($D670="",$M670="Rejected",$M670="Withdrawn",$M670="Accepted"),"",IF(ISNUMBER($O670),IF(INT($O670)&lt;TODAY(),"FOLLOW UP REQUIRED",IF(INT($O670)=TODAY(),"ACTION DUE TODAY",IF(INT($O670)-TODAY()&lt;=Set_DueSoonDays,"DUE SOON",""))),IF(AND($M670="Applied",$AA670=""),IF(ISNUMBER($C670),IF(TODAY()-$C670&gt;=Set_FollowUpDays,"NO RESPONSE",""),""),"")))</f>
        <v/>
      </c>
      <c r="AD670" s="87">
        <f>IF(ISNUMBER($L670),IF($L670&gt;=90,"Excellent Match",IF($L670&gt;=75,"Strong Match",IF($L670&gt;=60,"Moderate Match","Low Match"))),"")</f>
        <v/>
      </c>
      <c r="AE670" s="87">
        <f>IF($D670="","",IF(OR($M670="Rejected",$M670="Withdrawn"),IF($AB670&lt;&gt;"",$AB670,IF(OR($M670="Rejected",ISNUMBER($C670)),"Applied","Wishlist")),IF($M670="",IF(ISNUMBER($C670),"Applied","Wishlist"),$M670)))</f>
        <v/>
      </c>
      <c r="AF670" s="88">
        <f>IF(AND(ISNUMBER($C670),ISNUMBER($AA670)),$AA670-$C670,"")</f>
        <v/>
      </c>
      <c r="AG670" s="87">
        <f>IF($AE670="","",IFERROR(MATCH($AE670,{"Wishlist","Applied","Screening","Interview 1","Interview 2","Final","Offer","Accepted"},0)-1,""))</f>
        <v/>
      </c>
      <c r="AH670" s="87">
        <f>IF($AC670="","",MATCH($AC670,{"FOLLOW UP REQUIRED","ACTION DUE TODAY","NO RESPONSE","DUE SOON"},0)*100000+IF(ISNUMBER($O670),$O670,IF(ISNUMBER($C670),$C670,0))+ROW()/10000)</f>
        <v/>
      </c>
      <c r="AI670" s="87">
        <f>IF(AND(ISNUMBER($AG670),$AG670&gt;=1,$AG670&lt;=6,$M670&lt;&gt;"Rejected",$M670&lt;&gt;"Withdrawn"),(10-$AG670)*100000+IF(ISNUMBER($C670),$C670,0)+ROW()/10000,"")</f>
        <v/>
      </c>
    </row>
    <row r="671">
      <c r="A671" s="80" t="n"/>
      <c r="B671" s="81" t="n"/>
      <c r="C671" s="81" t="n"/>
      <c r="D671" s="82" t="n"/>
      <c r="E671" s="82" t="n"/>
      <c r="F671" s="82" t="n"/>
      <c r="G671" s="82" t="n"/>
      <c r="H671" s="82" t="n"/>
      <c r="I671" s="83" t="n"/>
      <c r="J671" s="82" t="n"/>
      <c r="K671" s="84" t="n"/>
      <c r="L671" s="85" t="n"/>
      <c r="M671" s="82" t="n"/>
      <c r="N671" s="86" t="n"/>
      <c r="O671" s="81" t="n"/>
      <c r="P671" s="82" t="n"/>
      <c r="Q671" s="83" t="n"/>
      <c r="R671" s="82" t="n"/>
      <c r="S671" s="84" t="n"/>
      <c r="T671" s="84" t="n"/>
      <c r="U671" s="82" t="n"/>
      <c r="V671" s="86" t="n"/>
      <c r="W671" s="86" t="n"/>
      <c r="X671" s="86" t="n"/>
      <c r="Y671" s="81" t="n"/>
      <c r="Z671" s="82" t="n"/>
      <c r="AA671" s="81" t="n"/>
      <c r="AB671" s="82" t="n"/>
      <c r="AC671" s="87">
        <f>IF(OR($D671="",$M671="Rejected",$M671="Withdrawn",$M671="Accepted"),"",IF(ISNUMBER($O671),IF(INT($O671)&lt;TODAY(),"FOLLOW UP REQUIRED",IF(INT($O671)=TODAY(),"ACTION DUE TODAY",IF(INT($O671)-TODAY()&lt;=Set_DueSoonDays,"DUE SOON",""))),IF(AND($M671="Applied",$AA671=""),IF(ISNUMBER($C671),IF(TODAY()-$C671&gt;=Set_FollowUpDays,"NO RESPONSE",""),""),"")))</f>
        <v/>
      </c>
      <c r="AD671" s="87">
        <f>IF(ISNUMBER($L671),IF($L671&gt;=90,"Excellent Match",IF($L671&gt;=75,"Strong Match",IF($L671&gt;=60,"Moderate Match","Low Match"))),"")</f>
        <v/>
      </c>
      <c r="AE671" s="87">
        <f>IF($D671="","",IF(OR($M671="Rejected",$M671="Withdrawn"),IF($AB671&lt;&gt;"",$AB671,IF(OR($M671="Rejected",ISNUMBER($C671)),"Applied","Wishlist")),IF($M671="",IF(ISNUMBER($C671),"Applied","Wishlist"),$M671)))</f>
        <v/>
      </c>
      <c r="AF671" s="88">
        <f>IF(AND(ISNUMBER($C671),ISNUMBER($AA671)),$AA671-$C671,"")</f>
        <v/>
      </c>
      <c r="AG671" s="87">
        <f>IF($AE671="","",IFERROR(MATCH($AE671,{"Wishlist","Applied","Screening","Interview 1","Interview 2","Final","Offer","Accepted"},0)-1,""))</f>
        <v/>
      </c>
      <c r="AH671" s="87">
        <f>IF($AC671="","",MATCH($AC671,{"FOLLOW UP REQUIRED","ACTION DUE TODAY","NO RESPONSE","DUE SOON"},0)*100000+IF(ISNUMBER($O671),$O671,IF(ISNUMBER($C671),$C671,0))+ROW()/10000)</f>
        <v/>
      </c>
      <c r="AI671" s="87">
        <f>IF(AND(ISNUMBER($AG671),$AG671&gt;=1,$AG671&lt;=6,$M671&lt;&gt;"Rejected",$M671&lt;&gt;"Withdrawn"),(10-$AG671)*100000+IF(ISNUMBER($C671),$C671,0)+ROW()/10000,"")</f>
        <v/>
      </c>
    </row>
    <row r="672">
      <c r="A672" s="80" t="n"/>
      <c r="B672" s="81" t="n"/>
      <c r="C672" s="81" t="n"/>
      <c r="D672" s="82" t="n"/>
      <c r="E672" s="82" t="n"/>
      <c r="F672" s="82" t="n"/>
      <c r="G672" s="82" t="n"/>
      <c r="H672" s="82" t="n"/>
      <c r="I672" s="83" t="n"/>
      <c r="J672" s="82" t="n"/>
      <c r="K672" s="84" t="n"/>
      <c r="L672" s="85" t="n"/>
      <c r="M672" s="82" t="n"/>
      <c r="N672" s="86" t="n"/>
      <c r="O672" s="81" t="n"/>
      <c r="P672" s="82" t="n"/>
      <c r="Q672" s="83" t="n"/>
      <c r="R672" s="82" t="n"/>
      <c r="S672" s="84" t="n"/>
      <c r="T672" s="84" t="n"/>
      <c r="U672" s="82" t="n"/>
      <c r="V672" s="86" t="n"/>
      <c r="W672" s="86" t="n"/>
      <c r="X672" s="86" t="n"/>
      <c r="Y672" s="81" t="n"/>
      <c r="Z672" s="82" t="n"/>
      <c r="AA672" s="81" t="n"/>
      <c r="AB672" s="82" t="n"/>
      <c r="AC672" s="87">
        <f>IF(OR($D672="",$M672="Rejected",$M672="Withdrawn",$M672="Accepted"),"",IF(ISNUMBER($O672),IF(INT($O672)&lt;TODAY(),"FOLLOW UP REQUIRED",IF(INT($O672)=TODAY(),"ACTION DUE TODAY",IF(INT($O672)-TODAY()&lt;=Set_DueSoonDays,"DUE SOON",""))),IF(AND($M672="Applied",$AA672=""),IF(ISNUMBER($C672),IF(TODAY()-$C672&gt;=Set_FollowUpDays,"NO RESPONSE",""),""),"")))</f>
        <v/>
      </c>
      <c r="AD672" s="87">
        <f>IF(ISNUMBER($L672),IF($L672&gt;=90,"Excellent Match",IF($L672&gt;=75,"Strong Match",IF($L672&gt;=60,"Moderate Match","Low Match"))),"")</f>
        <v/>
      </c>
      <c r="AE672" s="87">
        <f>IF($D672="","",IF(OR($M672="Rejected",$M672="Withdrawn"),IF($AB672&lt;&gt;"",$AB672,IF(OR($M672="Rejected",ISNUMBER($C672)),"Applied","Wishlist")),IF($M672="",IF(ISNUMBER($C672),"Applied","Wishlist"),$M672)))</f>
        <v/>
      </c>
      <c r="AF672" s="88">
        <f>IF(AND(ISNUMBER($C672),ISNUMBER($AA672)),$AA672-$C672,"")</f>
        <v/>
      </c>
      <c r="AG672" s="87">
        <f>IF($AE672="","",IFERROR(MATCH($AE672,{"Wishlist","Applied","Screening","Interview 1","Interview 2","Final","Offer","Accepted"},0)-1,""))</f>
        <v/>
      </c>
      <c r="AH672" s="87">
        <f>IF($AC672="","",MATCH($AC672,{"FOLLOW UP REQUIRED","ACTION DUE TODAY","NO RESPONSE","DUE SOON"},0)*100000+IF(ISNUMBER($O672),$O672,IF(ISNUMBER($C672),$C672,0))+ROW()/10000)</f>
        <v/>
      </c>
      <c r="AI672" s="87">
        <f>IF(AND(ISNUMBER($AG672),$AG672&gt;=1,$AG672&lt;=6,$M672&lt;&gt;"Rejected",$M672&lt;&gt;"Withdrawn"),(10-$AG672)*100000+IF(ISNUMBER($C672),$C672,0)+ROW()/10000,"")</f>
        <v/>
      </c>
    </row>
    <row r="673">
      <c r="A673" s="80" t="n"/>
      <c r="B673" s="81" t="n"/>
      <c r="C673" s="81" t="n"/>
      <c r="D673" s="82" t="n"/>
      <c r="E673" s="82" t="n"/>
      <c r="F673" s="82" t="n"/>
      <c r="G673" s="82" t="n"/>
      <c r="H673" s="82" t="n"/>
      <c r="I673" s="83" t="n"/>
      <c r="J673" s="82" t="n"/>
      <c r="K673" s="84" t="n"/>
      <c r="L673" s="85" t="n"/>
      <c r="M673" s="82" t="n"/>
      <c r="N673" s="86" t="n"/>
      <c r="O673" s="81" t="n"/>
      <c r="P673" s="82" t="n"/>
      <c r="Q673" s="83" t="n"/>
      <c r="R673" s="82" t="n"/>
      <c r="S673" s="84" t="n"/>
      <c r="T673" s="84" t="n"/>
      <c r="U673" s="82" t="n"/>
      <c r="V673" s="86" t="n"/>
      <c r="W673" s="86" t="n"/>
      <c r="X673" s="86" t="n"/>
      <c r="Y673" s="81" t="n"/>
      <c r="Z673" s="82" t="n"/>
      <c r="AA673" s="81" t="n"/>
      <c r="AB673" s="82" t="n"/>
      <c r="AC673" s="87">
        <f>IF(OR($D673="",$M673="Rejected",$M673="Withdrawn",$M673="Accepted"),"",IF(ISNUMBER($O673),IF(INT($O673)&lt;TODAY(),"FOLLOW UP REQUIRED",IF(INT($O673)=TODAY(),"ACTION DUE TODAY",IF(INT($O673)-TODAY()&lt;=Set_DueSoonDays,"DUE SOON",""))),IF(AND($M673="Applied",$AA673=""),IF(ISNUMBER($C673),IF(TODAY()-$C673&gt;=Set_FollowUpDays,"NO RESPONSE",""),""),"")))</f>
        <v/>
      </c>
      <c r="AD673" s="87">
        <f>IF(ISNUMBER($L673),IF($L673&gt;=90,"Excellent Match",IF($L673&gt;=75,"Strong Match",IF($L673&gt;=60,"Moderate Match","Low Match"))),"")</f>
        <v/>
      </c>
      <c r="AE673" s="87">
        <f>IF($D673="","",IF(OR($M673="Rejected",$M673="Withdrawn"),IF($AB673&lt;&gt;"",$AB673,IF(OR($M673="Rejected",ISNUMBER($C673)),"Applied","Wishlist")),IF($M673="",IF(ISNUMBER($C673),"Applied","Wishlist"),$M673)))</f>
        <v/>
      </c>
      <c r="AF673" s="88">
        <f>IF(AND(ISNUMBER($C673),ISNUMBER($AA673)),$AA673-$C673,"")</f>
        <v/>
      </c>
      <c r="AG673" s="87">
        <f>IF($AE673="","",IFERROR(MATCH($AE673,{"Wishlist","Applied","Screening","Interview 1","Interview 2","Final","Offer","Accepted"},0)-1,""))</f>
        <v/>
      </c>
      <c r="AH673" s="87">
        <f>IF($AC673="","",MATCH($AC673,{"FOLLOW UP REQUIRED","ACTION DUE TODAY","NO RESPONSE","DUE SOON"},0)*100000+IF(ISNUMBER($O673),$O673,IF(ISNUMBER($C673),$C673,0))+ROW()/10000)</f>
        <v/>
      </c>
      <c r="AI673" s="87">
        <f>IF(AND(ISNUMBER($AG673),$AG673&gt;=1,$AG673&lt;=6,$M673&lt;&gt;"Rejected",$M673&lt;&gt;"Withdrawn"),(10-$AG673)*100000+IF(ISNUMBER($C673),$C673,0)+ROW()/10000,"")</f>
        <v/>
      </c>
    </row>
    <row r="674">
      <c r="A674" s="80" t="n"/>
      <c r="B674" s="81" t="n"/>
      <c r="C674" s="81" t="n"/>
      <c r="D674" s="82" t="n"/>
      <c r="E674" s="82" t="n"/>
      <c r="F674" s="82" t="n"/>
      <c r="G674" s="82" t="n"/>
      <c r="H674" s="82" t="n"/>
      <c r="I674" s="83" t="n"/>
      <c r="J674" s="82" t="n"/>
      <c r="K674" s="84" t="n"/>
      <c r="L674" s="85" t="n"/>
      <c r="M674" s="82" t="n"/>
      <c r="N674" s="86" t="n"/>
      <c r="O674" s="81" t="n"/>
      <c r="P674" s="82" t="n"/>
      <c r="Q674" s="83" t="n"/>
      <c r="R674" s="82" t="n"/>
      <c r="S674" s="84" t="n"/>
      <c r="T674" s="84" t="n"/>
      <c r="U674" s="82" t="n"/>
      <c r="V674" s="86" t="n"/>
      <c r="W674" s="86" t="n"/>
      <c r="X674" s="86" t="n"/>
      <c r="Y674" s="81" t="n"/>
      <c r="Z674" s="82" t="n"/>
      <c r="AA674" s="81" t="n"/>
      <c r="AB674" s="82" t="n"/>
      <c r="AC674" s="87">
        <f>IF(OR($D674="",$M674="Rejected",$M674="Withdrawn",$M674="Accepted"),"",IF(ISNUMBER($O674),IF(INT($O674)&lt;TODAY(),"FOLLOW UP REQUIRED",IF(INT($O674)=TODAY(),"ACTION DUE TODAY",IF(INT($O674)-TODAY()&lt;=Set_DueSoonDays,"DUE SOON",""))),IF(AND($M674="Applied",$AA674=""),IF(ISNUMBER($C674),IF(TODAY()-$C674&gt;=Set_FollowUpDays,"NO RESPONSE",""),""),"")))</f>
        <v/>
      </c>
      <c r="AD674" s="87">
        <f>IF(ISNUMBER($L674),IF($L674&gt;=90,"Excellent Match",IF($L674&gt;=75,"Strong Match",IF($L674&gt;=60,"Moderate Match","Low Match"))),"")</f>
        <v/>
      </c>
      <c r="AE674" s="87">
        <f>IF($D674="","",IF(OR($M674="Rejected",$M674="Withdrawn"),IF($AB674&lt;&gt;"",$AB674,IF(OR($M674="Rejected",ISNUMBER($C674)),"Applied","Wishlist")),IF($M674="",IF(ISNUMBER($C674),"Applied","Wishlist"),$M674)))</f>
        <v/>
      </c>
      <c r="AF674" s="88">
        <f>IF(AND(ISNUMBER($C674),ISNUMBER($AA674)),$AA674-$C674,"")</f>
        <v/>
      </c>
      <c r="AG674" s="87">
        <f>IF($AE674="","",IFERROR(MATCH($AE674,{"Wishlist","Applied","Screening","Interview 1","Interview 2","Final","Offer","Accepted"},0)-1,""))</f>
        <v/>
      </c>
      <c r="AH674" s="87">
        <f>IF($AC674="","",MATCH($AC674,{"FOLLOW UP REQUIRED","ACTION DUE TODAY","NO RESPONSE","DUE SOON"},0)*100000+IF(ISNUMBER($O674),$O674,IF(ISNUMBER($C674),$C674,0))+ROW()/10000)</f>
        <v/>
      </c>
      <c r="AI674" s="87">
        <f>IF(AND(ISNUMBER($AG674),$AG674&gt;=1,$AG674&lt;=6,$M674&lt;&gt;"Rejected",$M674&lt;&gt;"Withdrawn"),(10-$AG674)*100000+IF(ISNUMBER($C674),$C674,0)+ROW()/10000,"")</f>
        <v/>
      </c>
    </row>
    <row r="675">
      <c r="A675" s="80" t="n"/>
      <c r="B675" s="81" t="n"/>
      <c r="C675" s="81" t="n"/>
      <c r="D675" s="82" t="n"/>
      <c r="E675" s="82" t="n"/>
      <c r="F675" s="82" t="n"/>
      <c r="G675" s="82" t="n"/>
      <c r="H675" s="82" t="n"/>
      <c r="I675" s="83" t="n"/>
      <c r="J675" s="82" t="n"/>
      <c r="K675" s="84" t="n"/>
      <c r="L675" s="85" t="n"/>
      <c r="M675" s="82" t="n"/>
      <c r="N675" s="86" t="n"/>
      <c r="O675" s="81" t="n"/>
      <c r="P675" s="82" t="n"/>
      <c r="Q675" s="83" t="n"/>
      <c r="R675" s="82" t="n"/>
      <c r="S675" s="84" t="n"/>
      <c r="T675" s="84" t="n"/>
      <c r="U675" s="82" t="n"/>
      <c r="V675" s="86" t="n"/>
      <c r="W675" s="86" t="n"/>
      <c r="X675" s="86" t="n"/>
      <c r="Y675" s="81" t="n"/>
      <c r="Z675" s="82" t="n"/>
      <c r="AA675" s="81" t="n"/>
      <c r="AB675" s="82" t="n"/>
      <c r="AC675" s="87">
        <f>IF(OR($D675="",$M675="Rejected",$M675="Withdrawn",$M675="Accepted"),"",IF(ISNUMBER($O675),IF(INT($O675)&lt;TODAY(),"FOLLOW UP REQUIRED",IF(INT($O675)=TODAY(),"ACTION DUE TODAY",IF(INT($O675)-TODAY()&lt;=Set_DueSoonDays,"DUE SOON",""))),IF(AND($M675="Applied",$AA675=""),IF(ISNUMBER($C675),IF(TODAY()-$C675&gt;=Set_FollowUpDays,"NO RESPONSE",""),""),"")))</f>
        <v/>
      </c>
      <c r="AD675" s="87">
        <f>IF(ISNUMBER($L675),IF($L675&gt;=90,"Excellent Match",IF($L675&gt;=75,"Strong Match",IF($L675&gt;=60,"Moderate Match","Low Match"))),"")</f>
        <v/>
      </c>
      <c r="AE675" s="87">
        <f>IF($D675="","",IF(OR($M675="Rejected",$M675="Withdrawn"),IF($AB675&lt;&gt;"",$AB675,IF(OR($M675="Rejected",ISNUMBER($C675)),"Applied","Wishlist")),IF($M675="",IF(ISNUMBER($C675),"Applied","Wishlist"),$M675)))</f>
        <v/>
      </c>
      <c r="AF675" s="88">
        <f>IF(AND(ISNUMBER($C675),ISNUMBER($AA675)),$AA675-$C675,"")</f>
        <v/>
      </c>
      <c r="AG675" s="87">
        <f>IF($AE675="","",IFERROR(MATCH($AE675,{"Wishlist","Applied","Screening","Interview 1","Interview 2","Final","Offer","Accepted"},0)-1,""))</f>
        <v/>
      </c>
      <c r="AH675" s="87">
        <f>IF($AC675="","",MATCH($AC675,{"FOLLOW UP REQUIRED","ACTION DUE TODAY","NO RESPONSE","DUE SOON"},0)*100000+IF(ISNUMBER($O675),$O675,IF(ISNUMBER($C675),$C675,0))+ROW()/10000)</f>
        <v/>
      </c>
      <c r="AI675" s="87">
        <f>IF(AND(ISNUMBER($AG675),$AG675&gt;=1,$AG675&lt;=6,$M675&lt;&gt;"Rejected",$M675&lt;&gt;"Withdrawn"),(10-$AG675)*100000+IF(ISNUMBER($C675),$C675,0)+ROW()/10000,"")</f>
        <v/>
      </c>
    </row>
    <row r="676">
      <c r="A676" s="80" t="n"/>
      <c r="B676" s="81" t="n"/>
      <c r="C676" s="81" t="n"/>
      <c r="D676" s="82" t="n"/>
      <c r="E676" s="82" t="n"/>
      <c r="F676" s="82" t="n"/>
      <c r="G676" s="82" t="n"/>
      <c r="H676" s="82" t="n"/>
      <c r="I676" s="83" t="n"/>
      <c r="J676" s="82" t="n"/>
      <c r="K676" s="84" t="n"/>
      <c r="L676" s="85" t="n"/>
      <c r="M676" s="82" t="n"/>
      <c r="N676" s="86" t="n"/>
      <c r="O676" s="81" t="n"/>
      <c r="P676" s="82" t="n"/>
      <c r="Q676" s="83" t="n"/>
      <c r="R676" s="82" t="n"/>
      <c r="S676" s="84" t="n"/>
      <c r="T676" s="84" t="n"/>
      <c r="U676" s="82" t="n"/>
      <c r="V676" s="86" t="n"/>
      <c r="W676" s="86" t="n"/>
      <c r="X676" s="86" t="n"/>
      <c r="Y676" s="81" t="n"/>
      <c r="Z676" s="82" t="n"/>
      <c r="AA676" s="81" t="n"/>
      <c r="AB676" s="82" t="n"/>
      <c r="AC676" s="87">
        <f>IF(OR($D676="",$M676="Rejected",$M676="Withdrawn",$M676="Accepted"),"",IF(ISNUMBER($O676),IF(INT($O676)&lt;TODAY(),"FOLLOW UP REQUIRED",IF(INT($O676)=TODAY(),"ACTION DUE TODAY",IF(INT($O676)-TODAY()&lt;=Set_DueSoonDays,"DUE SOON",""))),IF(AND($M676="Applied",$AA676=""),IF(ISNUMBER($C676),IF(TODAY()-$C676&gt;=Set_FollowUpDays,"NO RESPONSE",""),""),"")))</f>
        <v/>
      </c>
      <c r="AD676" s="87">
        <f>IF(ISNUMBER($L676),IF($L676&gt;=90,"Excellent Match",IF($L676&gt;=75,"Strong Match",IF($L676&gt;=60,"Moderate Match","Low Match"))),"")</f>
        <v/>
      </c>
      <c r="AE676" s="87">
        <f>IF($D676="","",IF(OR($M676="Rejected",$M676="Withdrawn"),IF($AB676&lt;&gt;"",$AB676,IF(OR($M676="Rejected",ISNUMBER($C676)),"Applied","Wishlist")),IF($M676="",IF(ISNUMBER($C676),"Applied","Wishlist"),$M676)))</f>
        <v/>
      </c>
      <c r="AF676" s="88">
        <f>IF(AND(ISNUMBER($C676),ISNUMBER($AA676)),$AA676-$C676,"")</f>
        <v/>
      </c>
      <c r="AG676" s="87">
        <f>IF($AE676="","",IFERROR(MATCH($AE676,{"Wishlist","Applied","Screening","Interview 1","Interview 2","Final","Offer","Accepted"},0)-1,""))</f>
        <v/>
      </c>
      <c r="AH676" s="87">
        <f>IF($AC676="","",MATCH($AC676,{"FOLLOW UP REQUIRED","ACTION DUE TODAY","NO RESPONSE","DUE SOON"},0)*100000+IF(ISNUMBER($O676),$O676,IF(ISNUMBER($C676),$C676,0))+ROW()/10000)</f>
        <v/>
      </c>
      <c r="AI676" s="87">
        <f>IF(AND(ISNUMBER($AG676),$AG676&gt;=1,$AG676&lt;=6,$M676&lt;&gt;"Rejected",$M676&lt;&gt;"Withdrawn"),(10-$AG676)*100000+IF(ISNUMBER($C676),$C676,0)+ROW()/10000,"")</f>
        <v/>
      </c>
    </row>
    <row r="677">
      <c r="A677" s="80" t="n"/>
      <c r="B677" s="81" t="n"/>
      <c r="C677" s="81" t="n"/>
      <c r="D677" s="82" t="n"/>
      <c r="E677" s="82" t="n"/>
      <c r="F677" s="82" t="n"/>
      <c r="G677" s="82" t="n"/>
      <c r="H677" s="82" t="n"/>
      <c r="I677" s="83" t="n"/>
      <c r="J677" s="82" t="n"/>
      <c r="K677" s="84" t="n"/>
      <c r="L677" s="85" t="n"/>
      <c r="M677" s="82" t="n"/>
      <c r="N677" s="86" t="n"/>
      <c r="O677" s="81" t="n"/>
      <c r="P677" s="82" t="n"/>
      <c r="Q677" s="83" t="n"/>
      <c r="R677" s="82" t="n"/>
      <c r="S677" s="84" t="n"/>
      <c r="T677" s="84" t="n"/>
      <c r="U677" s="82" t="n"/>
      <c r="V677" s="86" t="n"/>
      <c r="W677" s="86" t="n"/>
      <c r="X677" s="86" t="n"/>
      <c r="Y677" s="81" t="n"/>
      <c r="Z677" s="82" t="n"/>
      <c r="AA677" s="81" t="n"/>
      <c r="AB677" s="82" t="n"/>
      <c r="AC677" s="87">
        <f>IF(OR($D677="",$M677="Rejected",$M677="Withdrawn",$M677="Accepted"),"",IF(ISNUMBER($O677),IF(INT($O677)&lt;TODAY(),"FOLLOW UP REQUIRED",IF(INT($O677)=TODAY(),"ACTION DUE TODAY",IF(INT($O677)-TODAY()&lt;=Set_DueSoonDays,"DUE SOON",""))),IF(AND($M677="Applied",$AA677=""),IF(ISNUMBER($C677),IF(TODAY()-$C677&gt;=Set_FollowUpDays,"NO RESPONSE",""),""),"")))</f>
        <v/>
      </c>
      <c r="AD677" s="87">
        <f>IF(ISNUMBER($L677),IF($L677&gt;=90,"Excellent Match",IF($L677&gt;=75,"Strong Match",IF($L677&gt;=60,"Moderate Match","Low Match"))),"")</f>
        <v/>
      </c>
      <c r="AE677" s="87">
        <f>IF($D677="","",IF(OR($M677="Rejected",$M677="Withdrawn"),IF($AB677&lt;&gt;"",$AB677,IF(OR($M677="Rejected",ISNUMBER($C677)),"Applied","Wishlist")),IF($M677="",IF(ISNUMBER($C677),"Applied","Wishlist"),$M677)))</f>
        <v/>
      </c>
      <c r="AF677" s="88">
        <f>IF(AND(ISNUMBER($C677),ISNUMBER($AA677)),$AA677-$C677,"")</f>
        <v/>
      </c>
      <c r="AG677" s="87">
        <f>IF($AE677="","",IFERROR(MATCH($AE677,{"Wishlist","Applied","Screening","Interview 1","Interview 2","Final","Offer","Accepted"},0)-1,""))</f>
        <v/>
      </c>
      <c r="AH677" s="87">
        <f>IF($AC677="","",MATCH($AC677,{"FOLLOW UP REQUIRED","ACTION DUE TODAY","NO RESPONSE","DUE SOON"},0)*100000+IF(ISNUMBER($O677),$O677,IF(ISNUMBER($C677),$C677,0))+ROW()/10000)</f>
        <v/>
      </c>
      <c r="AI677" s="87">
        <f>IF(AND(ISNUMBER($AG677),$AG677&gt;=1,$AG677&lt;=6,$M677&lt;&gt;"Rejected",$M677&lt;&gt;"Withdrawn"),(10-$AG677)*100000+IF(ISNUMBER($C677),$C677,0)+ROW()/10000,"")</f>
        <v/>
      </c>
    </row>
    <row r="678">
      <c r="A678" s="80" t="n"/>
      <c r="B678" s="81" t="n"/>
      <c r="C678" s="81" t="n"/>
      <c r="D678" s="82" t="n"/>
      <c r="E678" s="82" t="n"/>
      <c r="F678" s="82" t="n"/>
      <c r="G678" s="82" t="n"/>
      <c r="H678" s="82" t="n"/>
      <c r="I678" s="83" t="n"/>
      <c r="J678" s="82" t="n"/>
      <c r="K678" s="84" t="n"/>
      <c r="L678" s="85" t="n"/>
      <c r="M678" s="82" t="n"/>
      <c r="N678" s="86" t="n"/>
      <c r="O678" s="81" t="n"/>
      <c r="P678" s="82" t="n"/>
      <c r="Q678" s="83" t="n"/>
      <c r="R678" s="82" t="n"/>
      <c r="S678" s="84" t="n"/>
      <c r="T678" s="84" t="n"/>
      <c r="U678" s="82" t="n"/>
      <c r="V678" s="86" t="n"/>
      <c r="W678" s="86" t="n"/>
      <c r="X678" s="86" t="n"/>
      <c r="Y678" s="81" t="n"/>
      <c r="Z678" s="82" t="n"/>
      <c r="AA678" s="81" t="n"/>
      <c r="AB678" s="82" t="n"/>
      <c r="AC678" s="87">
        <f>IF(OR($D678="",$M678="Rejected",$M678="Withdrawn",$M678="Accepted"),"",IF(ISNUMBER($O678),IF(INT($O678)&lt;TODAY(),"FOLLOW UP REQUIRED",IF(INT($O678)=TODAY(),"ACTION DUE TODAY",IF(INT($O678)-TODAY()&lt;=Set_DueSoonDays,"DUE SOON",""))),IF(AND($M678="Applied",$AA678=""),IF(ISNUMBER($C678),IF(TODAY()-$C678&gt;=Set_FollowUpDays,"NO RESPONSE",""),""),"")))</f>
        <v/>
      </c>
      <c r="AD678" s="87">
        <f>IF(ISNUMBER($L678),IF($L678&gt;=90,"Excellent Match",IF($L678&gt;=75,"Strong Match",IF($L678&gt;=60,"Moderate Match","Low Match"))),"")</f>
        <v/>
      </c>
      <c r="AE678" s="87">
        <f>IF($D678="","",IF(OR($M678="Rejected",$M678="Withdrawn"),IF($AB678&lt;&gt;"",$AB678,IF(OR($M678="Rejected",ISNUMBER($C678)),"Applied","Wishlist")),IF($M678="",IF(ISNUMBER($C678),"Applied","Wishlist"),$M678)))</f>
        <v/>
      </c>
      <c r="AF678" s="88">
        <f>IF(AND(ISNUMBER($C678),ISNUMBER($AA678)),$AA678-$C678,"")</f>
        <v/>
      </c>
      <c r="AG678" s="87">
        <f>IF($AE678="","",IFERROR(MATCH($AE678,{"Wishlist","Applied","Screening","Interview 1","Interview 2","Final","Offer","Accepted"},0)-1,""))</f>
        <v/>
      </c>
      <c r="AH678" s="87">
        <f>IF($AC678="","",MATCH($AC678,{"FOLLOW UP REQUIRED","ACTION DUE TODAY","NO RESPONSE","DUE SOON"},0)*100000+IF(ISNUMBER($O678),$O678,IF(ISNUMBER($C678),$C678,0))+ROW()/10000)</f>
        <v/>
      </c>
      <c r="AI678" s="87">
        <f>IF(AND(ISNUMBER($AG678),$AG678&gt;=1,$AG678&lt;=6,$M678&lt;&gt;"Rejected",$M678&lt;&gt;"Withdrawn"),(10-$AG678)*100000+IF(ISNUMBER($C678),$C678,0)+ROW()/10000,"")</f>
        <v/>
      </c>
    </row>
    <row r="679">
      <c r="A679" s="80" t="n"/>
      <c r="B679" s="81" t="n"/>
      <c r="C679" s="81" t="n"/>
      <c r="D679" s="82" t="n"/>
      <c r="E679" s="82" t="n"/>
      <c r="F679" s="82" t="n"/>
      <c r="G679" s="82" t="n"/>
      <c r="H679" s="82" t="n"/>
      <c r="I679" s="83" t="n"/>
      <c r="J679" s="82" t="n"/>
      <c r="K679" s="84" t="n"/>
      <c r="L679" s="85" t="n"/>
      <c r="M679" s="82" t="n"/>
      <c r="N679" s="86" t="n"/>
      <c r="O679" s="81" t="n"/>
      <c r="P679" s="82" t="n"/>
      <c r="Q679" s="83" t="n"/>
      <c r="R679" s="82" t="n"/>
      <c r="S679" s="84" t="n"/>
      <c r="T679" s="84" t="n"/>
      <c r="U679" s="82" t="n"/>
      <c r="V679" s="86" t="n"/>
      <c r="W679" s="86" t="n"/>
      <c r="X679" s="86" t="n"/>
      <c r="Y679" s="81" t="n"/>
      <c r="Z679" s="82" t="n"/>
      <c r="AA679" s="81" t="n"/>
      <c r="AB679" s="82" t="n"/>
      <c r="AC679" s="87">
        <f>IF(OR($D679="",$M679="Rejected",$M679="Withdrawn",$M679="Accepted"),"",IF(ISNUMBER($O679),IF(INT($O679)&lt;TODAY(),"FOLLOW UP REQUIRED",IF(INT($O679)=TODAY(),"ACTION DUE TODAY",IF(INT($O679)-TODAY()&lt;=Set_DueSoonDays,"DUE SOON",""))),IF(AND($M679="Applied",$AA679=""),IF(ISNUMBER($C679),IF(TODAY()-$C679&gt;=Set_FollowUpDays,"NO RESPONSE",""),""),"")))</f>
        <v/>
      </c>
      <c r="AD679" s="87">
        <f>IF(ISNUMBER($L679),IF($L679&gt;=90,"Excellent Match",IF($L679&gt;=75,"Strong Match",IF($L679&gt;=60,"Moderate Match","Low Match"))),"")</f>
        <v/>
      </c>
      <c r="AE679" s="87">
        <f>IF($D679="","",IF(OR($M679="Rejected",$M679="Withdrawn"),IF($AB679&lt;&gt;"",$AB679,IF(OR($M679="Rejected",ISNUMBER($C679)),"Applied","Wishlist")),IF($M679="",IF(ISNUMBER($C679),"Applied","Wishlist"),$M679)))</f>
        <v/>
      </c>
      <c r="AF679" s="88">
        <f>IF(AND(ISNUMBER($C679),ISNUMBER($AA679)),$AA679-$C679,"")</f>
        <v/>
      </c>
      <c r="AG679" s="87">
        <f>IF($AE679="","",IFERROR(MATCH($AE679,{"Wishlist","Applied","Screening","Interview 1","Interview 2","Final","Offer","Accepted"},0)-1,""))</f>
        <v/>
      </c>
      <c r="AH679" s="87">
        <f>IF($AC679="","",MATCH($AC679,{"FOLLOW UP REQUIRED","ACTION DUE TODAY","NO RESPONSE","DUE SOON"},0)*100000+IF(ISNUMBER($O679),$O679,IF(ISNUMBER($C679),$C679,0))+ROW()/10000)</f>
        <v/>
      </c>
      <c r="AI679" s="87">
        <f>IF(AND(ISNUMBER($AG679),$AG679&gt;=1,$AG679&lt;=6,$M679&lt;&gt;"Rejected",$M679&lt;&gt;"Withdrawn"),(10-$AG679)*100000+IF(ISNUMBER($C679),$C679,0)+ROW()/10000,"")</f>
        <v/>
      </c>
    </row>
    <row r="680">
      <c r="A680" s="80" t="n"/>
      <c r="B680" s="81" t="n"/>
      <c r="C680" s="81" t="n"/>
      <c r="D680" s="82" t="n"/>
      <c r="E680" s="82" t="n"/>
      <c r="F680" s="82" t="n"/>
      <c r="G680" s="82" t="n"/>
      <c r="H680" s="82" t="n"/>
      <c r="I680" s="83" t="n"/>
      <c r="J680" s="82" t="n"/>
      <c r="K680" s="84" t="n"/>
      <c r="L680" s="85" t="n"/>
      <c r="M680" s="82" t="n"/>
      <c r="N680" s="86" t="n"/>
      <c r="O680" s="81" t="n"/>
      <c r="P680" s="82" t="n"/>
      <c r="Q680" s="83" t="n"/>
      <c r="R680" s="82" t="n"/>
      <c r="S680" s="84" t="n"/>
      <c r="T680" s="84" t="n"/>
      <c r="U680" s="82" t="n"/>
      <c r="V680" s="86" t="n"/>
      <c r="W680" s="86" t="n"/>
      <c r="X680" s="86" t="n"/>
      <c r="Y680" s="81" t="n"/>
      <c r="Z680" s="82" t="n"/>
      <c r="AA680" s="81" t="n"/>
      <c r="AB680" s="82" t="n"/>
      <c r="AC680" s="87">
        <f>IF(OR($D680="",$M680="Rejected",$M680="Withdrawn",$M680="Accepted"),"",IF(ISNUMBER($O680),IF(INT($O680)&lt;TODAY(),"FOLLOW UP REQUIRED",IF(INT($O680)=TODAY(),"ACTION DUE TODAY",IF(INT($O680)-TODAY()&lt;=Set_DueSoonDays,"DUE SOON",""))),IF(AND($M680="Applied",$AA680=""),IF(ISNUMBER($C680),IF(TODAY()-$C680&gt;=Set_FollowUpDays,"NO RESPONSE",""),""),"")))</f>
        <v/>
      </c>
      <c r="AD680" s="87">
        <f>IF(ISNUMBER($L680),IF($L680&gt;=90,"Excellent Match",IF($L680&gt;=75,"Strong Match",IF($L680&gt;=60,"Moderate Match","Low Match"))),"")</f>
        <v/>
      </c>
      <c r="AE680" s="87">
        <f>IF($D680="","",IF(OR($M680="Rejected",$M680="Withdrawn"),IF($AB680&lt;&gt;"",$AB680,IF(OR($M680="Rejected",ISNUMBER($C680)),"Applied","Wishlist")),IF($M680="",IF(ISNUMBER($C680),"Applied","Wishlist"),$M680)))</f>
        <v/>
      </c>
      <c r="AF680" s="88">
        <f>IF(AND(ISNUMBER($C680),ISNUMBER($AA680)),$AA680-$C680,"")</f>
        <v/>
      </c>
      <c r="AG680" s="87">
        <f>IF($AE680="","",IFERROR(MATCH($AE680,{"Wishlist","Applied","Screening","Interview 1","Interview 2","Final","Offer","Accepted"},0)-1,""))</f>
        <v/>
      </c>
      <c r="AH680" s="87">
        <f>IF($AC680="","",MATCH($AC680,{"FOLLOW UP REQUIRED","ACTION DUE TODAY","NO RESPONSE","DUE SOON"},0)*100000+IF(ISNUMBER($O680),$O680,IF(ISNUMBER($C680),$C680,0))+ROW()/10000)</f>
        <v/>
      </c>
      <c r="AI680" s="87">
        <f>IF(AND(ISNUMBER($AG680),$AG680&gt;=1,$AG680&lt;=6,$M680&lt;&gt;"Rejected",$M680&lt;&gt;"Withdrawn"),(10-$AG680)*100000+IF(ISNUMBER($C680),$C680,0)+ROW()/10000,"")</f>
        <v/>
      </c>
    </row>
    <row r="681">
      <c r="A681" s="80" t="n"/>
      <c r="B681" s="81" t="n"/>
      <c r="C681" s="81" t="n"/>
      <c r="D681" s="82" t="n"/>
      <c r="E681" s="82" t="n"/>
      <c r="F681" s="82" t="n"/>
      <c r="G681" s="82" t="n"/>
      <c r="H681" s="82" t="n"/>
      <c r="I681" s="83" t="n"/>
      <c r="J681" s="82" t="n"/>
      <c r="K681" s="84" t="n"/>
      <c r="L681" s="85" t="n"/>
      <c r="M681" s="82" t="n"/>
      <c r="N681" s="86" t="n"/>
      <c r="O681" s="81" t="n"/>
      <c r="P681" s="82" t="n"/>
      <c r="Q681" s="83" t="n"/>
      <c r="R681" s="82" t="n"/>
      <c r="S681" s="84" t="n"/>
      <c r="T681" s="84" t="n"/>
      <c r="U681" s="82" t="n"/>
      <c r="V681" s="86" t="n"/>
      <c r="W681" s="86" t="n"/>
      <c r="X681" s="86" t="n"/>
      <c r="Y681" s="81" t="n"/>
      <c r="Z681" s="82" t="n"/>
      <c r="AA681" s="81" t="n"/>
      <c r="AB681" s="82" t="n"/>
      <c r="AC681" s="87">
        <f>IF(OR($D681="",$M681="Rejected",$M681="Withdrawn",$M681="Accepted"),"",IF(ISNUMBER($O681),IF(INT($O681)&lt;TODAY(),"FOLLOW UP REQUIRED",IF(INT($O681)=TODAY(),"ACTION DUE TODAY",IF(INT($O681)-TODAY()&lt;=Set_DueSoonDays,"DUE SOON",""))),IF(AND($M681="Applied",$AA681=""),IF(ISNUMBER($C681),IF(TODAY()-$C681&gt;=Set_FollowUpDays,"NO RESPONSE",""),""),"")))</f>
        <v/>
      </c>
      <c r="AD681" s="87">
        <f>IF(ISNUMBER($L681),IF($L681&gt;=90,"Excellent Match",IF($L681&gt;=75,"Strong Match",IF($L681&gt;=60,"Moderate Match","Low Match"))),"")</f>
        <v/>
      </c>
      <c r="AE681" s="87">
        <f>IF($D681="","",IF(OR($M681="Rejected",$M681="Withdrawn"),IF($AB681&lt;&gt;"",$AB681,IF(OR($M681="Rejected",ISNUMBER($C681)),"Applied","Wishlist")),IF($M681="",IF(ISNUMBER($C681),"Applied","Wishlist"),$M681)))</f>
        <v/>
      </c>
      <c r="AF681" s="88">
        <f>IF(AND(ISNUMBER($C681),ISNUMBER($AA681)),$AA681-$C681,"")</f>
        <v/>
      </c>
      <c r="AG681" s="87">
        <f>IF($AE681="","",IFERROR(MATCH($AE681,{"Wishlist","Applied","Screening","Interview 1","Interview 2","Final","Offer","Accepted"},0)-1,""))</f>
        <v/>
      </c>
      <c r="AH681" s="87">
        <f>IF($AC681="","",MATCH($AC681,{"FOLLOW UP REQUIRED","ACTION DUE TODAY","NO RESPONSE","DUE SOON"},0)*100000+IF(ISNUMBER($O681),$O681,IF(ISNUMBER($C681),$C681,0))+ROW()/10000)</f>
        <v/>
      </c>
      <c r="AI681" s="87">
        <f>IF(AND(ISNUMBER($AG681),$AG681&gt;=1,$AG681&lt;=6,$M681&lt;&gt;"Rejected",$M681&lt;&gt;"Withdrawn"),(10-$AG681)*100000+IF(ISNUMBER($C681),$C681,0)+ROW()/10000,"")</f>
        <v/>
      </c>
    </row>
    <row r="682">
      <c r="A682" s="80" t="n"/>
      <c r="B682" s="81" t="n"/>
      <c r="C682" s="81" t="n"/>
      <c r="D682" s="82" t="n"/>
      <c r="E682" s="82" t="n"/>
      <c r="F682" s="82" t="n"/>
      <c r="G682" s="82" t="n"/>
      <c r="H682" s="82" t="n"/>
      <c r="I682" s="83" t="n"/>
      <c r="J682" s="82" t="n"/>
      <c r="K682" s="84" t="n"/>
      <c r="L682" s="85" t="n"/>
      <c r="M682" s="82" t="n"/>
      <c r="N682" s="86" t="n"/>
      <c r="O682" s="81" t="n"/>
      <c r="P682" s="82" t="n"/>
      <c r="Q682" s="83" t="n"/>
      <c r="R682" s="82" t="n"/>
      <c r="S682" s="84" t="n"/>
      <c r="T682" s="84" t="n"/>
      <c r="U682" s="82" t="n"/>
      <c r="V682" s="86" t="n"/>
      <c r="W682" s="86" t="n"/>
      <c r="X682" s="86" t="n"/>
      <c r="Y682" s="81" t="n"/>
      <c r="Z682" s="82" t="n"/>
      <c r="AA682" s="81" t="n"/>
      <c r="AB682" s="82" t="n"/>
      <c r="AC682" s="87">
        <f>IF(OR($D682="",$M682="Rejected",$M682="Withdrawn",$M682="Accepted"),"",IF(ISNUMBER($O682),IF(INT($O682)&lt;TODAY(),"FOLLOW UP REQUIRED",IF(INT($O682)=TODAY(),"ACTION DUE TODAY",IF(INT($O682)-TODAY()&lt;=Set_DueSoonDays,"DUE SOON",""))),IF(AND($M682="Applied",$AA682=""),IF(ISNUMBER($C682),IF(TODAY()-$C682&gt;=Set_FollowUpDays,"NO RESPONSE",""),""),"")))</f>
        <v/>
      </c>
      <c r="AD682" s="87">
        <f>IF(ISNUMBER($L682),IF($L682&gt;=90,"Excellent Match",IF($L682&gt;=75,"Strong Match",IF($L682&gt;=60,"Moderate Match","Low Match"))),"")</f>
        <v/>
      </c>
      <c r="AE682" s="87">
        <f>IF($D682="","",IF(OR($M682="Rejected",$M682="Withdrawn"),IF($AB682&lt;&gt;"",$AB682,IF(OR($M682="Rejected",ISNUMBER($C682)),"Applied","Wishlist")),IF($M682="",IF(ISNUMBER($C682),"Applied","Wishlist"),$M682)))</f>
        <v/>
      </c>
      <c r="AF682" s="88">
        <f>IF(AND(ISNUMBER($C682),ISNUMBER($AA682)),$AA682-$C682,"")</f>
        <v/>
      </c>
      <c r="AG682" s="87">
        <f>IF($AE682="","",IFERROR(MATCH($AE682,{"Wishlist","Applied","Screening","Interview 1","Interview 2","Final","Offer","Accepted"},0)-1,""))</f>
        <v/>
      </c>
      <c r="AH682" s="87">
        <f>IF($AC682="","",MATCH($AC682,{"FOLLOW UP REQUIRED","ACTION DUE TODAY","NO RESPONSE","DUE SOON"},0)*100000+IF(ISNUMBER($O682),$O682,IF(ISNUMBER($C682),$C682,0))+ROW()/10000)</f>
        <v/>
      </c>
      <c r="AI682" s="87">
        <f>IF(AND(ISNUMBER($AG682),$AG682&gt;=1,$AG682&lt;=6,$M682&lt;&gt;"Rejected",$M682&lt;&gt;"Withdrawn"),(10-$AG682)*100000+IF(ISNUMBER($C682),$C682,0)+ROW()/10000,"")</f>
        <v/>
      </c>
    </row>
    <row r="683">
      <c r="A683" s="80" t="n"/>
      <c r="B683" s="81" t="n"/>
      <c r="C683" s="81" t="n"/>
      <c r="D683" s="82" t="n"/>
      <c r="E683" s="82" t="n"/>
      <c r="F683" s="82" t="n"/>
      <c r="G683" s="82" t="n"/>
      <c r="H683" s="82" t="n"/>
      <c r="I683" s="83" t="n"/>
      <c r="J683" s="82" t="n"/>
      <c r="K683" s="84" t="n"/>
      <c r="L683" s="85" t="n"/>
      <c r="M683" s="82" t="n"/>
      <c r="N683" s="86" t="n"/>
      <c r="O683" s="81" t="n"/>
      <c r="P683" s="82" t="n"/>
      <c r="Q683" s="83" t="n"/>
      <c r="R683" s="82" t="n"/>
      <c r="S683" s="84" t="n"/>
      <c r="T683" s="84" t="n"/>
      <c r="U683" s="82" t="n"/>
      <c r="V683" s="86" t="n"/>
      <c r="W683" s="86" t="n"/>
      <c r="X683" s="86" t="n"/>
      <c r="Y683" s="81" t="n"/>
      <c r="Z683" s="82" t="n"/>
      <c r="AA683" s="81" t="n"/>
      <c r="AB683" s="82" t="n"/>
      <c r="AC683" s="87">
        <f>IF(OR($D683="",$M683="Rejected",$M683="Withdrawn",$M683="Accepted"),"",IF(ISNUMBER($O683),IF(INT($O683)&lt;TODAY(),"FOLLOW UP REQUIRED",IF(INT($O683)=TODAY(),"ACTION DUE TODAY",IF(INT($O683)-TODAY()&lt;=Set_DueSoonDays,"DUE SOON",""))),IF(AND($M683="Applied",$AA683=""),IF(ISNUMBER($C683),IF(TODAY()-$C683&gt;=Set_FollowUpDays,"NO RESPONSE",""),""),"")))</f>
        <v/>
      </c>
      <c r="AD683" s="87">
        <f>IF(ISNUMBER($L683),IF($L683&gt;=90,"Excellent Match",IF($L683&gt;=75,"Strong Match",IF($L683&gt;=60,"Moderate Match","Low Match"))),"")</f>
        <v/>
      </c>
      <c r="AE683" s="87">
        <f>IF($D683="","",IF(OR($M683="Rejected",$M683="Withdrawn"),IF($AB683&lt;&gt;"",$AB683,IF(OR($M683="Rejected",ISNUMBER($C683)),"Applied","Wishlist")),IF($M683="",IF(ISNUMBER($C683),"Applied","Wishlist"),$M683)))</f>
        <v/>
      </c>
      <c r="AF683" s="88">
        <f>IF(AND(ISNUMBER($C683),ISNUMBER($AA683)),$AA683-$C683,"")</f>
        <v/>
      </c>
      <c r="AG683" s="87">
        <f>IF($AE683="","",IFERROR(MATCH($AE683,{"Wishlist","Applied","Screening","Interview 1","Interview 2","Final","Offer","Accepted"},0)-1,""))</f>
        <v/>
      </c>
      <c r="AH683" s="87">
        <f>IF($AC683="","",MATCH($AC683,{"FOLLOW UP REQUIRED","ACTION DUE TODAY","NO RESPONSE","DUE SOON"},0)*100000+IF(ISNUMBER($O683),$O683,IF(ISNUMBER($C683),$C683,0))+ROW()/10000)</f>
        <v/>
      </c>
      <c r="AI683" s="87">
        <f>IF(AND(ISNUMBER($AG683),$AG683&gt;=1,$AG683&lt;=6,$M683&lt;&gt;"Rejected",$M683&lt;&gt;"Withdrawn"),(10-$AG683)*100000+IF(ISNUMBER($C683),$C683,0)+ROW()/10000,"")</f>
        <v/>
      </c>
    </row>
    <row r="684">
      <c r="A684" s="80" t="n"/>
      <c r="B684" s="81" t="n"/>
      <c r="C684" s="81" t="n"/>
      <c r="D684" s="82" t="n"/>
      <c r="E684" s="82" t="n"/>
      <c r="F684" s="82" t="n"/>
      <c r="G684" s="82" t="n"/>
      <c r="H684" s="82" t="n"/>
      <c r="I684" s="83" t="n"/>
      <c r="J684" s="82" t="n"/>
      <c r="K684" s="84" t="n"/>
      <c r="L684" s="85" t="n"/>
      <c r="M684" s="82" t="n"/>
      <c r="N684" s="86" t="n"/>
      <c r="O684" s="81" t="n"/>
      <c r="P684" s="82" t="n"/>
      <c r="Q684" s="83" t="n"/>
      <c r="R684" s="82" t="n"/>
      <c r="S684" s="84" t="n"/>
      <c r="T684" s="84" t="n"/>
      <c r="U684" s="82" t="n"/>
      <c r="V684" s="86" t="n"/>
      <c r="W684" s="86" t="n"/>
      <c r="X684" s="86" t="n"/>
      <c r="Y684" s="81" t="n"/>
      <c r="Z684" s="82" t="n"/>
      <c r="AA684" s="81" t="n"/>
      <c r="AB684" s="82" t="n"/>
      <c r="AC684" s="87">
        <f>IF(OR($D684="",$M684="Rejected",$M684="Withdrawn",$M684="Accepted"),"",IF(ISNUMBER($O684),IF(INT($O684)&lt;TODAY(),"FOLLOW UP REQUIRED",IF(INT($O684)=TODAY(),"ACTION DUE TODAY",IF(INT($O684)-TODAY()&lt;=Set_DueSoonDays,"DUE SOON",""))),IF(AND($M684="Applied",$AA684=""),IF(ISNUMBER($C684),IF(TODAY()-$C684&gt;=Set_FollowUpDays,"NO RESPONSE",""),""),"")))</f>
        <v/>
      </c>
      <c r="AD684" s="87">
        <f>IF(ISNUMBER($L684),IF($L684&gt;=90,"Excellent Match",IF($L684&gt;=75,"Strong Match",IF($L684&gt;=60,"Moderate Match","Low Match"))),"")</f>
        <v/>
      </c>
      <c r="AE684" s="87">
        <f>IF($D684="","",IF(OR($M684="Rejected",$M684="Withdrawn"),IF($AB684&lt;&gt;"",$AB684,IF(OR($M684="Rejected",ISNUMBER($C684)),"Applied","Wishlist")),IF($M684="",IF(ISNUMBER($C684),"Applied","Wishlist"),$M684)))</f>
        <v/>
      </c>
      <c r="AF684" s="88">
        <f>IF(AND(ISNUMBER($C684),ISNUMBER($AA684)),$AA684-$C684,"")</f>
        <v/>
      </c>
      <c r="AG684" s="87">
        <f>IF($AE684="","",IFERROR(MATCH($AE684,{"Wishlist","Applied","Screening","Interview 1","Interview 2","Final","Offer","Accepted"},0)-1,""))</f>
        <v/>
      </c>
      <c r="AH684" s="87">
        <f>IF($AC684="","",MATCH($AC684,{"FOLLOW UP REQUIRED","ACTION DUE TODAY","NO RESPONSE","DUE SOON"},0)*100000+IF(ISNUMBER($O684),$O684,IF(ISNUMBER($C684),$C684,0))+ROW()/10000)</f>
        <v/>
      </c>
      <c r="AI684" s="87">
        <f>IF(AND(ISNUMBER($AG684),$AG684&gt;=1,$AG684&lt;=6,$M684&lt;&gt;"Rejected",$M684&lt;&gt;"Withdrawn"),(10-$AG684)*100000+IF(ISNUMBER($C684),$C684,0)+ROW()/10000,"")</f>
        <v/>
      </c>
    </row>
    <row r="685">
      <c r="A685" s="80" t="n"/>
      <c r="B685" s="81" t="n"/>
      <c r="C685" s="81" t="n"/>
      <c r="D685" s="82" t="n"/>
      <c r="E685" s="82" t="n"/>
      <c r="F685" s="82" t="n"/>
      <c r="G685" s="82" t="n"/>
      <c r="H685" s="82" t="n"/>
      <c r="I685" s="83" t="n"/>
      <c r="J685" s="82" t="n"/>
      <c r="K685" s="84" t="n"/>
      <c r="L685" s="85" t="n"/>
      <c r="M685" s="82" t="n"/>
      <c r="N685" s="86" t="n"/>
      <c r="O685" s="81" t="n"/>
      <c r="P685" s="82" t="n"/>
      <c r="Q685" s="83" t="n"/>
      <c r="R685" s="82" t="n"/>
      <c r="S685" s="84" t="n"/>
      <c r="T685" s="84" t="n"/>
      <c r="U685" s="82" t="n"/>
      <c r="V685" s="86" t="n"/>
      <c r="W685" s="86" t="n"/>
      <c r="X685" s="86" t="n"/>
      <c r="Y685" s="81" t="n"/>
      <c r="Z685" s="82" t="n"/>
      <c r="AA685" s="81" t="n"/>
      <c r="AB685" s="82" t="n"/>
      <c r="AC685" s="87">
        <f>IF(OR($D685="",$M685="Rejected",$M685="Withdrawn",$M685="Accepted"),"",IF(ISNUMBER($O685),IF(INT($O685)&lt;TODAY(),"FOLLOW UP REQUIRED",IF(INT($O685)=TODAY(),"ACTION DUE TODAY",IF(INT($O685)-TODAY()&lt;=Set_DueSoonDays,"DUE SOON",""))),IF(AND($M685="Applied",$AA685=""),IF(ISNUMBER($C685),IF(TODAY()-$C685&gt;=Set_FollowUpDays,"NO RESPONSE",""),""),"")))</f>
        <v/>
      </c>
      <c r="AD685" s="87">
        <f>IF(ISNUMBER($L685),IF($L685&gt;=90,"Excellent Match",IF($L685&gt;=75,"Strong Match",IF($L685&gt;=60,"Moderate Match","Low Match"))),"")</f>
        <v/>
      </c>
      <c r="AE685" s="87">
        <f>IF($D685="","",IF(OR($M685="Rejected",$M685="Withdrawn"),IF($AB685&lt;&gt;"",$AB685,IF(OR($M685="Rejected",ISNUMBER($C685)),"Applied","Wishlist")),IF($M685="",IF(ISNUMBER($C685),"Applied","Wishlist"),$M685)))</f>
        <v/>
      </c>
      <c r="AF685" s="88">
        <f>IF(AND(ISNUMBER($C685),ISNUMBER($AA685)),$AA685-$C685,"")</f>
        <v/>
      </c>
      <c r="AG685" s="87">
        <f>IF($AE685="","",IFERROR(MATCH($AE685,{"Wishlist","Applied","Screening","Interview 1","Interview 2","Final","Offer","Accepted"},0)-1,""))</f>
        <v/>
      </c>
      <c r="AH685" s="87">
        <f>IF($AC685="","",MATCH($AC685,{"FOLLOW UP REQUIRED","ACTION DUE TODAY","NO RESPONSE","DUE SOON"},0)*100000+IF(ISNUMBER($O685),$O685,IF(ISNUMBER($C685),$C685,0))+ROW()/10000)</f>
        <v/>
      </c>
      <c r="AI685" s="87">
        <f>IF(AND(ISNUMBER($AG685),$AG685&gt;=1,$AG685&lt;=6,$M685&lt;&gt;"Rejected",$M685&lt;&gt;"Withdrawn"),(10-$AG685)*100000+IF(ISNUMBER($C685),$C685,0)+ROW()/10000,"")</f>
        <v/>
      </c>
    </row>
    <row r="686">
      <c r="A686" s="80" t="n"/>
      <c r="B686" s="81" t="n"/>
      <c r="C686" s="81" t="n"/>
      <c r="D686" s="82" t="n"/>
      <c r="E686" s="82" t="n"/>
      <c r="F686" s="82" t="n"/>
      <c r="G686" s="82" t="n"/>
      <c r="H686" s="82" t="n"/>
      <c r="I686" s="83" t="n"/>
      <c r="J686" s="82" t="n"/>
      <c r="K686" s="84" t="n"/>
      <c r="L686" s="85" t="n"/>
      <c r="M686" s="82" t="n"/>
      <c r="N686" s="86" t="n"/>
      <c r="O686" s="81" t="n"/>
      <c r="P686" s="82" t="n"/>
      <c r="Q686" s="83" t="n"/>
      <c r="R686" s="82" t="n"/>
      <c r="S686" s="84" t="n"/>
      <c r="T686" s="84" t="n"/>
      <c r="U686" s="82" t="n"/>
      <c r="V686" s="86" t="n"/>
      <c r="W686" s="86" t="n"/>
      <c r="X686" s="86" t="n"/>
      <c r="Y686" s="81" t="n"/>
      <c r="Z686" s="82" t="n"/>
      <c r="AA686" s="81" t="n"/>
      <c r="AB686" s="82" t="n"/>
      <c r="AC686" s="87">
        <f>IF(OR($D686="",$M686="Rejected",$M686="Withdrawn",$M686="Accepted"),"",IF(ISNUMBER($O686),IF(INT($O686)&lt;TODAY(),"FOLLOW UP REQUIRED",IF(INT($O686)=TODAY(),"ACTION DUE TODAY",IF(INT($O686)-TODAY()&lt;=Set_DueSoonDays,"DUE SOON",""))),IF(AND($M686="Applied",$AA686=""),IF(ISNUMBER($C686),IF(TODAY()-$C686&gt;=Set_FollowUpDays,"NO RESPONSE",""),""),"")))</f>
        <v/>
      </c>
      <c r="AD686" s="87">
        <f>IF(ISNUMBER($L686),IF($L686&gt;=90,"Excellent Match",IF($L686&gt;=75,"Strong Match",IF($L686&gt;=60,"Moderate Match","Low Match"))),"")</f>
        <v/>
      </c>
      <c r="AE686" s="87">
        <f>IF($D686="","",IF(OR($M686="Rejected",$M686="Withdrawn"),IF($AB686&lt;&gt;"",$AB686,IF(OR($M686="Rejected",ISNUMBER($C686)),"Applied","Wishlist")),IF($M686="",IF(ISNUMBER($C686),"Applied","Wishlist"),$M686)))</f>
        <v/>
      </c>
      <c r="AF686" s="88">
        <f>IF(AND(ISNUMBER($C686),ISNUMBER($AA686)),$AA686-$C686,"")</f>
        <v/>
      </c>
      <c r="AG686" s="87">
        <f>IF($AE686="","",IFERROR(MATCH($AE686,{"Wishlist","Applied","Screening","Interview 1","Interview 2","Final","Offer","Accepted"},0)-1,""))</f>
        <v/>
      </c>
      <c r="AH686" s="87">
        <f>IF($AC686="","",MATCH($AC686,{"FOLLOW UP REQUIRED","ACTION DUE TODAY","NO RESPONSE","DUE SOON"},0)*100000+IF(ISNUMBER($O686),$O686,IF(ISNUMBER($C686),$C686,0))+ROW()/10000)</f>
        <v/>
      </c>
      <c r="AI686" s="87">
        <f>IF(AND(ISNUMBER($AG686),$AG686&gt;=1,$AG686&lt;=6,$M686&lt;&gt;"Rejected",$M686&lt;&gt;"Withdrawn"),(10-$AG686)*100000+IF(ISNUMBER($C686),$C686,0)+ROW()/10000,"")</f>
        <v/>
      </c>
    </row>
    <row r="687">
      <c r="A687" s="80" t="n"/>
      <c r="B687" s="81" t="n"/>
      <c r="C687" s="81" t="n"/>
      <c r="D687" s="82" t="n"/>
      <c r="E687" s="82" t="n"/>
      <c r="F687" s="82" t="n"/>
      <c r="G687" s="82" t="n"/>
      <c r="H687" s="82" t="n"/>
      <c r="I687" s="83" t="n"/>
      <c r="J687" s="82" t="n"/>
      <c r="K687" s="84" t="n"/>
      <c r="L687" s="85" t="n"/>
      <c r="M687" s="82" t="n"/>
      <c r="N687" s="86" t="n"/>
      <c r="O687" s="81" t="n"/>
      <c r="P687" s="82" t="n"/>
      <c r="Q687" s="83" t="n"/>
      <c r="R687" s="82" t="n"/>
      <c r="S687" s="84" t="n"/>
      <c r="T687" s="84" t="n"/>
      <c r="U687" s="82" t="n"/>
      <c r="V687" s="86" t="n"/>
      <c r="W687" s="86" t="n"/>
      <c r="X687" s="86" t="n"/>
      <c r="Y687" s="81" t="n"/>
      <c r="Z687" s="82" t="n"/>
      <c r="AA687" s="81" t="n"/>
      <c r="AB687" s="82" t="n"/>
      <c r="AC687" s="87">
        <f>IF(OR($D687="",$M687="Rejected",$M687="Withdrawn",$M687="Accepted"),"",IF(ISNUMBER($O687),IF(INT($O687)&lt;TODAY(),"FOLLOW UP REQUIRED",IF(INT($O687)=TODAY(),"ACTION DUE TODAY",IF(INT($O687)-TODAY()&lt;=Set_DueSoonDays,"DUE SOON",""))),IF(AND($M687="Applied",$AA687=""),IF(ISNUMBER($C687),IF(TODAY()-$C687&gt;=Set_FollowUpDays,"NO RESPONSE",""),""),"")))</f>
        <v/>
      </c>
      <c r="AD687" s="87">
        <f>IF(ISNUMBER($L687),IF($L687&gt;=90,"Excellent Match",IF($L687&gt;=75,"Strong Match",IF($L687&gt;=60,"Moderate Match","Low Match"))),"")</f>
        <v/>
      </c>
      <c r="AE687" s="87">
        <f>IF($D687="","",IF(OR($M687="Rejected",$M687="Withdrawn"),IF($AB687&lt;&gt;"",$AB687,IF(OR($M687="Rejected",ISNUMBER($C687)),"Applied","Wishlist")),IF($M687="",IF(ISNUMBER($C687),"Applied","Wishlist"),$M687)))</f>
        <v/>
      </c>
      <c r="AF687" s="88">
        <f>IF(AND(ISNUMBER($C687),ISNUMBER($AA687)),$AA687-$C687,"")</f>
        <v/>
      </c>
      <c r="AG687" s="87">
        <f>IF($AE687="","",IFERROR(MATCH($AE687,{"Wishlist","Applied","Screening","Interview 1","Interview 2","Final","Offer","Accepted"},0)-1,""))</f>
        <v/>
      </c>
      <c r="AH687" s="87">
        <f>IF($AC687="","",MATCH($AC687,{"FOLLOW UP REQUIRED","ACTION DUE TODAY","NO RESPONSE","DUE SOON"},0)*100000+IF(ISNUMBER($O687),$O687,IF(ISNUMBER($C687),$C687,0))+ROW()/10000)</f>
        <v/>
      </c>
      <c r="AI687" s="87">
        <f>IF(AND(ISNUMBER($AG687),$AG687&gt;=1,$AG687&lt;=6,$M687&lt;&gt;"Rejected",$M687&lt;&gt;"Withdrawn"),(10-$AG687)*100000+IF(ISNUMBER($C687),$C687,0)+ROW()/10000,"")</f>
        <v/>
      </c>
    </row>
    <row r="688">
      <c r="A688" s="80" t="n"/>
      <c r="B688" s="81" t="n"/>
      <c r="C688" s="81" t="n"/>
      <c r="D688" s="82" t="n"/>
      <c r="E688" s="82" t="n"/>
      <c r="F688" s="82" t="n"/>
      <c r="G688" s="82" t="n"/>
      <c r="H688" s="82" t="n"/>
      <c r="I688" s="83" t="n"/>
      <c r="J688" s="82" t="n"/>
      <c r="K688" s="84" t="n"/>
      <c r="L688" s="85" t="n"/>
      <c r="M688" s="82" t="n"/>
      <c r="N688" s="86" t="n"/>
      <c r="O688" s="81" t="n"/>
      <c r="P688" s="82" t="n"/>
      <c r="Q688" s="83" t="n"/>
      <c r="R688" s="82" t="n"/>
      <c r="S688" s="84" t="n"/>
      <c r="T688" s="84" t="n"/>
      <c r="U688" s="82" t="n"/>
      <c r="V688" s="86" t="n"/>
      <c r="W688" s="86" t="n"/>
      <c r="X688" s="86" t="n"/>
      <c r="Y688" s="81" t="n"/>
      <c r="Z688" s="82" t="n"/>
      <c r="AA688" s="81" t="n"/>
      <c r="AB688" s="82" t="n"/>
      <c r="AC688" s="87">
        <f>IF(OR($D688="",$M688="Rejected",$M688="Withdrawn",$M688="Accepted"),"",IF(ISNUMBER($O688),IF(INT($O688)&lt;TODAY(),"FOLLOW UP REQUIRED",IF(INT($O688)=TODAY(),"ACTION DUE TODAY",IF(INT($O688)-TODAY()&lt;=Set_DueSoonDays,"DUE SOON",""))),IF(AND($M688="Applied",$AA688=""),IF(ISNUMBER($C688),IF(TODAY()-$C688&gt;=Set_FollowUpDays,"NO RESPONSE",""),""),"")))</f>
        <v/>
      </c>
      <c r="AD688" s="87">
        <f>IF(ISNUMBER($L688),IF($L688&gt;=90,"Excellent Match",IF($L688&gt;=75,"Strong Match",IF($L688&gt;=60,"Moderate Match","Low Match"))),"")</f>
        <v/>
      </c>
      <c r="AE688" s="87">
        <f>IF($D688="","",IF(OR($M688="Rejected",$M688="Withdrawn"),IF($AB688&lt;&gt;"",$AB688,IF(OR($M688="Rejected",ISNUMBER($C688)),"Applied","Wishlist")),IF($M688="",IF(ISNUMBER($C688),"Applied","Wishlist"),$M688)))</f>
        <v/>
      </c>
      <c r="AF688" s="88">
        <f>IF(AND(ISNUMBER($C688),ISNUMBER($AA688)),$AA688-$C688,"")</f>
        <v/>
      </c>
      <c r="AG688" s="87">
        <f>IF($AE688="","",IFERROR(MATCH($AE688,{"Wishlist","Applied","Screening","Interview 1","Interview 2","Final","Offer","Accepted"},0)-1,""))</f>
        <v/>
      </c>
      <c r="AH688" s="87">
        <f>IF($AC688="","",MATCH($AC688,{"FOLLOW UP REQUIRED","ACTION DUE TODAY","NO RESPONSE","DUE SOON"},0)*100000+IF(ISNUMBER($O688),$O688,IF(ISNUMBER($C688),$C688,0))+ROW()/10000)</f>
        <v/>
      </c>
      <c r="AI688" s="87">
        <f>IF(AND(ISNUMBER($AG688),$AG688&gt;=1,$AG688&lt;=6,$M688&lt;&gt;"Rejected",$M688&lt;&gt;"Withdrawn"),(10-$AG688)*100000+IF(ISNUMBER($C688),$C688,0)+ROW()/10000,"")</f>
        <v/>
      </c>
    </row>
    <row r="689">
      <c r="A689" s="80" t="n"/>
      <c r="B689" s="81" t="n"/>
      <c r="C689" s="81" t="n"/>
      <c r="D689" s="82" t="n"/>
      <c r="E689" s="82" t="n"/>
      <c r="F689" s="82" t="n"/>
      <c r="G689" s="82" t="n"/>
      <c r="H689" s="82" t="n"/>
      <c r="I689" s="83" t="n"/>
      <c r="J689" s="82" t="n"/>
      <c r="K689" s="84" t="n"/>
      <c r="L689" s="85" t="n"/>
      <c r="M689" s="82" t="n"/>
      <c r="N689" s="86" t="n"/>
      <c r="O689" s="81" t="n"/>
      <c r="P689" s="82" t="n"/>
      <c r="Q689" s="83" t="n"/>
      <c r="R689" s="82" t="n"/>
      <c r="S689" s="84" t="n"/>
      <c r="T689" s="84" t="n"/>
      <c r="U689" s="82" t="n"/>
      <c r="V689" s="86" t="n"/>
      <c r="W689" s="86" t="n"/>
      <c r="X689" s="86" t="n"/>
      <c r="Y689" s="81" t="n"/>
      <c r="Z689" s="82" t="n"/>
      <c r="AA689" s="81" t="n"/>
      <c r="AB689" s="82" t="n"/>
      <c r="AC689" s="87">
        <f>IF(OR($D689="",$M689="Rejected",$M689="Withdrawn",$M689="Accepted"),"",IF(ISNUMBER($O689),IF(INT($O689)&lt;TODAY(),"FOLLOW UP REQUIRED",IF(INT($O689)=TODAY(),"ACTION DUE TODAY",IF(INT($O689)-TODAY()&lt;=Set_DueSoonDays,"DUE SOON",""))),IF(AND($M689="Applied",$AA689=""),IF(ISNUMBER($C689),IF(TODAY()-$C689&gt;=Set_FollowUpDays,"NO RESPONSE",""),""),"")))</f>
        <v/>
      </c>
      <c r="AD689" s="87">
        <f>IF(ISNUMBER($L689),IF($L689&gt;=90,"Excellent Match",IF($L689&gt;=75,"Strong Match",IF($L689&gt;=60,"Moderate Match","Low Match"))),"")</f>
        <v/>
      </c>
      <c r="AE689" s="87">
        <f>IF($D689="","",IF(OR($M689="Rejected",$M689="Withdrawn"),IF($AB689&lt;&gt;"",$AB689,IF(OR($M689="Rejected",ISNUMBER($C689)),"Applied","Wishlist")),IF($M689="",IF(ISNUMBER($C689),"Applied","Wishlist"),$M689)))</f>
        <v/>
      </c>
      <c r="AF689" s="88">
        <f>IF(AND(ISNUMBER($C689),ISNUMBER($AA689)),$AA689-$C689,"")</f>
        <v/>
      </c>
      <c r="AG689" s="87">
        <f>IF($AE689="","",IFERROR(MATCH($AE689,{"Wishlist","Applied","Screening","Interview 1","Interview 2","Final","Offer","Accepted"},0)-1,""))</f>
        <v/>
      </c>
      <c r="AH689" s="87">
        <f>IF($AC689="","",MATCH($AC689,{"FOLLOW UP REQUIRED","ACTION DUE TODAY","NO RESPONSE","DUE SOON"},0)*100000+IF(ISNUMBER($O689),$O689,IF(ISNUMBER($C689),$C689,0))+ROW()/10000)</f>
        <v/>
      </c>
      <c r="AI689" s="87">
        <f>IF(AND(ISNUMBER($AG689),$AG689&gt;=1,$AG689&lt;=6,$M689&lt;&gt;"Rejected",$M689&lt;&gt;"Withdrawn"),(10-$AG689)*100000+IF(ISNUMBER($C689),$C689,0)+ROW()/10000,"")</f>
        <v/>
      </c>
    </row>
    <row r="690">
      <c r="A690" s="80" t="n"/>
      <c r="B690" s="81" t="n"/>
      <c r="C690" s="81" t="n"/>
      <c r="D690" s="82" t="n"/>
      <c r="E690" s="82" t="n"/>
      <c r="F690" s="82" t="n"/>
      <c r="G690" s="82" t="n"/>
      <c r="H690" s="82" t="n"/>
      <c r="I690" s="83" t="n"/>
      <c r="J690" s="82" t="n"/>
      <c r="K690" s="84" t="n"/>
      <c r="L690" s="85" t="n"/>
      <c r="M690" s="82" t="n"/>
      <c r="N690" s="86" t="n"/>
      <c r="O690" s="81" t="n"/>
      <c r="P690" s="82" t="n"/>
      <c r="Q690" s="83" t="n"/>
      <c r="R690" s="82" t="n"/>
      <c r="S690" s="84" t="n"/>
      <c r="T690" s="84" t="n"/>
      <c r="U690" s="82" t="n"/>
      <c r="V690" s="86" t="n"/>
      <c r="W690" s="86" t="n"/>
      <c r="X690" s="86" t="n"/>
      <c r="Y690" s="81" t="n"/>
      <c r="Z690" s="82" t="n"/>
      <c r="AA690" s="81" t="n"/>
      <c r="AB690" s="82" t="n"/>
      <c r="AC690" s="87">
        <f>IF(OR($D690="",$M690="Rejected",$M690="Withdrawn",$M690="Accepted"),"",IF(ISNUMBER($O690),IF(INT($O690)&lt;TODAY(),"FOLLOW UP REQUIRED",IF(INT($O690)=TODAY(),"ACTION DUE TODAY",IF(INT($O690)-TODAY()&lt;=Set_DueSoonDays,"DUE SOON",""))),IF(AND($M690="Applied",$AA690=""),IF(ISNUMBER($C690),IF(TODAY()-$C690&gt;=Set_FollowUpDays,"NO RESPONSE",""),""),"")))</f>
        <v/>
      </c>
      <c r="AD690" s="87">
        <f>IF(ISNUMBER($L690),IF($L690&gt;=90,"Excellent Match",IF($L690&gt;=75,"Strong Match",IF($L690&gt;=60,"Moderate Match","Low Match"))),"")</f>
        <v/>
      </c>
      <c r="AE690" s="87">
        <f>IF($D690="","",IF(OR($M690="Rejected",$M690="Withdrawn"),IF($AB690&lt;&gt;"",$AB690,IF(OR($M690="Rejected",ISNUMBER($C690)),"Applied","Wishlist")),IF($M690="",IF(ISNUMBER($C690),"Applied","Wishlist"),$M690)))</f>
        <v/>
      </c>
      <c r="AF690" s="88">
        <f>IF(AND(ISNUMBER($C690),ISNUMBER($AA690)),$AA690-$C690,"")</f>
        <v/>
      </c>
      <c r="AG690" s="87">
        <f>IF($AE690="","",IFERROR(MATCH($AE690,{"Wishlist","Applied","Screening","Interview 1","Interview 2","Final","Offer","Accepted"},0)-1,""))</f>
        <v/>
      </c>
      <c r="AH690" s="87">
        <f>IF($AC690="","",MATCH($AC690,{"FOLLOW UP REQUIRED","ACTION DUE TODAY","NO RESPONSE","DUE SOON"},0)*100000+IF(ISNUMBER($O690),$O690,IF(ISNUMBER($C690),$C690,0))+ROW()/10000)</f>
        <v/>
      </c>
      <c r="AI690" s="87">
        <f>IF(AND(ISNUMBER($AG690),$AG690&gt;=1,$AG690&lt;=6,$M690&lt;&gt;"Rejected",$M690&lt;&gt;"Withdrawn"),(10-$AG690)*100000+IF(ISNUMBER($C690),$C690,0)+ROW()/10000,"")</f>
        <v/>
      </c>
    </row>
    <row r="691">
      <c r="A691" s="80" t="n"/>
      <c r="B691" s="81" t="n"/>
      <c r="C691" s="81" t="n"/>
      <c r="D691" s="82" t="n"/>
      <c r="E691" s="82" t="n"/>
      <c r="F691" s="82" t="n"/>
      <c r="G691" s="82" t="n"/>
      <c r="H691" s="82" t="n"/>
      <c r="I691" s="83" t="n"/>
      <c r="J691" s="82" t="n"/>
      <c r="K691" s="84" t="n"/>
      <c r="L691" s="85" t="n"/>
      <c r="M691" s="82" t="n"/>
      <c r="N691" s="86" t="n"/>
      <c r="O691" s="81" t="n"/>
      <c r="P691" s="82" t="n"/>
      <c r="Q691" s="83" t="n"/>
      <c r="R691" s="82" t="n"/>
      <c r="S691" s="84" t="n"/>
      <c r="T691" s="84" t="n"/>
      <c r="U691" s="82" t="n"/>
      <c r="V691" s="86" t="n"/>
      <c r="W691" s="86" t="n"/>
      <c r="X691" s="86" t="n"/>
      <c r="Y691" s="81" t="n"/>
      <c r="Z691" s="82" t="n"/>
      <c r="AA691" s="81" t="n"/>
      <c r="AB691" s="82" t="n"/>
      <c r="AC691" s="87">
        <f>IF(OR($D691="",$M691="Rejected",$M691="Withdrawn",$M691="Accepted"),"",IF(ISNUMBER($O691),IF(INT($O691)&lt;TODAY(),"FOLLOW UP REQUIRED",IF(INT($O691)=TODAY(),"ACTION DUE TODAY",IF(INT($O691)-TODAY()&lt;=Set_DueSoonDays,"DUE SOON",""))),IF(AND($M691="Applied",$AA691=""),IF(ISNUMBER($C691),IF(TODAY()-$C691&gt;=Set_FollowUpDays,"NO RESPONSE",""),""),"")))</f>
        <v/>
      </c>
      <c r="AD691" s="87">
        <f>IF(ISNUMBER($L691),IF($L691&gt;=90,"Excellent Match",IF($L691&gt;=75,"Strong Match",IF($L691&gt;=60,"Moderate Match","Low Match"))),"")</f>
        <v/>
      </c>
      <c r="AE691" s="87">
        <f>IF($D691="","",IF(OR($M691="Rejected",$M691="Withdrawn"),IF($AB691&lt;&gt;"",$AB691,IF(OR($M691="Rejected",ISNUMBER($C691)),"Applied","Wishlist")),IF($M691="",IF(ISNUMBER($C691),"Applied","Wishlist"),$M691)))</f>
        <v/>
      </c>
      <c r="AF691" s="88">
        <f>IF(AND(ISNUMBER($C691),ISNUMBER($AA691)),$AA691-$C691,"")</f>
        <v/>
      </c>
      <c r="AG691" s="87">
        <f>IF($AE691="","",IFERROR(MATCH($AE691,{"Wishlist","Applied","Screening","Interview 1","Interview 2","Final","Offer","Accepted"},0)-1,""))</f>
        <v/>
      </c>
      <c r="AH691" s="87">
        <f>IF($AC691="","",MATCH($AC691,{"FOLLOW UP REQUIRED","ACTION DUE TODAY","NO RESPONSE","DUE SOON"},0)*100000+IF(ISNUMBER($O691),$O691,IF(ISNUMBER($C691),$C691,0))+ROW()/10000)</f>
        <v/>
      </c>
      <c r="AI691" s="87">
        <f>IF(AND(ISNUMBER($AG691),$AG691&gt;=1,$AG691&lt;=6,$M691&lt;&gt;"Rejected",$M691&lt;&gt;"Withdrawn"),(10-$AG691)*100000+IF(ISNUMBER($C691),$C691,0)+ROW()/10000,"")</f>
        <v/>
      </c>
    </row>
    <row r="692">
      <c r="A692" s="80" t="n"/>
      <c r="B692" s="81" t="n"/>
      <c r="C692" s="81" t="n"/>
      <c r="D692" s="82" t="n"/>
      <c r="E692" s="82" t="n"/>
      <c r="F692" s="82" t="n"/>
      <c r="G692" s="82" t="n"/>
      <c r="H692" s="82" t="n"/>
      <c r="I692" s="83" t="n"/>
      <c r="J692" s="82" t="n"/>
      <c r="K692" s="84" t="n"/>
      <c r="L692" s="85" t="n"/>
      <c r="M692" s="82" t="n"/>
      <c r="N692" s="86" t="n"/>
      <c r="O692" s="81" t="n"/>
      <c r="P692" s="82" t="n"/>
      <c r="Q692" s="83" t="n"/>
      <c r="R692" s="82" t="n"/>
      <c r="S692" s="84" t="n"/>
      <c r="T692" s="84" t="n"/>
      <c r="U692" s="82" t="n"/>
      <c r="V692" s="86" t="n"/>
      <c r="W692" s="86" t="n"/>
      <c r="X692" s="86" t="n"/>
      <c r="Y692" s="81" t="n"/>
      <c r="Z692" s="82" t="n"/>
      <c r="AA692" s="81" t="n"/>
      <c r="AB692" s="82" t="n"/>
      <c r="AC692" s="87">
        <f>IF(OR($D692="",$M692="Rejected",$M692="Withdrawn",$M692="Accepted"),"",IF(ISNUMBER($O692),IF(INT($O692)&lt;TODAY(),"FOLLOW UP REQUIRED",IF(INT($O692)=TODAY(),"ACTION DUE TODAY",IF(INT($O692)-TODAY()&lt;=Set_DueSoonDays,"DUE SOON",""))),IF(AND($M692="Applied",$AA692=""),IF(ISNUMBER($C692),IF(TODAY()-$C692&gt;=Set_FollowUpDays,"NO RESPONSE",""),""),"")))</f>
        <v/>
      </c>
      <c r="AD692" s="87">
        <f>IF(ISNUMBER($L692),IF($L692&gt;=90,"Excellent Match",IF($L692&gt;=75,"Strong Match",IF($L692&gt;=60,"Moderate Match","Low Match"))),"")</f>
        <v/>
      </c>
      <c r="AE692" s="87">
        <f>IF($D692="","",IF(OR($M692="Rejected",$M692="Withdrawn"),IF($AB692&lt;&gt;"",$AB692,IF(OR($M692="Rejected",ISNUMBER($C692)),"Applied","Wishlist")),IF($M692="",IF(ISNUMBER($C692),"Applied","Wishlist"),$M692)))</f>
        <v/>
      </c>
      <c r="AF692" s="88">
        <f>IF(AND(ISNUMBER($C692),ISNUMBER($AA692)),$AA692-$C692,"")</f>
        <v/>
      </c>
      <c r="AG692" s="87">
        <f>IF($AE692="","",IFERROR(MATCH($AE692,{"Wishlist","Applied","Screening","Interview 1","Interview 2","Final","Offer","Accepted"},0)-1,""))</f>
        <v/>
      </c>
      <c r="AH692" s="87">
        <f>IF($AC692="","",MATCH($AC692,{"FOLLOW UP REQUIRED","ACTION DUE TODAY","NO RESPONSE","DUE SOON"},0)*100000+IF(ISNUMBER($O692),$O692,IF(ISNUMBER($C692),$C692,0))+ROW()/10000)</f>
        <v/>
      </c>
      <c r="AI692" s="87">
        <f>IF(AND(ISNUMBER($AG692),$AG692&gt;=1,$AG692&lt;=6,$M692&lt;&gt;"Rejected",$M692&lt;&gt;"Withdrawn"),(10-$AG692)*100000+IF(ISNUMBER($C692),$C692,0)+ROW()/10000,"")</f>
        <v/>
      </c>
    </row>
    <row r="693">
      <c r="A693" s="80" t="n"/>
      <c r="B693" s="81" t="n"/>
      <c r="C693" s="81" t="n"/>
      <c r="D693" s="82" t="n"/>
      <c r="E693" s="82" t="n"/>
      <c r="F693" s="82" t="n"/>
      <c r="G693" s="82" t="n"/>
      <c r="H693" s="82" t="n"/>
      <c r="I693" s="83" t="n"/>
      <c r="J693" s="82" t="n"/>
      <c r="K693" s="84" t="n"/>
      <c r="L693" s="85" t="n"/>
      <c r="M693" s="82" t="n"/>
      <c r="N693" s="86" t="n"/>
      <c r="O693" s="81" t="n"/>
      <c r="P693" s="82" t="n"/>
      <c r="Q693" s="83" t="n"/>
      <c r="R693" s="82" t="n"/>
      <c r="S693" s="84" t="n"/>
      <c r="T693" s="84" t="n"/>
      <c r="U693" s="82" t="n"/>
      <c r="V693" s="86" t="n"/>
      <c r="W693" s="86" t="n"/>
      <c r="X693" s="86" t="n"/>
      <c r="Y693" s="81" t="n"/>
      <c r="Z693" s="82" t="n"/>
      <c r="AA693" s="81" t="n"/>
      <c r="AB693" s="82" t="n"/>
      <c r="AC693" s="87">
        <f>IF(OR($D693="",$M693="Rejected",$M693="Withdrawn",$M693="Accepted"),"",IF(ISNUMBER($O693),IF(INT($O693)&lt;TODAY(),"FOLLOW UP REQUIRED",IF(INT($O693)=TODAY(),"ACTION DUE TODAY",IF(INT($O693)-TODAY()&lt;=Set_DueSoonDays,"DUE SOON",""))),IF(AND($M693="Applied",$AA693=""),IF(ISNUMBER($C693),IF(TODAY()-$C693&gt;=Set_FollowUpDays,"NO RESPONSE",""),""),"")))</f>
        <v/>
      </c>
      <c r="AD693" s="87">
        <f>IF(ISNUMBER($L693),IF($L693&gt;=90,"Excellent Match",IF($L693&gt;=75,"Strong Match",IF($L693&gt;=60,"Moderate Match","Low Match"))),"")</f>
        <v/>
      </c>
      <c r="AE693" s="87">
        <f>IF($D693="","",IF(OR($M693="Rejected",$M693="Withdrawn"),IF($AB693&lt;&gt;"",$AB693,IF(OR($M693="Rejected",ISNUMBER($C693)),"Applied","Wishlist")),IF($M693="",IF(ISNUMBER($C693),"Applied","Wishlist"),$M693)))</f>
        <v/>
      </c>
      <c r="AF693" s="88">
        <f>IF(AND(ISNUMBER($C693),ISNUMBER($AA693)),$AA693-$C693,"")</f>
        <v/>
      </c>
      <c r="AG693" s="87">
        <f>IF($AE693="","",IFERROR(MATCH($AE693,{"Wishlist","Applied","Screening","Interview 1","Interview 2","Final","Offer","Accepted"},0)-1,""))</f>
        <v/>
      </c>
      <c r="AH693" s="87">
        <f>IF($AC693="","",MATCH($AC693,{"FOLLOW UP REQUIRED","ACTION DUE TODAY","NO RESPONSE","DUE SOON"},0)*100000+IF(ISNUMBER($O693),$O693,IF(ISNUMBER($C693),$C693,0))+ROW()/10000)</f>
        <v/>
      </c>
      <c r="AI693" s="87">
        <f>IF(AND(ISNUMBER($AG693),$AG693&gt;=1,$AG693&lt;=6,$M693&lt;&gt;"Rejected",$M693&lt;&gt;"Withdrawn"),(10-$AG693)*100000+IF(ISNUMBER($C693),$C693,0)+ROW()/10000,"")</f>
        <v/>
      </c>
    </row>
    <row r="694">
      <c r="A694" s="80" t="n"/>
      <c r="B694" s="81" t="n"/>
      <c r="C694" s="81" t="n"/>
      <c r="D694" s="82" t="n"/>
      <c r="E694" s="82" t="n"/>
      <c r="F694" s="82" t="n"/>
      <c r="G694" s="82" t="n"/>
      <c r="H694" s="82" t="n"/>
      <c r="I694" s="83" t="n"/>
      <c r="J694" s="82" t="n"/>
      <c r="K694" s="84" t="n"/>
      <c r="L694" s="85" t="n"/>
      <c r="M694" s="82" t="n"/>
      <c r="N694" s="86" t="n"/>
      <c r="O694" s="81" t="n"/>
      <c r="P694" s="82" t="n"/>
      <c r="Q694" s="83" t="n"/>
      <c r="R694" s="82" t="n"/>
      <c r="S694" s="84" t="n"/>
      <c r="T694" s="84" t="n"/>
      <c r="U694" s="82" t="n"/>
      <c r="V694" s="86" t="n"/>
      <c r="W694" s="86" t="n"/>
      <c r="X694" s="86" t="n"/>
      <c r="Y694" s="81" t="n"/>
      <c r="Z694" s="82" t="n"/>
      <c r="AA694" s="81" t="n"/>
      <c r="AB694" s="82" t="n"/>
      <c r="AC694" s="87">
        <f>IF(OR($D694="",$M694="Rejected",$M694="Withdrawn",$M694="Accepted"),"",IF(ISNUMBER($O694),IF(INT($O694)&lt;TODAY(),"FOLLOW UP REQUIRED",IF(INT($O694)=TODAY(),"ACTION DUE TODAY",IF(INT($O694)-TODAY()&lt;=Set_DueSoonDays,"DUE SOON",""))),IF(AND($M694="Applied",$AA694=""),IF(ISNUMBER($C694),IF(TODAY()-$C694&gt;=Set_FollowUpDays,"NO RESPONSE",""),""),"")))</f>
        <v/>
      </c>
      <c r="AD694" s="87">
        <f>IF(ISNUMBER($L694),IF($L694&gt;=90,"Excellent Match",IF($L694&gt;=75,"Strong Match",IF($L694&gt;=60,"Moderate Match","Low Match"))),"")</f>
        <v/>
      </c>
      <c r="AE694" s="87">
        <f>IF($D694="","",IF(OR($M694="Rejected",$M694="Withdrawn"),IF($AB694&lt;&gt;"",$AB694,IF(OR($M694="Rejected",ISNUMBER($C694)),"Applied","Wishlist")),IF($M694="",IF(ISNUMBER($C694),"Applied","Wishlist"),$M694)))</f>
        <v/>
      </c>
      <c r="AF694" s="88">
        <f>IF(AND(ISNUMBER($C694),ISNUMBER($AA694)),$AA694-$C694,"")</f>
        <v/>
      </c>
      <c r="AG694" s="87">
        <f>IF($AE694="","",IFERROR(MATCH($AE694,{"Wishlist","Applied","Screening","Interview 1","Interview 2","Final","Offer","Accepted"},0)-1,""))</f>
        <v/>
      </c>
      <c r="AH694" s="87">
        <f>IF($AC694="","",MATCH($AC694,{"FOLLOW UP REQUIRED","ACTION DUE TODAY","NO RESPONSE","DUE SOON"},0)*100000+IF(ISNUMBER($O694),$O694,IF(ISNUMBER($C694),$C694,0))+ROW()/10000)</f>
        <v/>
      </c>
      <c r="AI694" s="87">
        <f>IF(AND(ISNUMBER($AG694),$AG694&gt;=1,$AG694&lt;=6,$M694&lt;&gt;"Rejected",$M694&lt;&gt;"Withdrawn"),(10-$AG694)*100000+IF(ISNUMBER($C694),$C694,0)+ROW()/10000,"")</f>
        <v/>
      </c>
    </row>
    <row r="695">
      <c r="A695" s="80" t="n"/>
      <c r="B695" s="81" t="n"/>
      <c r="C695" s="81" t="n"/>
      <c r="D695" s="82" t="n"/>
      <c r="E695" s="82" t="n"/>
      <c r="F695" s="82" t="n"/>
      <c r="G695" s="82" t="n"/>
      <c r="H695" s="82" t="n"/>
      <c r="I695" s="83" t="n"/>
      <c r="J695" s="82" t="n"/>
      <c r="K695" s="84" t="n"/>
      <c r="L695" s="85" t="n"/>
      <c r="M695" s="82" t="n"/>
      <c r="N695" s="86" t="n"/>
      <c r="O695" s="81" t="n"/>
      <c r="P695" s="82" t="n"/>
      <c r="Q695" s="83" t="n"/>
      <c r="R695" s="82" t="n"/>
      <c r="S695" s="84" t="n"/>
      <c r="T695" s="84" t="n"/>
      <c r="U695" s="82" t="n"/>
      <c r="V695" s="86" t="n"/>
      <c r="W695" s="86" t="n"/>
      <c r="X695" s="86" t="n"/>
      <c r="Y695" s="81" t="n"/>
      <c r="Z695" s="82" t="n"/>
      <c r="AA695" s="81" t="n"/>
      <c r="AB695" s="82" t="n"/>
      <c r="AC695" s="87">
        <f>IF(OR($D695="",$M695="Rejected",$M695="Withdrawn",$M695="Accepted"),"",IF(ISNUMBER($O695),IF(INT($O695)&lt;TODAY(),"FOLLOW UP REQUIRED",IF(INT($O695)=TODAY(),"ACTION DUE TODAY",IF(INT($O695)-TODAY()&lt;=Set_DueSoonDays,"DUE SOON",""))),IF(AND($M695="Applied",$AA695=""),IF(ISNUMBER($C695),IF(TODAY()-$C695&gt;=Set_FollowUpDays,"NO RESPONSE",""),""),"")))</f>
        <v/>
      </c>
      <c r="AD695" s="87">
        <f>IF(ISNUMBER($L695),IF($L695&gt;=90,"Excellent Match",IF($L695&gt;=75,"Strong Match",IF($L695&gt;=60,"Moderate Match","Low Match"))),"")</f>
        <v/>
      </c>
      <c r="AE695" s="87">
        <f>IF($D695="","",IF(OR($M695="Rejected",$M695="Withdrawn"),IF($AB695&lt;&gt;"",$AB695,IF(OR($M695="Rejected",ISNUMBER($C695)),"Applied","Wishlist")),IF($M695="",IF(ISNUMBER($C695),"Applied","Wishlist"),$M695)))</f>
        <v/>
      </c>
      <c r="AF695" s="88">
        <f>IF(AND(ISNUMBER($C695),ISNUMBER($AA695)),$AA695-$C695,"")</f>
        <v/>
      </c>
      <c r="AG695" s="87">
        <f>IF($AE695="","",IFERROR(MATCH($AE695,{"Wishlist","Applied","Screening","Interview 1","Interview 2","Final","Offer","Accepted"},0)-1,""))</f>
        <v/>
      </c>
      <c r="AH695" s="87">
        <f>IF($AC695="","",MATCH($AC695,{"FOLLOW UP REQUIRED","ACTION DUE TODAY","NO RESPONSE","DUE SOON"},0)*100000+IF(ISNUMBER($O695),$O695,IF(ISNUMBER($C695),$C695,0))+ROW()/10000)</f>
        <v/>
      </c>
      <c r="AI695" s="87">
        <f>IF(AND(ISNUMBER($AG695),$AG695&gt;=1,$AG695&lt;=6,$M695&lt;&gt;"Rejected",$M695&lt;&gt;"Withdrawn"),(10-$AG695)*100000+IF(ISNUMBER($C695),$C695,0)+ROW()/10000,"")</f>
        <v/>
      </c>
    </row>
    <row r="696">
      <c r="A696" s="80" t="n"/>
      <c r="B696" s="81" t="n"/>
      <c r="C696" s="81" t="n"/>
      <c r="D696" s="82" t="n"/>
      <c r="E696" s="82" t="n"/>
      <c r="F696" s="82" t="n"/>
      <c r="G696" s="82" t="n"/>
      <c r="H696" s="82" t="n"/>
      <c r="I696" s="83" t="n"/>
      <c r="J696" s="82" t="n"/>
      <c r="K696" s="84" t="n"/>
      <c r="L696" s="85" t="n"/>
      <c r="M696" s="82" t="n"/>
      <c r="N696" s="86" t="n"/>
      <c r="O696" s="81" t="n"/>
      <c r="P696" s="82" t="n"/>
      <c r="Q696" s="83" t="n"/>
      <c r="R696" s="82" t="n"/>
      <c r="S696" s="84" t="n"/>
      <c r="T696" s="84" t="n"/>
      <c r="U696" s="82" t="n"/>
      <c r="V696" s="86" t="n"/>
      <c r="W696" s="86" t="n"/>
      <c r="X696" s="86" t="n"/>
      <c r="Y696" s="81" t="n"/>
      <c r="Z696" s="82" t="n"/>
      <c r="AA696" s="81" t="n"/>
      <c r="AB696" s="82" t="n"/>
      <c r="AC696" s="87">
        <f>IF(OR($D696="",$M696="Rejected",$M696="Withdrawn",$M696="Accepted"),"",IF(ISNUMBER($O696),IF(INT($O696)&lt;TODAY(),"FOLLOW UP REQUIRED",IF(INT($O696)=TODAY(),"ACTION DUE TODAY",IF(INT($O696)-TODAY()&lt;=Set_DueSoonDays,"DUE SOON",""))),IF(AND($M696="Applied",$AA696=""),IF(ISNUMBER($C696),IF(TODAY()-$C696&gt;=Set_FollowUpDays,"NO RESPONSE",""),""),"")))</f>
        <v/>
      </c>
      <c r="AD696" s="87">
        <f>IF(ISNUMBER($L696),IF($L696&gt;=90,"Excellent Match",IF($L696&gt;=75,"Strong Match",IF($L696&gt;=60,"Moderate Match","Low Match"))),"")</f>
        <v/>
      </c>
      <c r="AE696" s="87">
        <f>IF($D696="","",IF(OR($M696="Rejected",$M696="Withdrawn"),IF($AB696&lt;&gt;"",$AB696,IF(OR($M696="Rejected",ISNUMBER($C696)),"Applied","Wishlist")),IF($M696="",IF(ISNUMBER($C696),"Applied","Wishlist"),$M696)))</f>
        <v/>
      </c>
      <c r="AF696" s="88">
        <f>IF(AND(ISNUMBER($C696),ISNUMBER($AA696)),$AA696-$C696,"")</f>
        <v/>
      </c>
      <c r="AG696" s="87">
        <f>IF($AE696="","",IFERROR(MATCH($AE696,{"Wishlist","Applied","Screening","Interview 1","Interview 2","Final","Offer","Accepted"},0)-1,""))</f>
        <v/>
      </c>
      <c r="AH696" s="87">
        <f>IF($AC696="","",MATCH($AC696,{"FOLLOW UP REQUIRED","ACTION DUE TODAY","NO RESPONSE","DUE SOON"},0)*100000+IF(ISNUMBER($O696),$O696,IF(ISNUMBER($C696),$C696,0))+ROW()/10000)</f>
        <v/>
      </c>
      <c r="AI696" s="87">
        <f>IF(AND(ISNUMBER($AG696),$AG696&gt;=1,$AG696&lt;=6,$M696&lt;&gt;"Rejected",$M696&lt;&gt;"Withdrawn"),(10-$AG696)*100000+IF(ISNUMBER($C696),$C696,0)+ROW()/10000,"")</f>
        <v/>
      </c>
    </row>
    <row r="697">
      <c r="A697" s="80" t="n"/>
      <c r="B697" s="81" t="n"/>
      <c r="C697" s="81" t="n"/>
      <c r="D697" s="82" t="n"/>
      <c r="E697" s="82" t="n"/>
      <c r="F697" s="82" t="n"/>
      <c r="G697" s="82" t="n"/>
      <c r="H697" s="82" t="n"/>
      <c r="I697" s="83" t="n"/>
      <c r="J697" s="82" t="n"/>
      <c r="K697" s="84" t="n"/>
      <c r="L697" s="85" t="n"/>
      <c r="M697" s="82" t="n"/>
      <c r="N697" s="86" t="n"/>
      <c r="O697" s="81" t="n"/>
      <c r="P697" s="82" t="n"/>
      <c r="Q697" s="83" t="n"/>
      <c r="R697" s="82" t="n"/>
      <c r="S697" s="84" t="n"/>
      <c r="T697" s="84" t="n"/>
      <c r="U697" s="82" t="n"/>
      <c r="V697" s="86" t="n"/>
      <c r="W697" s="86" t="n"/>
      <c r="X697" s="86" t="n"/>
      <c r="Y697" s="81" t="n"/>
      <c r="Z697" s="82" t="n"/>
      <c r="AA697" s="81" t="n"/>
      <c r="AB697" s="82" t="n"/>
      <c r="AC697" s="87">
        <f>IF(OR($D697="",$M697="Rejected",$M697="Withdrawn",$M697="Accepted"),"",IF(ISNUMBER($O697),IF(INT($O697)&lt;TODAY(),"FOLLOW UP REQUIRED",IF(INT($O697)=TODAY(),"ACTION DUE TODAY",IF(INT($O697)-TODAY()&lt;=Set_DueSoonDays,"DUE SOON",""))),IF(AND($M697="Applied",$AA697=""),IF(ISNUMBER($C697),IF(TODAY()-$C697&gt;=Set_FollowUpDays,"NO RESPONSE",""),""),"")))</f>
        <v/>
      </c>
      <c r="AD697" s="87">
        <f>IF(ISNUMBER($L697),IF($L697&gt;=90,"Excellent Match",IF($L697&gt;=75,"Strong Match",IF($L697&gt;=60,"Moderate Match","Low Match"))),"")</f>
        <v/>
      </c>
      <c r="AE697" s="87">
        <f>IF($D697="","",IF(OR($M697="Rejected",$M697="Withdrawn"),IF($AB697&lt;&gt;"",$AB697,IF(OR($M697="Rejected",ISNUMBER($C697)),"Applied","Wishlist")),IF($M697="",IF(ISNUMBER($C697),"Applied","Wishlist"),$M697)))</f>
        <v/>
      </c>
      <c r="AF697" s="88">
        <f>IF(AND(ISNUMBER($C697),ISNUMBER($AA697)),$AA697-$C697,"")</f>
        <v/>
      </c>
      <c r="AG697" s="87">
        <f>IF($AE697="","",IFERROR(MATCH($AE697,{"Wishlist","Applied","Screening","Interview 1","Interview 2","Final","Offer","Accepted"},0)-1,""))</f>
        <v/>
      </c>
      <c r="AH697" s="87">
        <f>IF($AC697="","",MATCH($AC697,{"FOLLOW UP REQUIRED","ACTION DUE TODAY","NO RESPONSE","DUE SOON"},0)*100000+IF(ISNUMBER($O697),$O697,IF(ISNUMBER($C697),$C697,0))+ROW()/10000)</f>
        <v/>
      </c>
      <c r="AI697" s="87">
        <f>IF(AND(ISNUMBER($AG697),$AG697&gt;=1,$AG697&lt;=6,$M697&lt;&gt;"Rejected",$M697&lt;&gt;"Withdrawn"),(10-$AG697)*100000+IF(ISNUMBER($C697),$C697,0)+ROW()/10000,"")</f>
        <v/>
      </c>
    </row>
    <row r="698">
      <c r="A698" s="80" t="n"/>
      <c r="B698" s="81" t="n"/>
      <c r="C698" s="81" t="n"/>
      <c r="D698" s="82" t="n"/>
      <c r="E698" s="82" t="n"/>
      <c r="F698" s="82" t="n"/>
      <c r="G698" s="82" t="n"/>
      <c r="H698" s="82" t="n"/>
      <c r="I698" s="83" t="n"/>
      <c r="J698" s="82" t="n"/>
      <c r="K698" s="84" t="n"/>
      <c r="L698" s="85" t="n"/>
      <c r="M698" s="82" t="n"/>
      <c r="N698" s="86" t="n"/>
      <c r="O698" s="81" t="n"/>
      <c r="P698" s="82" t="n"/>
      <c r="Q698" s="83" t="n"/>
      <c r="R698" s="82" t="n"/>
      <c r="S698" s="84" t="n"/>
      <c r="T698" s="84" t="n"/>
      <c r="U698" s="82" t="n"/>
      <c r="V698" s="86" t="n"/>
      <c r="W698" s="86" t="n"/>
      <c r="X698" s="86" t="n"/>
      <c r="Y698" s="81" t="n"/>
      <c r="Z698" s="82" t="n"/>
      <c r="AA698" s="81" t="n"/>
      <c r="AB698" s="82" t="n"/>
      <c r="AC698" s="87">
        <f>IF(OR($D698="",$M698="Rejected",$M698="Withdrawn",$M698="Accepted"),"",IF(ISNUMBER($O698),IF(INT($O698)&lt;TODAY(),"FOLLOW UP REQUIRED",IF(INT($O698)=TODAY(),"ACTION DUE TODAY",IF(INT($O698)-TODAY()&lt;=Set_DueSoonDays,"DUE SOON",""))),IF(AND($M698="Applied",$AA698=""),IF(ISNUMBER($C698),IF(TODAY()-$C698&gt;=Set_FollowUpDays,"NO RESPONSE",""),""),"")))</f>
        <v/>
      </c>
      <c r="AD698" s="87">
        <f>IF(ISNUMBER($L698),IF($L698&gt;=90,"Excellent Match",IF($L698&gt;=75,"Strong Match",IF($L698&gt;=60,"Moderate Match","Low Match"))),"")</f>
        <v/>
      </c>
      <c r="AE698" s="87">
        <f>IF($D698="","",IF(OR($M698="Rejected",$M698="Withdrawn"),IF($AB698&lt;&gt;"",$AB698,IF(OR($M698="Rejected",ISNUMBER($C698)),"Applied","Wishlist")),IF($M698="",IF(ISNUMBER($C698),"Applied","Wishlist"),$M698)))</f>
        <v/>
      </c>
      <c r="AF698" s="88">
        <f>IF(AND(ISNUMBER($C698),ISNUMBER($AA698)),$AA698-$C698,"")</f>
        <v/>
      </c>
      <c r="AG698" s="87">
        <f>IF($AE698="","",IFERROR(MATCH($AE698,{"Wishlist","Applied","Screening","Interview 1","Interview 2","Final","Offer","Accepted"},0)-1,""))</f>
        <v/>
      </c>
      <c r="AH698" s="87">
        <f>IF($AC698="","",MATCH($AC698,{"FOLLOW UP REQUIRED","ACTION DUE TODAY","NO RESPONSE","DUE SOON"},0)*100000+IF(ISNUMBER($O698),$O698,IF(ISNUMBER($C698),$C698,0))+ROW()/10000)</f>
        <v/>
      </c>
      <c r="AI698" s="87">
        <f>IF(AND(ISNUMBER($AG698),$AG698&gt;=1,$AG698&lt;=6,$M698&lt;&gt;"Rejected",$M698&lt;&gt;"Withdrawn"),(10-$AG698)*100000+IF(ISNUMBER($C698),$C698,0)+ROW()/10000,"")</f>
        <v/>
      </c>
    </row>
    <row r="699">
      <c r="A699" s="80" t="n"/>
      <c r="B699" s="81" t="n"/>
      <c r="C699" s="81" t="n"/>
      <c r="D699" s="82" t="n"/>
      <c r="E699" s="82" t="n"/>
      <c r="F699" s="82" t="n"/>
      <c r="G699" s="82" t="n"/>
      <c r="H699" s="82" t="n"/>
      <c r="I699" s="83" t="n"/>
      <c r="J699" s="82" t="n"/>
      <c r="K699" s="84" t="n"/>
      <c r="L699" s="85" t="n"/>
      <c r="M699" s="82" t="n"/>
      <c r="N699" s="86" t="n"/>
      <c r="O699" s="81" t="n"/>
      <c r="P699" s="82" t="n"/>
      <c r="Q699" s="83" t="n"/>
      <c r="R699" s="82" t="n"/>
      <c r="S699" s="84" t="n"/>
      <c r="T699" s="84" t="n"/>
      <c r="U699" s="82" t="n"/>
      <c r="V699" s="86" t="n"/>
      <c r="W699" s="86" t="n"/>
      <c r="X699" s="86" t="n"/>
      <c r="Y699" s="81" t="n"/>
      <c r="Z699" s="82" t="n"/>
      <c r="AA699" s="81" t="n"/>
      <c r="AB699" s="82" t="n"/>
      <c r="AC699" s="87">
        <f>IF(OR($D699="",$M699="Rejected",$M699="Withdrawn",$M699="Accepted"),"",IF(ISNUMBER($O699),IF(INT($O699)&lt;TODAY(),"FOLLOW UP REQUIRED",IF(INT($O699)=TODAY(),"ACTION DUE TODAY",IF(INT($O699)-TODAY()&lt;=Set_DueSoonDays,"DUE SOON",""))),IF(AND($M699="Applied",$AA699=""),IF(ISNUMBER($C699),IF(TODAY()-$C699&gt;=Set_FollowUpDays,"NO RESPONSE",""),""),"")))</f>
        <v/>
      </c>
      <c r="AD699" s="87">
        <f>IF(ISNUMBER($L699),IF($L699&gt;=90,"Excellent Match",IF($L699&gt;=75,"Strong Match",IF($L699&gt;=60,"Moderate Match","Low Match"))),"")</f>
        <v/>
      </c>
      <c r="AE699" s="87">
        <f>IF($D699="","",IF(OR($M699="Rejected",$M699="Withdrawn"),IF($AB699&lt;&gt;"",$AB699,IF(OR($M699="Rejected",ISNUMBER($C699)),"Applied","Wishlist")),IF($M699="",IF(ISNUMBER($C699),"Applied","Wishlist"),$M699)))</f>
        <v/>
      </c>
      <c r="AF699" s="88">
        <f>IF(AND(ISNUMBER($C699),ISNUMBER($AA699)),$AA699-$C699,"")</f>
        <v/>
      </c>
      <c r="AG699" s="87">
        <f>IF($AE699="","",IFERROR(MATCH($AE699,{"Wishlist","Applied","Screening","Interview 1","Interview 2","Final","Offer","Accepted"},0)-1,""))</f>
        <v/>
      </c>
      <c r="AH699" s="87">
        <f>IF($AC699="","",MATCH($AC699,{"FOLLOW UP REQUIRED","ACTION DUE TODAY","NO RESPONSE","DUE SOON"},0)*100000+IF(ISNUMBER($O699),$O699,IF(ISNUMBER($C699),$C699,0))+ROW()/10000)</f>
        <v/>
      </c>
      <c r="AI699" s="87">
        <f>IF(AND(ISNUMBER($AG699),$AG699&gt;=1,$AG699&lt;=6,$M699&lt;&gt;"Rejected",$M699&lt;&gt;"Withdrawn"),(10-$AG699)*100000+IF(ISNUMBER($C699),$C699,0)+ROW()/10000,"")</f>
        <v/>
      </c>
    </row>
    <row r="700">
      <c r="A700" s="80" t="n"/>
      <c r="B700" s="81" t="n"/>
      <c r="C700" s="81" t="n"/>
      <c r="D700" s="82" t="n"/>
      <c r="E700" s="82" t="n"/>
      <c r="F700" s="82" t="n"/>
      <c r="G700" s="82" t="n"/>
      <c r="H700" s="82" t="n"/>
      <c r="I700" s="83" t="n"/>
      <c r="J700" s="82" t="n"/>
      <c r="K700" s="84" t="n"/>
      <c r="L700" s="85" t="n"/>
      <c r="M700" s="82" t="n"/>
      <c r="N700" s="86" t="n"/>
      <c r="O700" s="81" t="n"/>
      <c r="P700" s="82" t="n"/>
      <c r="Q700" s="83" t="n"/>
      <c r="R700" s="82" t="n"/>
      <c r="S700" s="84" t="n"/>
      <c r="T700" s="84" t="n"/>
      <c r="U700" s="82" t="n"/>
      <c r="V700" s="86" t="n"/>
      <c r="W700" s="86" t="n"/>
      <c r="X700" s="86" t="n"/>
      <c r="Y700" s="81" t="n"/>
      <c r="Z700" s="82" t="n"/>
      <c r="AA700" s="81" t="n"/>
      <c r="AB700" s="82" t="n"/>
      <c r="AC700" s="87">
        <f>IF(OR($D700="",$M700="Rejected",$M700="Withdrawn",$M700="Accepted"),"",IF(ISNUMBER($O700),IF(INT($O700)&lt;TODAY(),"FOLLOW UP REQUIRED",IF(INT($O700)=TODAY(),"ACTION DUE TODAY",IF(INT($O700)-TODAY()&lt;=Set_DueSoonDays,"DUE SOON",""))),IF(AND($M700="Applied",$AA700=""),IF(ISNUMBER($C700),IF(TODAY()-$C700&gt;=Set_FollowUpDays,"NO RESPONSE",""),""),"")))</f>
        <v/>
      </c>
      <c r="AD700" s="87">
        <f>IF(ISNUMBER($L700),IF($L700&gt;=90,"Excellent Match",IF($L700&gt;=75,"Strong Match",IF($L700&gt;=60,"Moderate Match","Low Match"))),"")</f>
        <v/>
      </c>
      <c r="AE700" s="87">
        <f>IF($D700="","",IF(OR($M700="Rejected",$M700="Withdrawn"),IF($AB700&lt;&gt;"",$AB700,IF(OR($M700="Rejected",ISNUMBER($C700)),"Applied","Wishlist")),IF($M700="",IF(ISNUMBER($C700),"Applied","Wishlist"),$M700)))</f>
        <v/>
      </c>
      <c r="AF700" s="88">
        <f>IF(AND(ISNUMBER($C700),ISNUMBER($AA700)),$AA700-$C700,"")</f>
        <v/>
      </c>
      <c r="AG700" s="87">
        <f>IF($AE700="","",IFERROR(MATCH($AE700,{"Wishlist","Applied","Screening","Interview 1","Interview 2","Final","Offer","Accepted"},0)-1,""))</f>
        <v/>
      </c>
      <c r="AH700" s="87">
        <f>IF($AC700="","",MATCH($AC700,{"FOLLOW UP REQUIRED","ACTION DUE TODAY","NO RESPONSE","DUE SOON"},0)*100000+IF(ISNUMBER($O700),$O700,IF(ISNUMBER($C700),$C700,0))+ROW()/10000)</f>
        <v/>
      </c>
      <c r="AI700" s="87">
        <f>IF(AND(ISNUMBER($AG700),$AG700&gt;=1,$AG700&lt;=6,$M700&lt;&gt;"Rejected",$M700&lt;&gt;"Withdrawn"),(10-$AG700)*100000+IF(ISNUMBER($C700),$C700,0)+ROW()/10000,"")</f>
        <v/>
      </c>
    </row>
    <row r="701">
      <c r="A701" s="80" t="n"/>
      <c r="B701" s="81" t="n"/>
      <c r="C701" s="81" t="n"/>
      <c r="D701" s="82" t="n"/>
      <c r="E701" s="82" t="n"/>
      <c r="F701" s="82" t="n"/>
      <c r="G701" s="82" t="n"/>
      <c r="H701" s="82" t="n"/>
      <c r="I701" s="83" t="n"/>
      <c r="J701" s="82" t="n"/>
      <c r="K701" s="84" t="n"/>
      <c r="L701" s="85" t="n"/>
      <c r="M701" s="82" t="n"/>
      <c r="N701" s="86" t="n"/>
      <c r="O701" s="81" t="n"/>
      <c r="P701" s="82" t="n"/>
      <c r="Q701" s="83" t="n"/>
      <c r="R701" s="82" t="n"/>
      <c r="S701" s="84" t="n"/>
      <c r="T701" s="84" t="n"/>
      <c r="U701" s="82" t="n"/>
      <c r="V701" s="86" t="n"/>
      <c r="W701" s="86" t="n"/>
      <c r="X701" s="86" t="n"/>
      <c r="Y701" s="81" t="n"/>
      <c r="Z701" s="82" t="n"/>
      <c r="AA701" s="81" t="n"/>
      <c r="AB701" s="82" t="n"/>
      <c r="AC701" s="87">
        <f>IF(OR($D701="",$M701="Rejected",$M701="Withdrawn",$M701="Accepted"),"",IF(ISNUMBER($O701),IF(INT($O701)&lt;TODAY(),"FOLLOW UP REQUIRED",IF(INT($O701)=TODAY(),"ACTION DUE TODAY",IF(INT($O701)-TODAY()&lt;=Set_DueSoonDays,"DUE SOON",""))),IF(AND($M701="Applied",$AA701=""),IF(ISNUMBER($C701),IF(TODAY()-$C701&gt;=Set_FollowUpDays,"NO RESPONSE",""),""),"")))</f>
        <v/>
      </c>
      <c r="AD701" s="87">
        <f>IF(ISNUMBER($L701),IF($L701&gt;=90,"Excellent Match",IF($L701&gt;=75,"Strong Match",IF($L701&gt;=60,"Moderate Match","Low Match"))),"")</f>
        <v/>
      </c>
      <c r="AE701" s="87">
        <f>IF($D701="","",IF(OR($M701="Rejected",$M701="Withdrawn"),IF($AB701&lt;&gt;"",$AB701,IF(OR($M701="Rejected",ISNUMBER($C701)),"Applied","Wishlist")),IF($M701="",IF(ISNUMBER($C701),"Applied","Wishlist"),$M701)))</f>
        <v/>
      </c>
      <c r="AF701" s="88">
        <f>IF(AND(ISNUMBER($C701),ISNUMBER($AA701)),$AA701-$C701,"")</f>
        <v/>
      </c>
      <c r="AG701" s="87">
        <f>IF($AE701="","",IFERROR(MATCH($AE701,{"Wishlist","Applied","Screening","Interview 1","Interview 2","Final","Offer","Accepted"},0)-1,""))</f>
        <v/>
      </c>
      <c r="AH701" s="87">
        <f>IF($AC701="","",MATCH($AC701,{"FOLLOW UP REQUIRED","ACTION DUE TODAY","NO RESPONSE","DUE SOON"},0)*100000+IF(ISNUMBER($O701),$O701,IF(ISNUMBER($C701),$C701,0))+ROW()/10000)</f>
        <v/>
      </c>
      <c r="AI701" s="87">
        <f>IF(AND(ISNUMBER($AG701),$AG701&gt;=1,$AG701&lt;=6,$M701&lt;&gt;"Rejected",$M701&lt;&gt;"Withdrawn"),(10-$AG701)*100000+IF(ISNUMBER($C701),$C701,0)+ROW()/10000,"")</f>
        <v/>
      </c>
    </row>
    <row r="702">
      <c r="A702" s="80" t="n"/>
      <c r="B702" s="81" t="n"/>
      <c r="C702" s="81" t="n"/>
      <c r="D702" s="82" t="n"/>
      <c r="E702" s="82" t="n"/>
      <c r="F702" s="82" t="n"/>
      <c r="G702" s="82" t="n"/>
      <c r="H702" s="82" t="n"/>
      <c r="I702" s="83" t="n"/>
      <c r="J702" s="82" t="n"/>
      <c r="K702" s="84" t="n"/>
      <c r="L702" s="85" t="n"/>
      <c r="M702" s="82" t="n"/>
      <c r="N702" s="86" t="n"/>
      <c r="O702" s="81" t="n"/>
      <c r="P702" s="82" t="n"/>
      <c r="Q702" s="83" t="n"/>
      <c r="R702" s="82" t="n"/>
      <c r="S702" s="84" t="n"/>
      <c r="T702" s="84" t="n"/>
      <c r="U702" s="82" t="n"/>
      <c r="V702" s="86" t="n"/>
      <c r="W702" s="86" t="n"/>
      <c r="X702" s="86" t="n"/>
      <c r="Y702" s="81" t="n"/>
      <c r="Z702" s="82" t="n"/>
      <c r="AA702" s="81" t="n"/>
      <c r="AB702" s="82" t="n"/>
      <c r="AC702" s="87">
        <f>IF(OR($D702="",$M702="Rejected",$M702="Withdrawn",$M702="Accepted"),"",IF(ISNUMBER($O702),IF(INT($O702)&lt;TODAY(),"FOLLOW UP REQUIRED",IF(INT($O702)=TODAY(),"ACTION DUE TODAY",IF(INT($O702)-TODAY()&lt;=Set_DueSoonDays,"DUE SOON",""))),IF(AND($M702="Applied",$AA702=""),IF(ISNUMBER($C702),IF(TODAY()-$C702&gt;=Set_FollowUpDays,"NO RESPONSE",""),""),"")))</f>
        <v/>
      </c>
      <c r="AD702" s="87">
        <f>IF(ISNUMBER($L702),IF($L702&gt;=90,"Excellent Match",IF($L702&gt;=75,"Strong Match",IF($L702&gt;=60,"Moderate Match","Low Match"))),"")</f>
        <v/>
      </c>
      <c r="AE702" s="87">
        <f>IF($D702="","",IF(OR($M702="Rejected",$M702="Withdrawn"),IF($AB702&lt;&gt;"",$AB702,IF(OR($M702="Rejected",ISNUMBER($C702)),"Applied","Wishlist")),IF($M702="",IF(ISNUMBER($C702),"Applied","Wishlist"),$M702)))</f>
        <v/>
      </c>
      <c r="AF702" s="88">
        <f>IF(AND(ISNUMBER($C702),ISNUMBER($AA702)),$AA702-$C702,"")</f>
        <v/>
      </c>
      <c r="AG702" s="87">
        <f>IF($AE702="","",IFERROR(MATCH($AE702,{"Wishlist","Applied","Screening","Interview 1","Interview 2","Final","Offer","Accepted"},0)-1,""))</f>
        <v/>
      </c>
      <c r="AH702" s="87">
        <f>IF($AC702="","",MATCH($AC702,{"FOLLOW UP REQUIRED","ACTION DUE TODAY","NO RESPONSE","DUE SOON"},0)*100000+IF(ISNUMBER($O702),$O702,IF(ISNUMBER($C702),$C702,0))+ROW()/10000)</f>
        <v/>
      </c>
      <c r="AI702" s="87">
        <f>IF(AND(ISNUMBER($AG702),$AG702&gt;=1,$AG702&lt;=6,$M702&lt;&gt;"Rejected",$M702&lt;&gt;"Withdrawn"),(10-$AG702)*100000+IF(ISNUMBER($C702),$C702,0)+ROW()/10000,"")</f>
        <v/>
      </c>
    </row>
    <row r="703">
      <c r="A703" s="80" t="n"/>
      <c r="B703" s="81" t="n"/>
      <c r="C703" s="81" t="n"/>
      <c r="D703" s="82" t="n"/>
      <c r="E703" s="82" t="n"/>
      <c r="F703" s="82" t="n"/>
      <c r="G703" s="82" t="n"/>
      <c r="H703" s="82" t="n"/>
      <c r="I703" s="83" t="n"/>
      <c r="J703" s="82" t="n"/>
      <c r="K703" s="84" t="n"/>
      <c r="L703" s="85" t="n"/>
      <c r="M703" s="82" t="n"/>
      <c r="N703" s="86" t="n"/>
      <c r="O703" s="81" t="n"/>
      <c r="P703" s="82" t="n"/>
      <c r="Q703" s="83" t="n"/>
      <c r="R703" s="82" t="n"/>
      <c r="S703" s="84" t="n"/>
      <c r="T703" s="84" t="n"/>
      <c r="U703" s="82" t="n"/>
      <c r="V703" s="86" t="n"/>
      <c r="W703" s="86" t="n"/>
      <c r="X703" s="86" t="n"/>
      <c r="Y703" s="81" t="n"/>
      <c r="Z703" s="82" t="n"/>
      <c r="AA703" s="81" t="n"/>
      <c r="AB703" s="82" t="n"/>
      <c r="AC703" s="87">
        <f>IF(OR($D703="",$M703="Rejected",$M703="Withdrawn",$M703="Accepted"),"",IF(ISNUMBER($O703),IF(INT($O703)&lt;TODAY(),"FOLLOW UP REQUIRED",IF(INT($O703)=TODAY(),"ACTION DUE TODAY",IF(INT($O703)-TODAY()&lt;=Set_DueSoonDays,"DUE SOON",""))),IF(AND($M703="Applied",$AA703=""),IF(ISNUMBER($C703),IF(TODAY()-$C703&gt;=Set_FollowUpDays,"NO RESPONSE",""),""),"")))</f>
        <v/>
      </c>
      <c r="AD703" s="87">
        <f>IF(ISNUMBER($L703),IF($L703&gt;=90,"Excellent Match",IF($L703&gt;=75,"Strong Match",IF($L703&gt;=60,"Moderate Match","Low Match"))),"")</f>
        <v/>
      </c>
      <c r="AE703" s="87">
        <f>IF($D703="","",IF(OR($M703="Rejected",$M703="Withdrawn"),IF($AB703&lt;&gt;"",$AB703,IF(OR($M703="Rejected",ISNUMBER($C703)),"Applied","Wishlist")),IF($M703="",IF(ISNUMBER($C703),"Applied","Wishlist"),$M703)))</f>
        <v/>
      </c>
      <c r="AF703" s="88">
        <f>IF(AND(ISNUMBER($C703),ISNUMBER($AA703)),$AA703-$C703,"")</f>
        <v/>
      </c>
      <c r="AG703" s="87">
        <f>IF($AE703="","",IFERROR(MATCH($AE703,{"Wishlist","Applied","Screening","Interview 1","Interview 2","Final","Offer","Accepted"},0)-1,""))</f>
        <v/>
      </c>
      <c r="AH703" s="87">
        <f>IF($AC703="","",MATCH($AC703,{"FOLLOW UP REQUIRED","ACTION DUE TODAY","NO RESPONSE","DUE SOON"},0)*100000+IF(ISNUMBER($O703),$O703,IF(ISNUMBER($C703),$C703,0))+ROW()/10000)</f>
        <v/>
      </c>
      <c r="AI703" s="87">
        <f>IF(AND(ISNUMBER($AG703),$AG703&gt;=1,$AG703&lt;=6,$M703&lt;&gt;"Rejected",$M703&lt;&gt;"Withdrawn"),(10-$AG703)*100000+IF(ISNUMBER($C703),$C703,0)+ROW()/10000,"")</f>
        <v/>
      </c>
    </row>
    <row r="704">
      <c r="A704" s="80" t="n"/>
      <c r="B704" s="81" t="n"/>
      <c r="C704" s="81" t="n"/>
      <c r="D704" s="82" t="n"/>
      <c r="E704" s="82" t="n"/>
      <c r="F704" s="82" t="n"/>
      <c r="G704" s="82" t="n"/>
      <c r="H704" s="82" t="n"/>
      <c r="I704" s="83" t="n"/>
      <c r="J704" s="82" t="n"/>
      <c r="K704" s="84" t="n"/>
      <c r="L704" s="85" t="n"/>
      <c r="M704" s="82" t="n"/>
      <c r="N704" s="86" t="n"/>
      <c r="O704" s="81" t="n"/>
      <c r="P704" s="82" t="n"/>
      <c r="Q704" s="83" t="n"/>
      <c r="R704" s="82" t="n"/>
      <c r="S704" s="84" t="n"/>
      <c r="T704" s="84" t="n"/>
      <c r="U704" s="82" t="n"/>
      <c r="V704" s="86" t="n"/>
      <c r="W704" s="86" t="n"/>
      <c r="X704" s="86" t="n"/>
      <c r="Y704" s="81" t="n"/>
      <c r="Z704" s="82" t="n"/>
      <c r="AA704" s="81" t="n"/>
      <c r="AB704" s="82" t="n"/>
      <c r="AC704" s="87">
        <f>IF(OR($D704="",$M704="Rejected",$M704="Withdrawn",$M704="Accepted"),"",IF(ISNUMBER($O704),IF(INT($O704)&lt;TODAY(),"FOLLOW UP REQUIRED",IF(INT($O704)=TODAY(),"ACTION DUE TODAY",IF(INT($O704)-TODAY()&lt;=Set_DueSoonDays,"DUE SOON",""))),IF(AND($M704="Applied",$AA704=""),IF(ISNUMBER($C704),IF(TODAY()-$C704&gt;=Set_FollowUpDays,"NO RESPONSE",""),""),"")))</f>
        <v/>
      </c>
      <c r="AD704" s="87">
        <f>IF(ISNUMBER($L704),IF($L704&gt;=90,"Excellent Match",IF($L704&gt;=75,"Strong Match",IF($L704&gt;=60,"Moderate Match","Low Match"))),"")</f>
        <v/>
      </c>
      <c r="AE704" s="87">
        <f>IF($D704="","",IF(OR($M704="Rejected",$M704="Withdrawn"),IF($AB704&lt;&gt;"",$AB704,IF(OR($M704="Rejected",ISNUMBER($C704)),"Applied","Wishlist")),IF($M704="",IF(ISNUMBER($C704),"Applied","Wishlist"),$M704)))</f>
        <v/>
      </c>
      <c r="AF704" s="88">
        <f>IF(AND(ISNUMBER($C704),ISNUMBER($AA704)),$AA704-$C704,"")</f>
        <v/>
      </c>
      <c r="AG704" s="87">
        <f>IF($AE704="","",IFERROR(MATCH($AE704,{"Wishlist","Applied","Screening","Interview 1","Interview 2","Final","Offer","Accepted"},0)-1,""))</f>
        <v/>
      </c>
      <c r="AH704" s="87">
        <f>IF($AC704="","",MATCH($AC704,{"FOLLOW UP REQUIRED","ACTION DUE TODAY","NO RESPONSE","DUE SOON"},0)*100000+IF(ISNUMBER($O704),$O704,IF(ISNUMBER($C704),$C704,0))+ROW()/10000)</f>
        <v/>
      </c>
      <c r="AI704" s="87">
        <f>IF(AND(ISNUMBER($AG704),$AG704&gt;=1,$AG704&lt;=6,$M704&lt;&gt;"Rejected",$M704&lt;&gt;"Withdrawn"),(10-$AG704)*100000+IF(ISNUMBER($C704),$C704,0)+ROW()/10000,"")</f>
        <v/>
      </c>
    </row>
    <row r="705">
      <c r="A705" s="80" t="n"/>
      <c r="B705" s="81" t="n"/>
      <c r="C705" s="81" t="n"/>
      <c r="D705" s="82" t="n"/>
      <c r="E705" s="82" t="n"/>
      <c r="F705" s="82" t="n"/>
      <c r="G705" s="82" t="n"/>
      <c r="H705" s="82" t="n"/>
      <c r="I705" s="83" t="n"/>
      <c r="J705" s="82" t="n"/>
      <c r="K705" s="84" t="n"/>
      <c r="L705" s="85" t="n"/>
      <c r="M705" s="82" t="n"/>
      <c r="N705" s="86" t="n"/>
      <c r="O705" s="81" t="n"/>
      <c r="P705" s="82" t="n"/>
      <c r="Q705" s="83" t="n"/>
      <c r="R705" s="82" t="n"/>
      <c r="S705" s="84" t="n"/>
      <c r="T705" s="84" t="n"/>
      <c r="U705" s="82" t="n"/>
      <c r="V705" s="86" t="n"/>
      <c r="W705" s="86" t="n"/>
      <c r="X705" s="86" t="n"/>
      <c r="Y705" s="81" t="n"/>
      <c r="Z705" s="82" t="n"/>
      <c r="AA705" s="81" t="n"/>
      <c r="AB705" s="82" t="n"/>
      <c r="AC705" s="87">
        <f>IF(OR($D705="",$M705="Rejected",$M705="Withdrawn",$M705="Accepted"),"",IF(ISNUMBER($O705),IF(INT($O705)&lt;TODAY(),"FOLLOW UP REQUIRED",IF(INT($O705)=TODAY(),"ACTION DUE TODAY",IF(INT($O705)-TODAY()&lt;=Set_DueSoonDays,"DUE SOON",""))),IF(AND($M705="Applied",$AA705=""),IF(ISNUMBER($C705),IF(TODAY()-$C705&gt;=Set_FollowUpDays,"NO RESPONSE",""),""),"")))</f>
        <v/>
      </c>
      <c r="AD705" s="87">
        <f>IF(ISNUMBER($L705),IF($L705&gt;=90,"Excellent Match",IF($L705&gt;=75,"Strong Match",IF($L705&gt;=60,"Moderate Match","Low Match"))),"")</f>
        <v/>
      </c>
      <c r="AE705" s="87">
        <f>IF($D705="","",IF(OR($M705="Rejected",$M705="Withdrawn"),IF($AB705&lt;&gt;"",$AB705,IF(OR($M705="Rejected",ISNUMBER($C705)),"Applied","Wishlist")),IF($M705="",IF(ISNUMBER($C705),"Applied","Wishlist"),$M705)))</f>
        <v/>
      </c>
      <c r="AF705" s="88">
        <f>IF(AND(ISNUMBER($C705),ISNUMBER($AA705)),$AA705-$C705,"")</f>
        <v/>
      </c>
      <c r="AG705" s="87">
        <f>IF($AE705="","",IFERROR(MATCH($AE705,{"Wishlist","Applied","Screening","Interview 1","Interview 2","Final","Offer","Accepted"},0)-1,""))</f>
        <v/>
      </c>
      <c r="AH705" s="87">
        <f>IF($AC705="","",MATCH($AC705,{"FOLLOW UP REQUIRED","ACTION DUE TODAY","NO RESPONSE","DUE SOON"},0)*100000+IF(ISNUMBER($O705),$O705,IF(ISNUMBER($C705),$C705,0))+ROW()/10000)</f>
        <v/>
      </c>
      <c r="AI705" s="87">
        <f>IF(AND(ISNUMBER($AG705),$AG705&gt;=1,$AG705&lt;=6,$M705&lt;&gt;"Rejected",$M705&lt;&gt;"Withdrawn"),(10-$AG705)*100000+IF(ISNUMBER($C705),$C705,0)+ROW()/10000,"")</f>
        <v/>
      </c>
    </row>
    <row r="706">
      <c r="A706" s="80" t="n"/>
      <c r="B706" s="81" t="n"/>
      <c r="C706" s="81" t="n"/>
      <c r="D706" s="82" t="n"/>
      <c r="E706" s="82" t="n"/>
      <c r="F706" s="82" t="n"/>
      <c r="G706" s="82" t="n"/>
      <c r="H706" s="82" t="n"/>
      <c r="I706" s="83" t="n"/>
      <c r="J706" s="82" t="n"/>
      <c r="K706" s="84" t="n"/>
      <c r="L706" s="85" t="n"/>
      <c r="M706" s="82" t="n"/>
      <c r="N706" s="86" t="n"/>
      <c r="O706" s="81" t="n"/>
      <c r="P706" s="82" t="n"/>
      <c r="Q706" s="83" t="n"/>
      <c r="R706" s="82" t="n"/>
      <c r="S706" s="84" t="n"/>
      <c r="T706" s="84" t="n"/>
      <c r="U706" s="82" t="n"/>
      <c r="V706" s="86" t="n"/>
      <c r="W706" s="86" t="n"/>
      <c r="X706" s="86" t="n"/>
      <c r="Y706" s="81" t="n"/>
      <c r="Z706" s="82" t="n"/>
      <c r="AA706" s="81" t="n"/>
      <c r="AB706" s="82" t="n"/>
      <c r="AC706" s="87">
        <f>IF(OR($D706="",$M706="Rejected",$M706="Withdrawn",$M706="Accepted"),"",IF(ISNUMBER($O706),IF(INT($O706)&lt;TODAY(),"FOLLOW UP REQUIRED",IF(INT($O706)=TODAY(),"ACTION DUE TODAY",IF(INT($O706)-TODAY()&lt;=Set_DueSoonDays,"DUE SOON",""))),IF(AND($M706="Applied",$AA706=""),IF(ISNUMBER($C706),IF(TODAY()-$C706&gt;=Set_FollowUpDays,"NO RESPONSE",""),""),"")))</f>
        <v/>
      </c>
      <c r="AD706" s="87">
        <f>IF(ISNUMBER($L706),IF($L706&gt;=90,"Excellent Match",IF($L706&gt;=75,"Strong Match",IF($L706&gt;=60,"Moderate Match","Low Match"))),"")</f>
        <v/>
      </c>
      <c r="AE706" s="87">
        <f>IF($D706="","",IF(OR($M706="Rejected",$M706="Withdrawn"),IF($AB706&lt;&gt;"",$AB706,IF(OR($M706="Rejected",ISNUMBER($C706)),"Applied","Wishlist")),IF($M706="",IF(ISNUMBER($C706),"Applied","Wishlist"),$M706)))</f>
        <v/>
      </c>
      <c r="AF706" s="88">
        <f>IF(AND(ISNUMBER($C706),ISNUMBER($AA706)),$AA706-$C706,"")</f>
        <v/>
      </c>
      <c r="AG706" s="87">
        <f>IF($AE706="","",IFERROR(MATCH($AE706,{"Wishlist","Applied","Screening","Interview 1","Interview 2","Final","Offer","Accepted"},0)-1,""))</f>
        <v/>
      </c>
      <c r="AH706" s="87">
        <f>IF($AC706="","",MATCH($AC706,{"FOLLOW UP REQUIRED","ACTION DUE TODAY","NO RESPONSE","DUE SOON"},0)*100000+IF(ISNUMBER($O706),$O706,IF(ISNUMBER($C706),$C706,0))+ROW()/10000)</f>
        <v/>
      </c>
      <c r="AI706" s="87">
        <f>IF(AND(ISNUMBER($AG706),$AG706&gt;=1,$AG706&lt;=6,$M706&lt;&gt;"Rejected",$M706&lt;&gt;"Withdrawn"),(10-$AG706)*100000+IF(ISNUMBER($C706),$C706,0)+ROW()/10000,"")</f>
        <v/>
      </c>
    </row>
    <row r="707">
      <c r="A707" s="80" t="n"/>
      <c r="B707" s="81" t="n"/>
      <c r="C707" s="81" t="n"/>
      <c r="D707" s="82" t="n"/>
      <c r="E707" s="82" t="n"/>
      <c r="F707" s="82" t="n"/>
      <c r="G707" s="82" t="n"/>
      <c r="H707" s="82" t="n"/>
      <c r="I707" s="83" t="n"/>
      <c r="J707" s="82" t="n"/>
      <c r="K707" s="84" t="n"/>
      <c r="L707" s="85" t="n"/>
      <c r="M707" s="82" t="n"/>
      <c r="N707" s="86" t="n"/>
      <c r="O707" s="81" t="n"/>
      <c r="P707" s="82" t="n"/>
      <c r="Q707" s="83" t="n"/>
      <c r="R707" s="82" t="n"/>
      <c r="S707" s="84" t="n"/>
      <c r="T707" s="84" t="n"/>
      <c r="U707" s="82" t="n"/>
      <c r="V707" s="86" t="n"/>
      <c r="W707" s="86" t="n"/>
      <c r="X707" s="86" t="n"/>
      <c r="Y707" s="81" t="n"/>
      <c r="Z707" s="82" t="n"/>
      <c r="AA707" s="81" t="n"/>
      <c r="AB707" s="82" t="n"/>
      <c r="AC707" s="87">
        <f>IF(OR($D707="",$M707="Rejected",$M707="Withdrawn",$M707="Accepted"),"",IF(ISNUMBER($O707),IF(INT($O707)&lt;TODAY(),"FOLLOW UP REQUIRED",IF(INT($O707)=TODAY(),"ACTION DUE TODAY",IF(INT($O707)-TODAY()&lt;=Set_DueSoonDays,"DUE SOON",""))),IF(AND($M707="Applied",$AA707=""),IF(ISNUMBER($C707),IF(TODAY()-$C707&gt;=Set_FollowUpDays,"NO RESPONSE",""),""),"")))</f>
        <v/>
      </c>
      <c r="AD707" s="87">
        <f>IF(ISNUMBER($L707),IF($L707&gt;=90,"Excellent Match",IF($L707&gt;=75,"Strong Match",IF($L707&gt;=60,"Moderate Match","Low Match"))),"")</f>
        <v/>
      </c>
      <c r="AE707" s="87">
        <f>IF($D707="","",IF(OR($M707="Rejected",$M707="Withdrawn"),IF($AB707&lt;&gt;"",$AB707,IF(OR($M707="Rejected",ISNUMBER($C707)),"Applied","Wishlist")),IF($M707="",IF(ISNUMBER($C707),"Applied","Wishlist"),$M707)))</f>
        <v/>
      </c>
      <c r="AF707" s="88">
        <f>IF(AND(ISNUMBER($C707),ISNUMBER($AA707)),$AA707-$C707,"")</f>
        <v/>
      </c>
      <c r="AG707" s="87">
        <f>IF($AE707="","",IFERROR(MATCH($AE707,{"Wishlist","Applied","Screening","Interview 1","Interview 2","Final","Offer","Accepted"},0)-1,""))</f>
        <v/>
      </c>
      <c r="AH707" s="87">
        <f>IF($AC707="","",MATCH($AC707,{"FOLLOW UP REQUIRED","ACTION DUE TODAY","NO RESPONSE","DUE SOON"},0)*100000+IF(ISNUMBER($O707),$O707,IF(ISNUMBER($C707),$C707,0))+ROW()/10000)</f>
        <v/>
      </c>
      <c r="AI707" s="87">
        <f>IF(AND(ISNUMBER($AG707),$AG707&gt;=1,$AG707&lt;=6,$M707&lt;&gt;"Rejected",$M707&lt;&gt;"Withdrawn"),(10-$AG707)*100000+IF(ISNUMBER($C707),$C707,0)+ROW()/10000,"")</f>
        <v/>
      </c>
    </row>
    <row r="708">
      <c r="A708" s="80" t="n"/>
      <c r="B708" s="81" t="n"/>
      <c r="C708" s="81" t="n"/>
      <c r="D708" s="82" t="n"/>
      <c r="E708" s="82" t="n"/>
      <c r="F708" s="82" t="n"/>
      <c r="G708" s="82" t="n"/>
      <c r="H708" s="82" t="n"/>
      <c r="I708" s="83" t="n"/>
      <c r="J708" s="82" t="n"/>
      <c r="K708" s="84" t="n"/>
      <c r="L708" s="85" t="n"/>
      <c r="M708" s="82" t="n"/>
      <c r="N708" s="86" t="n"/>
      <c r="O708" s="81" t="n"/>
      <c r="P708" s="82" t="n"/>
      <c r="Q708" s="83" t="n"/>
      <c r="R708" s="82" t="n"/>
      <c r="S708" s="84" t="n"/>
      <c r="T708" s="84" t="n"/>
      <c r="U708" s="82" t="n"/>
      <c r="V708" s="86" t="n"/>
      <c r="W708" s="86" t="n"/>
      <c r="X708" s="86" t="n"/>
      <c r="Y708" s="81" t="n"/>
      <c r="Z708" s="82" t="n"/>
      <c r="AA708" s="81" t="n"/>
      <c r="AB708" s="82" t="n"/>
      <c r="AC708" s="87">
        <f>IF(OR($D708="",$M708="Rejected",$M708="Withdrawn",$M708="Accepted"),"",IF(ISNUMBER($O708),IF(INT($O708)&lt;TODAY(),"FOLLOW UP REQUIRED",IF(INT($O708)=TODAY(),"ACTION DUE TODAY",IF(INT($O708)-TODAY()&lt;=Set_DueSoonDays,"DUE SOON",""))),IF(AND($M708="Applied",$AA708=""),IF(ISNUMBER($C708),IF(TODAY()-$C708&gt;=Set_FollowUpDays,"NO RESPONSE",""),""),"")))</f>
        <v/>
      </c>
      <c r="AD708" s="87">
        <f>IF(ISNUMBER($L708),IF($L708&gt;=90,"Excellent Match",IF($L708&gt;=75,"Strong Match",IF($L708&gt;=60,"Moderate Match","Low Match"))),"")</f>
        <v/>
      </c>
      <c r="AE708" s="87">
        <f>IF($D708="","",IF(OR($M708="Rejected",$M708="Withdrawn"),IF($AB708&lt;&gt;"",$AB708,IF(OR($M708="Rejected",ISNUMBER($C708)),"Applied","Wishlist")),IF($M708="",IF(ISNUMBER($C708),"Applied","Wishlist"),$M708)))</f>
        <v/>
      </c>
      <c r="AF708" s="88">
        <f>IF(AND(ISNUMBER($C708),ISNUMBER($AA708)),$AA708-$C708,"")</f>
        <v/>
      </c>
      <c r="AG708" s="87">
        <f>IF($AE708="","",IFERROR(MATCH($AE708,{"Wishlist","Applied","Screening","Interview 1","Interview 2","Final","Offer","Accepted"},0)-1,""))</f>
        <v/>
      </c>
      <c r="AH708" s="87">
        <f>IF($AC708="","",MATCH($AC708,{"FOLLOW UP REQUIRED","ACTION DUE TODAY","NO RESPONSE","DUE SOON"},0)*100000+IF(ISNUMBER($O708),$O708,IF(ISNUMBER($C708),$C708,0))+ROW()/10000)</f>
        <v/>
      </c>
      <c r="AI708" s="87">
        <f>IF(AND(ISNUMBER($AG708),$AG708&gt;=1,$AG708&lt;=6,$M708&lt;&gt;"Rejected",$M708&lt;&gt;"Withdrawn"),(10-$AG708)*100000+IF(ISNUMBER($C708),$C708,0)+ROW()/10000,"")</f>
        <v/>
      </c>
    </row>
    <row r="709">
      <c r="A709" s="80" t="n"/>
      <c r="B709" s="81" t="n"/>
      <c r="C709" s="81" t="n"/>
      <c r="D709" s="82" t="n"/>
      <c r="E709" s="82" t="n"/>
      <c r="F709" s="82" t="n"/>
      <c r="G709" s="82" t="n"/>
      <c r="H709" s="82" t="n"/>
      <c r="I709" s="83" t="n"/>
      <c r="J709" s="82" t="n"/>
      <c r="K709" s="84" t="n"/>
      <c r="L709" s="85" t="n"/>
      <c r="M709" s="82" t="n"/>
      <c r="N709" s="86" t="n"/>
      <c r="O709" s="81" t="n"/>
      <c r="P709" s="82" t="n"/>
      <c r="Q709" s="83" t="n"/>
      <c r="R709" s="82" t="n"/>
      <c r="S709" s="84" t="n"/>
      <c r="T709" s="84" t="n"/>
      <c r="U709" s="82" t="n"/>
      <c r="V709" s="86" t="n"/>
      <c r="W709" s="86" t="n"/>
      <c r="X709" s="86" t="n"/>
      <c r="Y709" s="81" t="n"/>
      <c r="Z709" s="82" t="n"/>
      <c r="AA709" s="81" t="n"/>
      <c r="AB709" s="82" t="n"/>
      <c r="AC709" s="87">
        <f>IF(OR($D709="",$M709="Rejected",$M709="Withdrawn",$M709="Accepted"),"",IF(ISNUMBER($O709),IF(INT($O709)&lt;TODAY(),"FOLLOW UP REQUIRED",IF(INT($O709)=TODAY(),"ACTION DUE TODAY",IF(INT($O709)-TODAY()&lt;=Set_DueSoonDays,"DUE SOON",""))),IF(AND($M709="Applied",$AA709=""),IF(ISNUMBER($C709),IF(TODAY()-$C709&gt;=Set_FollowUpDays,"NO RESPONSE",""),""),"")))</f>
        <v/>
      </c>
      <c r="AD709" s="87">
        <f>IF(ISNUMBER($L709),IF($L709&gt;=90,"Excellent Match",IF($L709&gt;=75,"Strong Match",IF($L709&gt;=60,"Moderate Match","Low Match"))),"")</f>
        <v/>
      </c>
      <c r="AE709" s="87">
        <f>IF($D709="","",IF(OR($M709="Rejected",$M709="Withdrawn"),IF($AB709&lt;&gt;"",$AB709,IF(OR($M709="Rejected",ISNUMBER($C709)),"Applied","Wishlist")),IF($M709="",IF(ISNUMBER($C709),"Applied","Wishlist"),$M709)))</f>
        <v/>
      </c>
      <c r="AF709" s="88">
        <f>IF(AND(ISNUMBER($C709),ISNUMBER($AA709)),$AA709-$C709,"")</f>
        <v/>
      </c>
      <c r="AG709" s="87">
        <f>IF($AE709="","",IFERROR(MATCH($AE709,{"Wishlist","Applied","Screening","Interview 1","Interview 2","Final","Offer","Accepted"},0)-1,""))</f>
        <v/>
      </c>
      <c r="AH709" s="87">
        <f>IF($AC709="","",MATCH($AC709,{"FOLLOW UP REQUIRED","ACTION DUE TODAY","NO RESPONSE","DUE SOON"},0)*100000+IF(ISNUMBER($O709),$O709,IF(ISNUMBER($C709),$C709,0))+ROW()/10000)</f>
        <v/>
      </c>
      <c r="AI709" s="87">
        <f>IF(AND(ISNUMBER($AG709),$AG709&gt;=1,$AG709&lt;=6,$M709&lt;&gt;"Rejected",$M709&lt;&gt;"Withdrawn"),(10-$AG709)*100000+IF(ISNUMBER($C709),$C709,0)+ROW()/10000,"")</f>
        <v/>
      </c>
    </row>
    <row r="710">
      <c r="A710" s="80" t="n"/>
      <c r="B710" s="81" t="n"/>
      <c r="C710" s="81" t="n"/>
      <c r="D710" s="82" t="n"/>
      <c r="E710" s="82" t="n"/>
      <c r="F710" s="82" t="n"/>
      <c r="G710" s="82" t="n"/>
      <c r="H710" s="82" t="n"/>
      <c r="I710" s="83" t="n"/>
      <c r="J710" s="82" t="n"/>
      <c r="K710" s="84" t="n"/>
      <c r="L710" s="85" t="n"/>
      <c r="M710" s="82" t="n"/>
      <c r="N710" s="86" t="n"/>
      <c r="O710" s="81" t="n"/>
      <c r="P710" s="82" t="n"/>
      <c r="Q710" s="83" t="n"/>
      <c r="R710" s="82" t="n"/>
      <c r="S710" s="84" t="n"/>
      <c r="T710" s="84" t="n"/>
      <c r="U710" s="82" t="n"/>
      <c r="V710" s="86" t="n"/>
      <c r="W710" s="86" t="n"/>
      <c r="X710" s="86" t="n"/>
      <c r="Y710" s="81" t="n"/>
      <c r="Z710" s="82" t="n"/>
      <c r="AA710" s="81" t="n"/>
      <c r="AB710" s="82" t="n"/>
      <c r="AC710" s="87">
        <f>IF(OR($D710="",$M710="Rejected",$M710="Withdrawn",$M710="Accepted"),"",IF(ISNUMBER($O710),IF(INT($O710)&lt;TODAY(),"FOLLOW UP REQUIRED",IF(INT($O710)=TODAY(),"ACTION DUE TODAY",IF(INT($O710)-TODAY()&lt;=Set_DueSoonDays,"DUE SOON",""))),IF(AND($M710="Applied",$AA710=""),IF(ISNUMBER($C710),IF(TODAY()-$C710&gt;=Set_FollowUpDays,"NO RESPONSE",""),""),"")))</f>
        <v/>
      </c>
      <c r="AD710" s="87">
        <f>IF(ISNUMBER($L710),IF($L710&gt;=90,"Excellent Match",IF($L710&gt;=75,"Strong Match",IF($L710&gt;=60,"Moderate Match","Low Match"))),"")</f>
        <v/>
      </c>
      <c r="AE710" s="87">
        <f>IF($D710="","",IF(OR($M710="Rejected",$M710="Withdrawn"),IF($AB710&lt;&gt;"",$AB710,IF(OR($M710="Rejected",ISNUMBER($C710)),"Applied","Wishlist")),IF($M710="",IF(ISNUMBER($C710),"Applied","Wishlist"),$M710)))</f>
        <v/>
      </c>
      <c r="AF710" s="88">
        <f>IF(AND(ISNUMBER($C710),ISNUMBER($AA710)),$AA710-$C710,"")</f>
        <v/>
      </c>
      <c r="AG710" s="87">
        <f>IF($AE710="","",IFERROR(MATCH($AE710,{"Wishlist","Applied","Screening","Interview 1","Interview 2","Final","Offer","Accepted"},0)-1,""))</f>
        <v/>
      </c>
      <c r="AH710" s="87">
        <f>IF($AC710="","",MATCH($AC710,{"FOLLOW UP REQUIRED","ACTION DUE TODAY","NO RESPONSE","DUE SOON"},0)*100000+IF(ISNUMBER($O710),$O710,IF(ISNUMBER($C710),$C710,0))+ROW()/10000)</f>
        <v/>
      </c>
      <c r="AI710" s="87">
        <f>IF(AND(ISNUMBER($AG710),$AG710&gt;=1,$AG710&lt;=6,$M710&lt;&gt;"Rejected",$M710&lt;&gt;"Withdrawn"),(10-$AG710)*100000+IF(ISNUMBER($C710),$C710,0)+ROW()/10000,"")</f>
        <v/>
      </c>
    </row>
    <row r="711">
      <c r="A711" s="80" t="n"/>
      <c r="B711" s="81" t="n"/>
      <c r="C711" s="81" t="n"/>
      <c r="D711" s="82" t="n"/>
      <c r="E711" s="82" t="n"/>
      <c r="F711" s="82" t="n"/>
      <c r="G711" s="82" t="n"/>
      <c r="H711" s="82" t="n"/>
      <c r="I711" s="83" t="n"/>
      <c r="J711" s="82" t="n"/>
      <c r="K711" s="84" t="n"/>
      <c r="L711" s="85" t="n"/>
      <c r="M711" s="82" t="n"/>
      <c r="N711" s="86" t="n"/>
      <c r="O711" s="81" t="n"/>
      <c r="P711" s="82" t="n"/>
      <c r="Q711" s="83" t="n"/>
      <c r="R711" s="82" t="n"/>
      <c r="S711" s="84" t="n"/>
      <c r="T711" s="84" t="n"/>
      <c r="U711" s="82" t="n"/>
      <c r="V711" s="86" t="n"/>
      <c r="W711" s="86" t="n"/>
      <c r="X711" s="86" t="n"/>
      <c r="Y711" s="81" t="n"/>
      <c r="Z711" s="82" t="n"/>
      <c r="AA711" s="81" t="n"/>
      <c r="AB711" s="82" t="n"/>
      <c r="AC711" s="87">
        <f>IF(OR($D711="",$M711="Rejected",$M711="Withdrawn",$M711="Accepted"),"",IF(ISNUMBER($O711),IF(INT($O711)&lt;TODAY(),"FOLLOW UP REQUIRED",IF(INT($O711)=TODAY(),"ACTION DUE TODAY",IF(INT($O711)-TODAY()&lt;=Set_DueSoonDays,"DUE SOON",""))),IF(AND($M711="Applied",$AA711=""),IF(ISNUMBER($C711),IF(TODAY()-$C711&gt;=Set_FollowUpDays,"NO RESPONSE",""),""),"")))</f>
        <v/>
      </c>
      <c r="AD711" s="87">
        <f>IF(ISNUMBER($L711),IF($L711&gt;=90,"Excellent Match",IF($L711&gt;=75,"Strong Match",IF($L711&gt;=60,"Moderate Match","Low Match"))),"")</f>
        <v/>
      </c>
      <c r="AE711" s="87">
        <f>IF($D711="","",IF(OR($M711="Rejected",$M711="Withdrawn"),IF($AB711&lt;&gt;"",$AB711,IF(OR($M711="Rejected",ISNUMBER($C711)),"Applied","Wishlist")),IF($M711="",IF(ISNUMBER($C711),"Applied","Wishlist"),$M711)))</f>
        <v/>
      </c>
      <c r="AF711" s="88">
        <f>IF(AND(ISNUMBER($C711),ISNUMBER($AA711)),$AA711-$C711,"")</f>
        <v/>
      </c>
      <c r="AG711" s="87">
        <f>IF($AE711="","",IFERROR(MATCH($AE711,{"Wishlist","Applied","Screening","Interview 1","Interview 2","Final","Offer","Accepted"},0)-1,""))</f>
        <v/>
      </c>
      <c r="AH711" s="87">
        <f>IF($AC711="","",MATCH($AC711,{"FOLLOW UP REQUIRED","ACTION DUE TODAY","NO RESPONSE","DUE SOON"},0)*100000+IF(ISNUMBER($O711),$O711,IF(ISNUMBER($C711),$C711,0))+ROW()/10000)</f>
        <v/>
      </c>
      <c r="AI711" s="87">
        <f>IF(AND(ISNUMBER($AG711),$AG711&gt;=1,$AG711&lt;=6,$M711&lt;&gt;"Rejected",$M711&lt;&gt;"Withdrawn"),(10-$AG711)*100000+IF(ISNUMBER($C711),$C711,0)+ROW()/10000,"")</f>
        <v/>
      </c>
    </row>
    <row r="712">
      <c r="A712" s="80" t="n"/>
      <c r="B712" s="81" t="n"/>
      <c r="C712" s="81" t="n"/>
      <c r="D712" s="82" t="n"/>
      <c r="E712" s="82" t="n"/>
      <c r="F712" s="82" t="n"/>
      <c r="G712" s="82" t="n"/>
      <c r="H712" s="82" t="n"/>
      <c r="I712" s="83" t="n"/>
      <c r="J712" s="82" t="n"/>
      <c r="K712" s="84" t="n"/>
      <c r="L712" s="85" t="n"/>
      <c r="M712" s="82" t="n"/>
      <c r="N712" s="86" t="n"/>
      <c r="O712" s="81" t="n"/>
      <c r="P712" s="82" t="n"/>
      <c r="Q712" s="83" t="n"/>
      <c r="R712" s="82" t="n"/>
      <c r="S712" s="84" t="n"/>
      <c r="T712" s="84" t="n"/>
      <c r="U712" s="82" t="n"/>
      <c r="V712" s="86" t="n"/>
      <c r="W712" s="86" t="n"/>
      <c r="X712" s="86" t="n"/>
      <c r="Y712" s="81" t="n"/>
      <c r="Z712" s="82" t="n"/>
      <c r="AA712" s="81" t="n"/>
      <c r="AB712" s="82" t="n"/>
      <c r="AC712" s="87">
        <f>IF(OR($D712="",$M712="Rejected",$M712="Withdrawn",$M712="Accepted"),"",IF(ISNUMBER($O712),IF(INT($O712)&lt;TODAY(),"FOLLOW UP REQUIRED",IF(INT($O712)=TODAY(),"ACTION DUE TODAY",IF(INT($O712)-TODAY()&lt;=Set_DueSoonDays,"DUE SOON",""))),IF(AND($M712="Applied",$AA712=""),IF(ISNUMBER($C712),IF(TODAY()-$C712&gt;=Set_FollowUpDays,"NO RESPONSE",""),""),"")))</f>
        <v/>
      </c>
      <c r="AD712" s="87">
        <f>IF(ISNUMBER($L712),IF($L712&gt;=90,"Excellent Match",IF($L712&gt;=75,"Strong Match",IF($L712&gt;=60,"Moderate Match","Low Match"))),"")</f>
        <v/>
      </c>
      <c r="AE712" s="87">
        <f>IF($D712="","",IF(OR($M712="Rejected",$M712="Withdrawn"),IF($AB712&lt;&gt;"",$AB712,IF(OR($M712="Rejected",ISNUMBER($C712)),"Applied","Wishlist")),IF($M712="",IF(ISNUMBER($C712),"Applied","Wishlist"),$M712)))</f>
        <v/>
      </c>
      <c r="AF712" s="88">
        <f>IF(AND(ISNUMBER($C712),ISNUMBER($AA712)),$AA712-$C712,"")</f>
        <v/>
      </c>
      <c r="AG712" s="87">
        <f>IF($AE712="","",IFERROR(MATCH($AE712,{"Wishlist","Applied","Screening","Interview 1","Interview 2","Final","Offer","Accepted"},0)-1,""))</f>
        <v/>
      </c>
      <c r="AH712" s="87">
        <f>IF($AC712="","",MATCH($AC712,{"FOLLOW UP REQUIRED","ACTION DUE TODAY","NO RESPONSE","DUE SOON"},0)*100000+IF(ISNUMBER($O712),$O712,IF(ISNUMBER($C712),$C712,0))+ROW()/10000)</f>
        <v/>
      </c>
      <c r="AI712" s="87">
        <f>IF(AND(ISNUMBER($AG712),$AG712&gt;=1,$AG712&lt;=6,$M712&lt;&gt;"Rejected",$M712&lt;&gt;"Withdrawn"),(10-$AG712)*100000+IF(ISNUMBER($C712),$C712,0)+ROW()/10000,"")</f>
        <v/>
      </c>
    </row>
    <row r="713">
      <c r="A713" s="80" t="n"/>
      <c r="B713" s="81" t="n"/>
      <c r="C713" s="81" t="n"/>
      <c r="D713" s="82" t="n"/>
      <c r="E713" s="82" t="n"/>
      <c r="F713" s="82" t="n"/>
      <c r="G713" s="82" t="n"/>
      <c r="H713" s="82" t="n"/>
      <c r="I713" s="83" t="n"/>
      <c r="J713" s="82" t="n"/>
      <c r="K713" s="84" t="n"/>
      <c r="L713" s="85" t="n"/>
      <c r="M713" s="82" t="n"/>
      <c r="N713" s="86" t="n"/>
      <c r="O713" s="81" t="n"/>
      <c r="P713" s="82" t="n"/>
      <c r="Q713" s="83" t="n"/>
      <c r="R713" s="82" t="n"/>
      <c r="S713" s="84" t="n"/>
      <c r="T713" s="84" t="n"/>
      <c r="U713" s="82" t="n"/>
      <c r="V713" s="86" t="n"/>
      <c r="W713" s="86" t="n"/>
      <c r="X713" s="86" t="n"/>
      <c r="Y713" s="81" t="n"/>
      <c r="Z713" s="82" t="n"/>
      <c r="AA713" s="81" t="n"/>
      <c r="AB713" s="82" t="n"/>
      <c r="AC713" s="87">
        <f>IF(OR($D713="",$M713="Rejected",$M713="Withdrawn",$M713="Accepted"),"",IF(ISNUMBER($O713),IF(INT($O713)&lt;TODAY(),"FOLLOW UP REQUIRED",IF(INT($O713)=TODAY(),"ACTION DUE TODAY",IF(INT($O713)-TODAY()&lt;=Set_DueSoonDays,"DUE SOON",""))),IF(AND($M713="Applied",$AA713=""),IF(ISNUMBER($C713),IF(TODAY()-$C713&gt;=Set_FollowUpDays,"NO RESPONSE",""),""),"")))</f>
        <v/>
      </c>
      <c r="AD713" s="87">
        <f>IF(ISNUMBER($L713),IF($L713&gt;=90,"Excellent Match",IF($L713&gt;=75,"Strong Match",IF($L713&gt;=60,"Moderate Match","Low Match"))),"")</f>
        <v/>
      </c>
      <c r="AE713" s="87">
        <f>IF($D713="","",IF(OR($M713="Rejected",$M713="Withdrawn"),IF($AB713&lt;&gt;"",$AB713,IF(OR($M713="Rejected",ISNUMBER($C713)),"Applied","Wishlist")),IF($M713="",IF(ISNUMBER($C713),"Applied","Wishlist"),$M713)))</f>
        <v/>
      </c>
      <c r="AF713" s="88">
        <f>IF(AND(ISNUMBER($C713),ISNUMBER($AA713)),$AA713-$C713,"")</f>
        <v/>
      </c>
      <c r="AG713" s="87">
        <f>IF($AE713="","",IFERROR(MATCH($AE713,{"Wishlist","Applied","Screening","Interview 1","Interview 2","Final","Offer","Accepted"},0)-1,""))</f>
        <v/>
      </c>
      <c r="AH713" s="87">
        <f>IF($AC713="","",MATCH($AC713,{"FOLLOW UP REQUIRED","ACTION DUE TODAY","NO RESPONSE","DUE SOON"},0)*100000+IF(ISNUMBER($O713),$O713,IF(ISNUMBER($C713),$C713,0))+ROW()/10000)</f>
        <v/>
      </c>
      <c r="AI713" s="87">
        <f>IF(AND(ISNUMBER($AG713),$AG713&gt;=1,$AG713&lt;=6,$M713&lt;&gt;"Rejected",$M713&lt;&gt;"Withdrawn"),(10-$AG713)*100000+IF(ISNUMBER($C713),$C713,0)+ROW()/10000,"")</f>
        <v/>
      </c>
    </row>
    <row r="714">
      <c r="A714" s="80" t="n"/>
      <c r="B714" s="81" t="n"/>
      <c r="C714" s="81" t="n"/>
      <c r="D714" s="82" t="n"/>
      <c r="E714" s="82" t="n"/>
      <c r="F714" s="82" t="n"/>
      <c r="G714" s="82" t="n"/>
      <c r="H714" s="82" t="n"/>
      <c r="I714" s="83" t="n"/>
      <c r="J714" s="82" t="n"/>
      <c r="K714" s="84" t="n"/>
      <c r="L714" s="85" t="n"/>
      <c r="M714" s="82" t="n"/>
      <c r="N714" s="86" t="n"/>
      <c r="O714" s="81" t="n"/>
      <c r="P714" s="82" t="n"/>
      <c r="Q714" s="83" t="n"/>
      <c r="R714" s="82" t="n"/>
      <c r="S714" s="84" t="n"/>
      <c r="T714" s="84" t="n"/>
      <c r="U714" s="82" t="n"/>
      <c r="V714" s="86" t="n"/>
      <c r="W714" s="86" t="n"/>
      <c r="X714" s="86" t="n"/>
      <c r="Y714" s="81" t="n"/>
      <c r="Z714" s="82" t="n"/>
      <c r="AA714" s="81" t="n"/>
      <c r="AB714" s="82" t="n"/>
      <c r="AC714" s="87">
        <f>IF(OR($D714="",$M714="Rejected",$M714="Withdrawn",$M714="Accepted"),"",IF(ISNUMBER($O714),IF(INT($O714)&lt;TODAY(),"FOLLOW UP REQUIRED",IF(INT($O714)=TODAY(),"ACTION DUE TODAY",IF(INT($O714)-TODAY()&lt;=Set_DueSoonDays,"DUE SOON",""))),IF(AND($M714="Applied",$AA714=""),IF(ISNUMBER($C714),IF(TODAY()-$C714&gt;=Set_FollowUpDays,"NO RESPONSE",""),""),"")))</f>
        <v/>
      </c>
      <c r="AD714" s="87">
        <f>IF(ISNUMBER($L714),IF($L714&gt;=90,"Excellent Match",IF($L714&gt;=75,"Strong Match",IF($L714&gt;=60,"Moderate Match","Low Match"))),"")</f>
        <v/>
      </c>
      <c r="AE714" s="87">
        <f>IF($D714="","",IF(OR($M714="Rejected",$M714="Withdrawn"),IF($AB714&lt;&gt;"",$AB714,IF(OR($M714="Rejected",ISNUMBER($C714)),"Applied","Wishlist")),IF($M714="",IF(ISNUMBER($C714),"Applied","Wishlist"),$M714)))</f>
        <v/>
      </c>
      <c r="AF714" s="88">
        <f>IF(AND(ISNUMBER($C714),ISNUMBER($AA714)),$AA714-$C714,"")</f>
        <v/>
      </c>
      <c r="AG714" s="87">
        <f>IF($AE714="","",IFERROR(MATCH($AE714,{"Wishlist","Applied","Screening","Interview 1","Interview 2","Final","Offer","Accepted"},0)-1,""))</f>
        <v/>
      </c>
      <c r="AH714" s="87">
        <f>IF($AC714="","",MATCH($AC714,{"FOLLOW UP REQUIRED","ACTION DUE TODAY","NO RESPONSE","DUE SOON"},0)*100000+IF(ISNUMBER($O714),$O714,IF(ISNUMBER($C714),$C714,0))+ROW()/10000)</f>
        <v/>
      </c>
      <c r="AI714" s="87">
        <f>IF(AND(ISNUMBER($AG714),$AG714&gt;=1,$AG714&lt;=6,$M714&lt;&gt;"Rejected",$M714&lt;&gt;"Withdrawn"),(10-$AG714)*100000+IF(ISNUMBER($C714),$C714,0)+ROW()/10000,"")</f>
        <v/>
      </c>
    </row>
    <row r="715">
      <c r="A715" s="80" t="n"/>
      <c r="B715" s="81" t="n"/>
      <c r="C715" s="81" t="n"/>
      <c r="D715" s="82" t="n"/>
      <c r="E715" s="82" t="n"/>
      <c r="F715" s="82" t="n"/>
      <c r="G715" s="82" t="n"/>
      <c r="H715" s="82" t="n"/>
      <c r="I715" s="83" t="n"/>
      <c r="J715" s="82" t="n"/>
      <c r="K715" s="84" t="n"/>
      <c r="L715" s="85" t="n"/>
      <c r="M715" s="82" t="n"/>
      <c r="N715" s="86" t="n"/>
      <c r="O715" s="81" t="n"/>
      <c r="P715" s="82" t="n"/>
      <c r="Q715" s="83" t="n"/>
      <c r="R715" s="82" t="n"/>
      <c r="S715" s="84" t="n"/>
      <c r="T715" s="84" t="n"/>
      <c r="U715" s="82" t="n"/>
      <c r="V715" s="86" t="n"/>
      <c r="W715" s="86" t="n"/>
      <c r="X715" s="86" t="n"/>
      <c r="Y715" s="81" t="n"/>
      <c r="Z715" s="82" t="n"/>
      <c r="AA715" s="81" t="n"/>
      <c r="AB715" s="82" t="n"/>
      <c r="AC715" s="87">
        <f>IF(OR($D715="",$M715="Rejected",$M715="Withdrawn",$M715="Accepted"),"",IF(ISNUMBER($O715),IF(INT($O715)&lt;TODAY(),"FOLLOW UP REQUIRED",IF(INT($O715)=TODAY(),"ACTION DUE TODAY",IF(INT($O715)-TODAY()&lt;=Set_DueSoonDays,"DUE SOON",""))),IF(AND($M715="Applied",$AA715=""),IF(ISNUMBER($C715),IF(TODAY()-$C715&gt;=Set_FollowUpDays,"NO RESPONSE",""),""),"")))</f>
        <v/>
      </c>
      <c r="AD715" s="87">
        <f>IF(ISNUMBER($L715),IF($L715&gt;=90,"Excellent Match",IF($L715&gt;=75,"Strong Match",IF($L715&gt;=60,"Moderate Match","Low Match"))),"")</f>
        <v/>
      </c>
      <c r="AE715" s="87">
        <f>IF($D715="","",IF(OR($M715="Rejected",$M715="Withdrawn"),IF($AB715&lt;&gt;"",$AB715,IF(OR($M715="Rejected",ISNUMBER($C715)),"Applied","Wishlist")),IF($M715="",IF(ISNUMBER($C715),"Applied","Wishlist"),$M715)))</f>
        <v/>
      </c>
      <c r="AF715" s="88">
        <f>IF(AND(ISNUMBER($C715),ISNUMBER($AA715)),$AA715-$C715,"")</f>
        <v/>
      </c>
      <c r="AG715" s="87">
        <f>IF($AE715="","",IFERROR(MATCH($AE715,{"Wishlist","Applied","Screening","Interview 1","Interview 2","Final","Offer","Accepted"},0)-1,""))</f>
        <v/>
      </c>
      <c r="AH715" s="87">
        <f>IF($AC715="","",MATCH($AC715,{"FOLLOW UP REQUIRED","ACTION DUE TODAY","NO RESPONSE","DUE SOON"},0)*100000+IF(ISNUMBER($O715),$O715,IF(ISNUMBER($C715),$C715,0))+ROW()/10000)</f>
        <v/>
      </c>
      <c r="AI715" s="87">
        <f>IF(AND(ISNUMBER($AG715),$AG715&gt;=1,$AG715&lt;=6,$M715&lt;&gt;"Rejected",$M715&lt;&gt;"Withdrawn"),(10-$AG715)*100000+IF(ISNUMBER($C715),$C715,0)+ROW()/10000,"")</f>
        <v/>
      </c>
    </row>
    <row r="716">
      <c r="A716" s="80" t="n"/>
      <c r="B716" s="81" t="n"/>
      <c r="C716" s="81" t="n"/>
      <c r="D716" s="82" t="n"/>
      <c r="E716" s="82" t="n"/>
      <c r="F716" s="82" t="n"/>
      <c r="G716" s="82" t="n"/>
      <c r="H716" s="82" t="n"/>
      <c r="I716" s="83" t="n"/>
      <c r="J716" s="82" t="n"/>
      <c r="K716" s="84" t="n"/>
      <c r="L716" s="85" t="n"/>
      <c r="M716" s="82" t="n"/>
      <c r="N716" s="86" t="n"/>
      <c r="O716" s="81" t="n"/>
      <c r="P716" s="82" t="n"/>
      <c r="Q716" s="83" t="n"/>
      <c r="R716" s="82" t="n"/>
      <c r="S716" s="84" t="n"/>
      <c r="T716" s="84" t="n"/>
      <c r="U716" s="82" t="n"/>
      <c r="V716" s="86" t="n"/>
      <c r="W716" s="86" t="n"/>
      <c r="X716" s="86" t="n"/>
      <c r="Y716" s="81" t="n"/>
      <c r="Z716" s="82" t="n"/>
      <c r="AA716" s="81" t="n"/>
      <c r="AB716" s="82" t="n"/>
      <c r="AC716" s="87">
        <f>IF(OR($D716="",$M716="Rejected",$M716="Withdrawn",$M716="Accepted"),"",IF(ISNUMBER($O716),IF(INT($O716)&lt;TODAY(),"FOLLOW UP REQUIRED",IF(INT($O716)=TODAY(),"ACTION DUE TODAY",IF(INT($O716)-TODAY()&lt;=Set_DueSoonDays,"DUE SOON",""))),IF(AND($M716="Applied",$AA716=""),IF(ISNUMBER($C716),IF(TODAY()-$C716&gt;=Set_FollowUpDays,"NO RESPONSE",""),""),"")))</f>
        <v/>
      </c>
      <c r="AD716" s="87">
        <f>IF(ISNUMBER($L716),IF($L716&gt;=90,"Excellent Match",IF($L716&gt;=75,"Strong Match",IF($L716&gt;=60,"Moderate Match","Low Match"))),"")</f>
        <v/>
      </c>
      <c r="AE716" s="87">
        <f>IF($D716="","",IF(OR($M716="Rejected",$M716="Withdrawn"),IF($AB716&lt;&gt;"",$AB716,IF(OR($M716="Rejected",ISNUMBER($C716)),"Applied","Wishlist")),IF($M716="",IF(ISNUMBER($C716),"Applied","Wishlist"),$M716)))</f>
        <v/>
      </c>
      <c r="AF716" s="88">
        <f>IF(AND(ISNUMBER($C716),ISNUMBER($AA716)),$AA716-$C716,"")</f>
        <v/>
      </c>
      <c r="AG716" s="87">
        <f>IF($AE716="","",IFERROR(MATCH($AE716,{"Wishlist","Applied","Screening","Interview 1","Interview 2","Final","Offer","Accepted"},0)-1,""))</f>
        <v/>
      </c>
      <c r="AH716" s="87">
        <f>IF($AC716="","",MATCH($AC716,{"FOLLOW UP REQUIRED","ACTION DUE TODAY","NO RESPONSE","DUE SOON"},0)*100000+IF(ISNUMBER($O716),$O716,IF(ISNUMBER($C716),$C716,0))+ROW()/10000)</f>
        <v/>
      </c>
      <c r="AI716" s="87">
        <f>IF(AND(ISNUMBER($AG716),$AG716&gt;=1,$AG716&lt;=6,$M716&lt;&gt;"Rejected",$M716&lt;&gt;"Withdrawn"),(10-$AG716)*100000+IF(ISNUMBER($C716),$C716,0)+ROW()/10000,"")</f>
        <v/>
      </c>
    </row>
    <row r="717">
      <c r="A717" s="80" t="n"/>
      <c r="B717" s="81" t="n"/>
      <c r="C717" s="81" t="n"/>
      <c r="D717" s="82" t="n"/>
      <c r="E717" s="82" t="n"/>
      <c r="F717" s="82" t="n"/>
      <c r="G717" s="82" t="n"/>
      <c r="H717" s="82" t="n"/>
      <c r="I717" s="83" t="n"/>
      <c r="J717" s="82" t="n"/>
      <c r="K717" s="84" t="n"/>
      <c r="L717" s="85" t="n"/>
      <c r="M717" s="82" t="n"/>
      <c r="N717" s="86" t="n"/>
      <c r="O717" s="81" t="n"/>
      <c r="P717" s="82" t="n"/>
      <c r="Q717" s="83" t="n"/>
      <c r="R717" s="82" t="n"/>
      <c r="S717" s="84" t="n"/>
      <c r="T717" s="84" t="n"/>
      <c r="U717" s="82" t="n"/>
      <c r="V717" s="86" t="n"/>
      <c r="W717" s="86" t="n"/>
      <c r="X717" s="86" t="n"/>
      <c r="Y717" s="81" t="n"/>
      <c r="Z717" s="82" t="n"/>
      <c r="AA717" s="81" t="n"/>
      <c r="AB717" s="82" t="n"/>
      <c r="AC717" s="87">
        <f>IF(OR($D717="",$M717="Rejected",$M717="Withdrawn",$M717="Accepted"),"",IF(ISNUMBER($O717),IF(INT($O717)&lt;TODAY(),"FOLLOW UP REQUIRED",IF(INT($O717)=TODAY(),"ACTION DUE TODAY",IF(INT($O717)-TODAY()&lt;=Set_DueSoonDays,"DUE SOON",""))),IF(AND($M717="Applied",$AA717=""),IF(ISNUMBER($C717),IF(TODAY()-$C717&gt;=Set_FollowUpDays,"NO RESPONSE",""),""),"")))</f>
        <v/>
      </c>
      <c r="AD717" s="87">
        <f>IF(ISNUMBER($L717),IF($L717&gt;=90,"Excellent Match",IF($L717&gt;=75,"Strong Match",IF($L717&gt;=60,"Moderate Match","Low Match"))),"")</f>
        <v/>
      </c>
      <c r="AE717" s="87">
        <f>IF($D717="","",IF(OR($M717="Rejected",$M717="Withdrawn"),IF($AB717&lt;&gt;"",$AB717,IF(OR($M717="Rejected",ISNUMBER($C717)),"Applied","Wishlist")),IF($M717="",IF(ISNUMBER($C717),"Applied","Wishlist"),$M717)))</f>
        <v/>
      </c>
      <c r="AF717" s="88">
        <f>IF(AND(ISNUMBER($C717),ISNUMBER($AA717)),$AA717-$C717,"")</f>
        <v/>
      </c>
      <c r="AG717" s="87">
        <f>IF($AE717="","",IFERROR(MATCH($AE717,{"Wishlist","Applied","Screening","Interview 1","Interview 2","Final","Offer","Accepted"},0)-1,""))</f>
        <v/>
      </c>
      <c r="AH717" s="87">
        <f>IF($AC717="","",MATCH($AC717,{"FOLLOW UP REQUIRED","ACTION DUE TODAY","NO RESPONSE","DUE SOON"},0)*100000+IF(ISNUMBER($O717),$O717,IF(ISNUMBER($C717),$C717,0))+ROW()/10000)</f>
        <v/>
      </c>
      <c r="AI717" s="87">
        <f>IF(AND(ISNUMBER($AG717),$AG717&gt;=1,$AG717&lt;=6,$M717&lt;&gt;"Rejected",$M717&lt;&gt;"Withdrawn"),(10-$AG717)*100000+IF(ISNUMBER($C717),$C717,0)+ROW()/10000,"")</f>
        <v/>
      </c>
    </row>
    <row r="718">
      <c r="A718" s="80" t="n"/>
      <c r="B718" s="81" t="n"/>
      <c r="C718" s="81" t="n"/>
      <c r="D718" s="82" t="n"/>
      <c r="E718" s="82" t="n"/>
      <c r="F718" s="82" t="n"/>
      <c r="G718" s="82" t="n"/>
      <c r="H718" s="82" t="n"/>
      <c r="I718" s="83" t="n"/>
      <c r="J718" s="82" t="n"/>
      <c r="K718" s="84" t="n"/>
      <c r="L718" s="85" t="n"/>
      <c r="M718" s="82" t="n"/>
      <c r="N718" s="86" t="n"/>
      <c r="O718" s="81" t="n"/>
      <c r="P718" s="82" t="n"/>
      <c r="Q718" s="83" t="n"/>
      <c r="R718" s="82" t="n"/>
      <c r="S718" s="84" t="n"/>
      <c r="T718" s="84" t="n"/>
      <c r="U718" s="82" t="n"/>
      <c r="V718" s="86" t="n"/>
      <c r="W718" s="86" t="n"/>
      <c r="X718" s="86" t="n"/>
      <c r="Y718" s="81" t="n"/>
      <c r="Z718" s="82" t="n"/>
      <c r="AA718" s="81" t="n"/>
      <c r="AB718" s="82" t="n"/>
      <c r="AC718" s="87">
        <f>IF(OR($D718="",$M718="Rejected",$M718="Withdrawn",$M718="Accepted"),"",IF(ISNUMBER($O718),IF(INT($O718)&lt;TODAY(),"FOLLOW UP REQUIRED",IF(INT($O718)=TODAY(),"ACTION DUE TODAY",IF(INT($O718)-TODAY()&lt;=Set_DueSoonDays,"DUE SOON",""))),IF(AND($M718="Applied",$AA718=""),IF(ISNUMBER($C718),IF(TODAY()-$C718&gt;=Set_FollowUpDays,"NO RESPONSE",""),""),"")))</f>
        <v/>
      </c>
      <c r="AD718" s="87">
        <f>IF(ISNUMBER($L718),IF($L718&gt;=90,"Excellent Match",IF($L718&gt;=75,"Strong Match",IF($L718&gt;=60,"Moderate Match","Low Match"))),"")</f>
        <v/>
      </c>
      <c r="AE718" s="87">
        <f>IF($D718="","",IF(OR($M718="Rejected",$M718="Withdrawn"),IF($AB718&lt;&gt;"",$AB718,IF(OR($M718="Rejected",ISNUMBER($C718)),"Applied","Wishlist")),IF($M718="",IF(ISNUMBER($C718),"Applied","Wishlist"),$M718)))</f>
        <v/>
      </c>
      <c r="AF718" s="88">
        <f>IF(AND(ISNUMBER($C718),ISNUMBER($AA718)),$AA718-$C718,"")</f>
        <v/>
      </c>
      <c r="AG718" s="87">
        <f>IF($AE718="","",IFERROR(MATCH($AE718,{"Wishlist","Applied","Screening","Interview 1","Interview 2","Final","Offer","Accepted"},0)-1,""))</f>
        <v/>
      </c>
      <c r="AH718" s="87">
        <f>IF($AC718="","",MATCH($AC718,{"FOLLOW UP REQUIRED","ACTION DUE TODAY","NO RESPONSE","DUE SOON"},0)*100000+IF(ISNUMBER($O718),$O718,IF(ISNUMBER($C718),$C718,0))+ROW()/10000)</f>
        <v/>
      </c>
      <c r="AI718" s="87">
        <f>IF(AND(ISNUMBER($AG718),$AG718&gt;=1,$AG718&lt;=6,$M718&lt;&gt;"Rejected",$M718&lt;&gt;"Withdrawn"),(10-$AG718)*100000+IF(ISNUMBER($C718),$C718,0)+ROW()/10000,"")</f>
        <v/>
      </c>
    </row>
    <row r="719">
      <c r="A719" s="80" t="n"/>
      <c r="B719" s="81" t="n"/>
      <c r="C719" s="81" t="n"/>
      <c r="D719" s="82" t="n"/>
      <c r="E719" s="82" t="n"/>
      <c r="F719" s="82" t="n"/>
      <c r="G719" s="82" t="n"/>
      <c r="H719" s="82" t="n"/>
      <c r="I719" s="83" t="n"/>
      <c r="J719" s="82" t="n"/>
      <c r="K719" s="84" t="n"/>
      <c r="L719" s="85" t="n"/>
      <c r="M719" s="82" t="n"/>
      <c r="N719" s="86" t="n"/>
      <c r="O719" s="81" t="n"/>
      <c r="P719" s="82" t="n"/>
      <c r="Q719" s="83" t="n"/>
      <c r="R719" s="82" t="n"/>
      <c r="S719" s="84" t="n"/>
      <c r="T719" s="84" t="n"/>
      <c r="U719" s="82" t="n"/>
      <c r="V719" s="86" t="n"/>
      <c r="W719" s="86" t="n"/>
      <c r="X719" s="86" t="n"/>
      <c r="Y719" s="81" t="n"/>
      <c r="Z719" s="82" t="n"/>
      <c r="AA719" s="81" t="n"/>
      <c r="AB719" s="82" t="n"/>
      <c r="AC719" s="87">
        <f>IF(OR($D719="",$M719="Rejected",$M719="Withdrawn",$M719="Accepted"),"",IF(ISNUMBER($O719),IF(INT($O719)&lt;TODAY(),"FOLLOW UP REQUIRED",IF(INT($O719)=TODAY(),"ACTION DUE TODAY",IF(INT($O719)-TODAY()&lt;=Set_DueSoonDays,"DUE SOON",""))),IF(AND($M719="Applied",$AA719=""),IF(ISNUMBER($C719),IF(TODAY()-$C719&gt;=Set_FollowUpDays,"NO RESPONSE",""),""),"")))</f>
        <v/>
      </c>
      <c r="AD719" s="87">
        <f>IF(ISNUMBER($L719),IF($L719&gt;=90,"Excellent Match",IF($L719&gt;=75,"Strong Match",IF($L719&gt;=60,"Moderate Match","Low Match"))),"")</f>
        <v/>
      </c>
      <c r="AE719" s="87">
        <f>IF($D719="","",IF(OR($M719="Rejected",$M719="Withdrawn"),IF($AB719&lt;&gt;"",$AB719,IF(OR($M719="Rejected",ISNUMBER($C719)),"Applied","Wishlist")),IF($M719="",IF(ISNUMBER($C719),"Applied","Wishlist"),$M719)))</f>
        <v/>
      </c>
      <c r="AF719" s="88">
        <f>IF(AND(ISNUMBER($C719),ISNUMBER($AA719)),$AA719-$C719,"")</f>
        <v/>
      </c>
      <c r="AG719" s="87">
        <f>IF($AE719="","",IFERROR(MATCH($AE719,{"Wishlist","Applied","Screening","Interview 1","Interview 2","Final","Offer","Accepted"},0)-1,""))</f>
        <v/>
      </c>
      <c r="AH719" s="87">
        <f>IF($AC719="","",MATCH($AC719,{"FOLLOW UP REQUIRED","ACTION DUE TODAY","NO RESPONSE","DUE SOON"},0)*100000+IF(ISNUMBER($O719),$O719,IF(ISNUMBER($C719),$C719,0))+ROW()/10000)</f>
        <v/>
      </c>
      <c r="AI719" s="87">
        <f>IF(AND(ISNUMBER($AG719),$AG719&gt;=1,$AG719&lt;=6,$M719&lt;&gt;"Rejected",$M719&lt;&gt;"Withdrawn"),(10-$AG719)*100000+IF(ISNUMBER($C719),$C719,0)+ROW()/10000,"")</f>
        <v/>
      </c>
    </row>
    <row r="720">
      <c r="A720" s="80" t="n"/>
      <c r="B720" s="81" t="n"/>
      <c r="C720" s="81" t="n"/>
      <c r="D720" s="82" t="n"/>
      <c r="E720" s="82" t="n"/>
      <c r="F720" s="82" t="n"/>
      <c r="G720" s="82" t="n"/>
      <c r="H720" s="82" t="n"/>
      <c r="I720" s="83" t="n"/>
      <c r="J720" s="82" t="n"/>
      <c r="K720" s="84" t="n"/>
      <c r="L720" s="85" t="n"/>
      <c r="M720" s="82" t="n"/>
      <c r="N720" s="86" t="n"/>
      <c r="O720" s="81" t="n"/>
      <c r="P720" s="82" t="n"/>
      <c r="Q720" s="83" t="n"/>
      <c r="R720" s="82" t="n"/>
      <c r="S720" s="84" t="n"/>
      <c r="T720" s="84" t="n"/>
      <c r="U720" s="82" t="n"/>
      <c r="V720" s="86" t="n"/>
      <c r="W720" s="86" t="n"/>
      <c r="X720" s="86" t="n"/>
      <c r="Y720" s="81" t="n"/>
      <c r="Z720" s="82" t="n"/>
      <c r="AA720" s="81" t="n"/>
      <c r="AB720" s="82" t="n"/>
      <c r="AC720" s="87">
        <f>IF(OR($D720="",$M720="Rejected",$M720="Withdrawn",$M720="Accepted"),"",IF(ISNUMBER($O720),IF(INT($O720)&lt;TODAY(),"FOLLOW UP REQUIRED",IF(INT($O720)=TODAY(),"ACTION DUE TODAY",IF(INT($O720)-TODAY()&lt;=Set_DueSoonDays,"DUE SOON",""))),IF(AND($M720="Applied",$AA720=""),IF(ISNUMBER($C720),IF(TODAY()-$C720&gt;=Set_FollowUpDays,"NO RESPONSE",""),""),"")))</f>
        <v/>
      </c>
      <c r="AD720" s="87">
        <f>IF(ISNUMBER($L720),IF($L720&gt;=90,"Excellent Match",IF($L720&gt;=75,"Strong Match",IF($L720&gt;=60,"Moderate Match","Low Match"))),"")</f>
        <v/>
      </c>
      <c r="AE720" s="87">
        <f>IF($D720="","",IF(OR($M720="Rejected",$M720="Withdrawn"),IF($AB720&lt;&gt;"",$AB720,IF(OR($M720="Rejected",ISNUMBER($C720)),"Applied","Wishlist")),IF($M720="",IF(ISNUMBER($C720),"Applied","Wishlist"),$M720)))</f>
        <v/>
      </c>
      <c r="AF720" s="88">
        <f>IF(AND(ISNUMBER($C720),ISNUMBER($AA720)),$AA720-$C720,"")</f>
        <v/>
      </c>
      <c r="AG720" s="87">
        <f>IF($AE720="","",IFERROR(MATCH($AE720,{"Wishlist","Applied","Screening","Interview 1","Interview 2","Final","Offer","Accepted"},0)-1,""))</f>
        <v/>
      </c>
      <c r="AH720" s="87">
        <f>IF($AC720="","",MATCH($AC720,{"FOLLOW UP REQUIRED","ACTION DUE TODAY","NO RESPONSE","DUE SOON"},0)*100000+IF(ISNUMBER($O720),$O720,IF(ISNUMBER($C720),$C720,0))+ROW()/10000)</f>
        <v/>
      </c>
      <c r="AI720" s="87">
        <f>IF(AND(ISNUMBER($AG720),$AG720&gt;=1,$AG720&lt;=6,$M720&lt;&gt;"Rejected",$M720&lt;&gt;"Withdrawn"),(10-$AG720)*100000+IF(ISNUMBER($C720),$C720,0)+ROW()/10000,"")</f>
        <v/>
      </c>
    </row>
    <row r="721">
      <c r="A721" s="80" t="n"/>
      <c r="B721" s="81" t="n"/>
      <c r="C721" s="81" t="n"/>
      <c r="D721" s="82" t="n"/>
      <c r="E721" s="82" t="n"/>
      <c r="F721" s="82" t="n"/>
      <c r="G721" s="82" t="n"/>
      <c r="H721" s="82" t="n"/>
      <c r="I721" s="83" t="n"/>
      <c r="J721" s="82" t="n"/>
      <c r="K721" s="84" t="n"/>
      <c r="L721" s="85" t="n"/>
      <c r="M721" s="82" t="n"/>
      <c r="N721" s="86" t="n"/>
      <c r="O721" s="81" t="n"/>
      <c r="P721" s="82" t="n"/>
      <c r="Q721" s="83" t="n"/>
      <c r="R721" s="82" t="n"/>
      <c r="S721" s="84" t="n"/>
      <c r="T721" s="84" t="n"/>
      <c r="U721" s="82" t="n"/>
      <c r="V721" s="86" t="n"/>
      <c r="W721" s="86" t="n"/>
      <c r="X721" s="86" t="n"/>
      <c r="Y721" s="81" t="n"/>
      <c r="Z721" s="82" t="n"/>
      <c r="AA721" s="81" t="n"/>
      <c r="AB721" s="82" t="n"/>
      <c r="AC721" s="87">
        <f>IF(OR($D721="",$M721="Rejected",$M721="Withdrawn",$M721="Accepted"),"",IF(ISNUMBER($O721),IF(INT($O721)&lt;TODAY(),"FOLLOW UP REQUIRED",IF(INT($O721)=TODAY(),"ACTION DUE TODAY",IF(INT($O721)-TODAY()&lt;=Set_DueSoonDays,"DUE SOON",""))),IF(AND($M721="Applied",$AA721=""),IF(ISNUMBER($C721),IF(TODAY()-$C721&gt;=Set_FollowUpDays,"NO RESPONSE",""),""),"")))</f>
        <v/>
      </c>
      <c r="AD721" s="87">
        <f>IF(ISNUMBER($L721),IF($L721&gt;=90,"Excellent Match",IF($L721&gt;=75,"Strong Match",IF($L721&gt;=60,"Moderate Match","Low Match"))),"")</f>
        <v/>
      </c>
      <c r="AE721" s="87">
        <f>IF($D721="","",IF(OR($M721="Rejected",$M721="Withdrawn"),IF($AB721&lt;&gt;"",$AB721,IF(OR($M721="Rejected",ISNUMBER($C721)),"Applied","Wishlist")),IF($M721="",IF(ISNUMBER($C721),"Applied","Wishlist"),$M721)))</f>
        <v/>
      </c>
      <c r="AF721" s="88">
        <f>IF(AND(ISNUMBER($C721),ISNUMBER($AA721)),$AA721-$C721,"")</f>
        <v/>
      </c>
      <c r="AG721" s="87">
        <f>IF($AE721="","",IFERROR(MATCH($AE721,{"Wishlist","Applied","Screening","Interview 1","Interview 2","Final","Offer","Accepted"},0)-1,""))</f>
        <v/>
      </c>
      <c r="AH721" s="87">
        <f>IF($AC721="","",MATCH($AC721,{"FOLLOW UP REQUIRED","ACTION DUE TODAY","NO RESPONSE","DUE SOON"},0)*100000+IF(ISNUMBER($O721),$O721,IF(ISNUMBER($C721),$C721,0))+ROW()/10000)</f>
        <v/>
      </c>
      <c r="AI721" s="87">
        <f>IF(AND(ISNUMBER($AG721),$AG721&gt;=1,$AG721&lt;=6,$M721&lt;&gt;"Rejected",$M721&lt;&gt;"Withdrawn"),(10-$AG721)*100000+IF(ISNUMBER($C721),$C721,0)+ROW()/10000,"")</f>
        <v/>
      </c>
    </row>
    <row r="722">
      <c r="A722" s="80" t="n"/>
      <c r="B722" s="81" t="n"/>
      <c r="C722" s="81" t="n"/>
      <c r="D722" s="82" t="n"/>
      <c r="E722" s="82" t="n"/>
      <c r="F722" s="82" t="n"/>
      <c r="G722" s="82" t="n"/>
      <c r="H722" s="82" t="n"/>
      <c r="I722" s="83" t="n"/>
      <c r="J722" s="82" t="n"/>
      <c r="K722" s="84" t="n"/>
      <c r="L722" s="85" t="n"/>
      <c r="M722" s="82" t="n"/>
      <c r="N722" s="86" t="n"/>
      <c r="O722" s="81" t="n"/>
      <c r="P722" s="82" t="n"/>
      <c r="Q722" s="83" t="n"/>
      <c r="R722" s="82" t="n"/>
      <c r="S722" s="84" t="n"/>
      <c r="T722" s="84" t="n"/>
      <c r="U722" s="82" t="n"/>
      <c r="V722" s="86" t="n"/>
      <c r="W722" s="86" t="n"/>
      <c r="X722" s="86" t="n"/>
      <c r="Y722" s="81" t="n"/>
      <c r="Z722" s="82" t="n"/>
      <c r="AA722" s="81" t="n"/>
      <c r="AB722" s="82" t="n"/>
      <c r="AC722" s="87">
        <f>IF(OR($D722="",$M722="Rejected",$M722="Withdrawn",$M722="Accepted"),"",IF(ISNUMBER($O722),IF(INT($O722)&lt;TODAY(),"FOLLOW UP REQUIRED",IF(INT($O722)=TODAY(),"ACTION DUE TODAY",IF(INT($O722)-TODAY()&lt;=Set_DueSoonDays,"DUE SOON",""))),IF(AND($M722="Applied",$AA722=""),IF(ISNUMBER($C722),IF(TODAY()-$C722&gt;=Set_FollowUpDays,"NO RESPONSE",""),""),"")))</f>
        <v/>
      </c>
      <c r="AD722" s="87">
        <f>IF(ISNUMBER($L722),IF($L722&gt;=90,"Excellent Match",IF($L722&gt;=75,"Strong Match",IF($L722&gt;=60,"Moderate Match","Low Match"))),"")</f>
        <v/>
      </c>
      <c r="AE722" s="87">
        <f>IF($D722="","",IF(OR($M722="Rejected",$M722="Withdrawn"),IF($AB722&lt;&gt;"",$AB722,IF(OR($M722="Rejected",ISNUMBER($C722)),"Applied","Wishlist")),IF($M722="",IF(ISNUMBER($C722),"Applied","Wishlist"),$M722)))</f>
        <v/>
      </c>
      <c r="AF722" s="88">
        <f>IF(AND(ISNUMBER($C722),ISNUMBER($AA722)),$AA722-$C722,"")</f>
        <v/>
      </c>
      <c r="AG722" s="87">
        <f>IF($AE722="","",IFERROR(MATCH($AE722,{"Wishlist","Applied","Screening","Interview 1","Interview 2","Final","Offer","Accepted"},0)-1,""))</f>
        <v/>
      </c>
      <c r="AH722" s="87">
        <f>IF($AC722="","",MATCH($AC722,{"FOLLOW UP REQUIRED","ACTION DUE TODAY","NO RESPONSE","DUE SOON"},0)*100000+IF(ISNUMBER($O722),$O722,IF(ISNUMBER($C722),$C722,0))+ROW()/10000)</f>
        <v/>
      </c>
      <c r="AI722" s="87">
        <f>IF(AND(ISNUMBER($AG722),$AG722&gt;=1,$AG722&lt;=6,$M722&lt;&gt;"Rejected",$M722&lt;&gt;"Withdrawn"),(10-$AG722)*100000+IF(ISNUMBER($C722),$C722,0)+ROW()/10000,"")</f>
        <v/>
      </c>
    </row>
    <row r="723">
      <c r="A723" s="80" t="n"/>
      <c r="B723" s="81" t="n"/>
      <c r="C723" s="81" t="n"/>
      <c r="D723" s="82" t="n"/>
      <c r="E723" s="82" t="n"/>
      <c r="F723" s="82" t="n"/>
      <c r="G723" s="82" t="n"/>
      <c r="H723" s="82" t="n"/>
      <c r="I723" s="83" t="n"/>
      <c r="J723" s="82" t="n"/>
      <c r="K723" s="84" t="n"/>
      <c r="L723" s="85" t="n"/>
      <c r="M723" s="82" t="n"/>
      <c r="N723" s="86" t="n"/>
      <c r="O723" s="81" t="n"/>
      <c r="P723" s="82" t="n"/>
      <c r="Q723" s="83" t="n"/>
      <c r="R723" s="82" t="n"/>
      <c r="S723" s="84" t="n"/>
      <c r="T723" s="84" t="n"/>
      <c r="U723" s="82" t="n"/>
      <c r="V723" s="86" t="n"/>
      <c r="W723" s="86" t="n"/>
      <c r="X723" s="86" t="n"/>
      <c r="Y723" s="81" t="n"/>
      <c r="Z723" s="82" t="n"/>
      <c r="AA723" s="81" t="n"/>
      <c r="AB723" s="82" t="n"/>
      <c r="AC723" s="87">
        <f>IF(OR($D723="",$M723="Rejected",$M723="Withdrawn",$M723="Accepted"),"",IF(ISNUMBER($O723),IF(INT($O723)&lt;TODAY(),"FOLLOW UP REQUIRED",IF(INT($O723)=TODAY(),"ACTION DUE TODAY",IF(INT($O723)-TODAY()&lt;=Set_DueSoonDays,"DUE SOON",""))),IF(AND($M723="Applied",$AA723=""),IF(ISNUMBER($C723),IF(TODAY()-$C723&gt;=Set_FollowUpDays,"NO RESPONSE",""),""),"")))</f>
        <v/>
      </c>
      <c r="AD723" s="87">
        <f>IF(ISNUMBER($L723),IF($L723&gt;=90,"Excellent Match",IF($L723&gt;=75,"Strong Match",IF($L723&gt;=60,"Moderate Match","Low Match"))),"")</f>
        <v/>
      </c>
      <c r="AE723" s="87">
        <f>IF($D723="","",IF(OR($M723="Rejected",$M723="Withdrawn"),IF($AB723&lt;&gt;"",$AB723,IF(OR($M723="Rejected",ISNUMBER($C723)),"Applied","Wishlist")),IF($M723="",IF(ISNUMBER($C723),"Applied","Wishlist"),$M723)))</f>
        <v/>
      </c>
      <c r="AF723" s="88">
        <f>IF(AND(ISNUMBER($C723),ISNUMBER($AA723)),$AA723-$C723,"")</f>
        <v/>
      </c>
      <c r="AG723" s="87">
        <f>IF($AE723="","",IFERROR(MATCH($AE723,{"Wishlist","Applied","Screening","Interview 1","Interview 2","Final","Offer","Accepted"},0)-1,""))</f>
        <v/>
      </c>
      <c r="AH723" s="87">
        <f>IF($AC723="","",MATCH($AC723,{"FOLLOW UP REQUIRED","ACTION DUE TODAY","NO RESPONSE","DUE SOON"},0)*100000+IF(ISNUMBER($O723),$O723,IF(ISNUMBER($C723),$C723,0))+ROW()/10000)</f>
        <v/>
      </c>
      <c r="AI723" s="87">
        <f>IF(AND(ISNUMBER($AG723),$AG723&gt;=1,$AG723&lt;=6,$M723&lt;&gt;"Rejected",$M723&lt;&gt;"Withdrawn"),(10-$AG723)*100000+IF(ISNUMBER($C723),$C723,0)+ROW()/10000,"")</f>
        <v/>
      </c>
    </row>
    <row r="724">
      <c r="A724" s="80" t="n"/>
      <c r="B724" s="81" t="n"/>
      <c r="C724" s="81" t="n"/>
      <c r="D724" s="82" t="n"/>
      <c r="E724" s="82" t="n"/>
      <c r="F724" s="82" t="n"/>
      <c r="G724" s="82" t="n"/>
      <c r="H724" s="82" t="n"/>
      <c r="I724" s="83" t="n"/>
      <c r="J724" s="82" t="n"/>
      <c r="K724" s="84" t="n"/>
      <c r="L724" s="85" t="n"/>
      <c r="M724" s="82" t="n"/>
      <c r="N724" s="86" t="n"/>
      <c r="O724" s="81" t="n"/>
      <c r="P724" s="82" t="n"/>
      <c r="Q724" s="83" t="n"/>
      <c r="R724" s="82" t="n"/>
      <c r="S724" s="84" t="n"/>
      <c r="T724" s="84" t="n"/>
      <c r="U724" s="82" t="n"/>
      <c r="V724" s="86" t="n"/>
      <c r="W724" s="86" t="n"/>
      <c r="X724" s="86" t="n"/>
      <c r="Y724" s="81" t="n"/>
      <c r="Z724" s="82" t="n"/>
      <c r="AA724" s="81" t="n"/>
      <c r="AB724" s="82" t="n"/>
      <c r="AC724" s="87">
        <f>IF(OR($D724="",$M724="Rejected",$M724="Withdrawn",$M724="Accepted"),"",IF(ISNUMBER($O724),IF(INT($O724)&lt;TODAY(),"FOLLOW UP REQUIRED",IF(INT($O724)=TODAY(),"ACTION DUE TODAY",IF(INT($O724)-TODAY()&lt;=Set_DueSoonDays,"DUE SOON",""))),IF(AND($M724="Applied",$AA724=""),IF(ISNUMBER($C724),IF(TODAY()-$C724&gt;=Set_FollowUpDays,"NO RESPONSE",""),""),"")))</f>
        <v/>
      </c>
      <c r="AD724" s="87">
        <f>IF(ISNUMBER($L724),IF($L724&gt;=90,"Excellent Match",IF($L724&gt;=75,"Strong Match",IF($L724&gt;=60,"Moderate Match","Low Match"))),"")</f>
        <v/>
      </c>
      <c r="AE724" s="87">
        <f>IF($D724="","",IF(OR($M724="Rejected",$M724="Withdrawn"),IF($AB724&lt;&gt;"",$AB724,IF(OR($M724="Rejected",ISNUMBER($C724)),"Applied","Wishlist")),IF($M724="",IF(ISNUMBER($C724),"Applied","Wishlist"),$M724)))</f>
        <v/>
      </c>
      <c r="AF724" s="88">
        <f>IF(AND(ISNUMBER($C724),ISNUMBER($AA724)),$AA724-$C724,"")</f>
        <v/>
      </c>
      <c r="AG724" s="87">
        <f>IF($AE724="","",IFERROR(MATCH($AE724,{"Wishlist","Applied","Screening","Interview 1","Interview 2","Final","Offer","Accepted"},0)-1,""))</f>
        <v/>
      </c>
      <c r="AH724" s="87">
        <f>IF($AC724="","",MATCH($AC724,{"FOLLOW UP REQUIRED","ACTION DUE TODAY","NO RESPONSE","DUE SOON"},0)*100000+IF(ISNUMBER($O724),$O724,IF(ISNUMBER($C724),$C724,0))+ROW()/10000)</f>
        <v/>
      </c>
      <c r="AI724" s="87">
        <f>IF(AND(ISNUMBER($AG724),$AG724&gt;=1,$AG724&lt;=6,$M724&lt;&gt;"Rejected",$M724&lt;&gt;"Withdrawn"),(10-$AG724)*100000+IF(ISNUMBER($C724),$C724,0)+ROW()/10000,"")</f>
        <v/>
      </c>
    </row>
    <row r="725">
      <c r="A725" s="80" t="n"/>
      <c r="B725" s="81" t="n"/>
      <c r="C725" s="81" t="n"/>
      <c r="D725" s="82" t="n"/>
      <c r="E725" s="82" t="n"/>
      <c r="F725" s="82" t="n"/>
      <c r="G725" s="82" t="n"/>
      <c r="H725" s="82" t="n"/>
      <c r="I725" s="83" t="n"/>
      <c r="J725" s="82" t="n"/>
      <c r="K725" s="84" t="n"/>
      <c r="L725" s="85" t="n"/>
      <c r="M725" s="82" t="n"/>
      <c r="N725" s="86" t="n"/>
      <c r="O725" s="81" t="n"/>
      <c r="P725" s="82" t="n"/>
      <c r="Q725" s="83" t="n"/>
      <c r="R725" s="82" t="n"/>
      <c r="S725" s="84" t="n"/>
      <c r="T725" s="84" t="n"/>
      <c r="U725" s="82" t="n"/>
      <c r="V725" s="86" t="n"/>
      <c r="W725" s="86" t="n"/>
      <c r="X725" s="86" t="n"/>
      <c r="Y725" s="81" t="n"/>
      <c r="Z725" s="82" t="n"/>
      <c r="AA725" s="81" t="n"/>
      <c r="AB725" s="82" t="n"/>
      <c r="AC725" s="87">
        <f>IF(OR($D725="",$M725="Rejected",$M725="Withdrawn",$M725="Accepted"),"",IF(ISNUMBER($O725),IF(INT($O725)&lt;TODAY(),"FOLLOW UP REQUIRED",IF(INT($O725)=TODAY(),"ACTION DUE TODAY",IF(INT($O725)-TODAY()&lt;=Set_DueSoonDays,"DUE SOON",""))),IF(AND($M725="Applied",$AA725=""),IF(ISNUMBER($C725),IF(TODAY()-$C725&gt;=Set_FollowUpDays,"NO RESPONSE",""),""),"")))</f>
        <v/>
      </c>
      <c r="AD725" s="87">
        <f>IF(ISNUMBER($L725),IF($L725&gt;=90,"Excellent Match",IF($L725&gt;=75,"Strong Match",IF($L725&gt;=60,"Moderate Match","Low Match"))),"")</f>
        <v/>
      </c>
      <c r="AE725" s="87">
        <f>IF($D725="","",IF(OR($M725="Rejected",$M725="Withdrawn"),IF($AB725&lt;&gt;"",$AB725,IF(OR($M725="Rejected",ISNUMBER($C725)),"Applied","Wishlist")),IF($M725="",IF(ISNUMBER($C725),"Applied","Wishlist"),$M725)))</f>
        <v/>
      </c>
      <c r="AF725" s="88">
        <f>IF(AND(ISNUMBER($C725),ISNUMBER($AA725)),$AA725-$C725,"")</f>
        <v/>
      </c>
      <c r="AG725" s="87">
        <f>IF($AE725="","",IFERROR(MATCH($AE725,{"Wishlist","Applied","Screening","Interview 1","Interview 2","Final","Offer","Accepted"},0)-1,""))</f>
        <v/>
      </c>
      <c r="AH725" s="87">
        <f>IF($AC725="","",MATCH($AC725,{"FOLLOW UP REQUIRED","ACTION DUE TODAY","NO RESPONSE","DUE SOON"},0)*100000+IF(ISNUMBER($O725),$O725,IF(ISNUMBER($C725),$C725,0))+ROW()/10000)</f>
        <v/>
      </c>
      <c r="AI725" s="87">
        <f>IF(AND(ISNUMBER($AG725),$AG725&gt;=1,$AG725&lt;=6,$M725&lt;&gt;"Rejected",$M725&lt;&gt;"Withdrawn"),(10-$AG725)*100000+IF(ISNUMBER($C725),$C725,0)+ROW()/10000,"")</f>
        <v/>
      </c>
    </row>
    <row r="726">
      <c r="A726" s="80" t="n"/>
      <c r="B726" s="81" t="n"/>
      <c r="C726" s="81" t="n"/>
      <c r="D726" s="82" t="n"/>
      <c r="E726" s="82" t="n"/>
      <c r="F726" s="82" t="n"/>
      <c r="G726" s="82" t="n"/>
      <c r="H726" s="82" t="n"/>
      <c r="I726" s="83" t="n"/>
      <c r="J726" s="82" t="n"/>
      <c r="K726" s="84" t="n"/>
      <c r="L726" s="85" t="n"/>
      <c r="M726" s="82" t="n"/>
      <c r="N726" s="86" t="n"/>
      <c r="O726" s="81" t="n"/>
      <c r="P726" s="82" t="n"/>
      <c r="Q726" s="83" t="n"/>
      <c r="R726" s="82" t="n"/>
      <c r="S726" s="84" t="n"/>
      <c r="T726" s="84" t="n"/>
      <c r="U726" s="82" t="n"/>
      <c r="V726" s="86" t="n"/>
      <c r="W726" s="86" t="n"/>
      <c r="X726" s="86" t="n"/>
      <c r="Y726" s="81" t="n"/>
      <c r="Z726" s="82" t="n"/>
      <c r="AA726" s="81" t="n"/>
      <c r="AB726" s="82" t="n"/>
      <c r="AC726" s="87">
        <f>IF(OR($D726="",$M726="Rejected",$M726="Withdrawn",$M726="Accepted"),"",IF(ISNUMBER($O726),IF(INT($O726)&lt;TODAY(),"FOLLOW UP REQUIRED",IF(INT($O726)=TODAY(),"ACTION DUE TODAY",IF(INT($O726)-TODAY()&lt;=Set_DueSoonDays,"DUE SOON",""))),IF(AND($M726="Applied",$AA726=""),IF(ISNUMBER($C726),IF(TODAY()-$C726&gt;=Set_FollowUpDays,"NO RESPONSE",""),""),"")))</f>
        <v/>
      </c>
      <c r="AD726" s="87">
        <f>IF(ISNUMBER($L726),IF($L726&gt;=90,"Excellent Match",IF($L726&gt;=75,"Strong Match",IF($L726&gt;=60,"Moderate Match","Low Match"))),"")</f>
        <v/>
      </c>
      <c r="AE726" s="87">
        <f>IF($D726="","",IF(OR($M726="Rejected",$M726="Withdrawn"),IF($AB726&lt;&gt;"",$AB726,IF(OR($M726="Rejected",ISNUMBER($C726)),"Applied","Wishlist")),IF($M726="",IF(ISNUMBER($C726),"Applied","Wishlist"),$M726)))</f>
        <v/>
      </c>
      <c r="AF726" s="88">
        <f>IF(AND(ISNUMBER($C726),ISNUMBER($AA726)),$AA726-$C726,"")</f>
        <v/>
      </c>
      <c r="AG726" s="87">
        <f>IF($AE726="","",IFERROR(MATCH($AE726,{"Wishlist","Applied","Screening","Interview 1","Interview 2","Final","Offer","Accepted"},0)-1,""))</f>
        <v/>
      </c>
      <c r="AH726" s="87">
        <f>IF($AC726="","",MATCH($AC726,{"FOLLOW UP REQUIRED","ACTION DUE TODAY","NO RESPONSE","DUE SOON"},0)*100000+IF(ISNUMBER($O726),$O726,IF(ISNUMBER($C726),$C726,0))+ROW()/10000)</f>
        <v/>
      </c>
      <c r="AI726" s="87">
        <f>IF(AND(ISNUMBER($AG726),$AG726&gt;=1,$AG726&lt;=6,$M726&lt;&gt;"Rejected",$M726&lt;&gt;"Withdrawn"),(10-$AG726)*100000+IF(ISNUMBER($C726),$C726,0)+ROW()/10000,"")</f>
        <v/>
      </c>
    </row>
    <row r="727">
      <c r="A727" s="80" t="n"/>
      <c r="B727" s="81" t="n"/>
      <c r="C727" s="81" t="n"/>
      <c r="D727" s="82" t="n"/>
      <c r="E727" s="82" t="n"/>
      <c r="F727" s="82" t="n"/>
      <c r="G727" s="82" t="n"/>
      <c r="H727" s="82" t="n"/>
      <c r="I727" s="83" t="n"/>
      <c r="J727" s="82" t="n"/>
      <c r="K727" s="84" t="n"/>
      <c r="L727" s="85" t="n"/>
      <c r="M727" s="82" t="n"/>
      <c r="N727" s="86" t="n"/>
      <c r="O727" s="81" t="n"/>
      <c r="P727" s="82" t="n"/>
      <c r="Q727" s="83" t="n"/>
      <c r="R727" s="82" t="n"/>
      <c r="S727" s="84" t="n"/>
      <c r="T727" s="84" t="n"/>
      <c r="U727" s="82" t="n"/>
      <c r="V727" s="86" t="n"/>
      <c r="W727" s="86" t="n"/>
      <c r="X727" s="86" t="n"/>
      <c r="Y727" s="81" t="n"/>
      <c r="Z727" s="82" t="n"/>
      <c r="AA727" s="81" t="n"/>
      <c r="AB727" s="82" t="n"/>
      <c r="AC727" s="87">
        <f>IF(OR($D727="",$M727="Rejected",$M727="Withdrawn",$M727="Accepted"),"",IF(ISNUMBER($O727),IF(INT($O727)&lt;TODAY(),"FOLLOW UP REQUIRED",IF(INT($O727)=TODAY(),"ACTION DUE TODAY",IF(INT($O727)-TODAY()&lt;=Set_DueSoonDays,"DUE SOON",""))),IF(AND($M727="Applied",$AA727=""),IF(ISNUMBER($C727),IF(TODAY()-$C727&gt;=Set_FollowUpDays,"NO RESPONSE",""),""),"")))</f>
        <v/>
      </c>
      <c r="AD727" s="87">
        <f>IF(ISNUMBER($L727),IF($L727&gt;=90,"Excellent Match",IF($L727&gt;=75,"Strong Match",IF($L727&gt;=60,"Moderate Match","Low Match"))),"")</f>
        <v/>
      </c>
      <c r="AE727" s="87">
        <f>IF($D727="","",IF(OR($M727="Rejected",$M727="Withdrawn"),IF($AB727&lt;&gt;"",$AB727,IF(OR($M727="Rejected",ISNUMBER($C727)),"Applied","Wishlist")),IF($M727="",IF(ISNUMBER($C727),"Applied","Wishlist"),$M727)))</f>
        <v/>
      </c>
      <c r="AF727" s="88">
        <f>IF(AND(ISNUMBER($C727),ISNUMBER($AA727)),$AA727-$C727,"")</f>
        <v/>
      </c>
      <c r="AG727" s="87">
        <f>IF($AE727="","",IFERROR(MATCH($AE727,{"Wishlist","Applied","Screening","Interview 1","Interview 2","Final","Offer","Accepted"},0)-1,""))</f>
        <v/>
      </c>
      <c r="AH727" s="87">
        <f>IF($AC727="","",MATCH($AC727,{"FOLLOW UP REQUIRED","ACTION DUE TODAY","NO RESPONSE","DUE SOON"},0)*100000+IF(ISNUMBER($O727),$O727,IF(ISNUMBER($C727),$C727,0))+ROW()/10000)</f>
        <v/>
      </c>
      <c r="AI727" s="87">
        <f>IF(AND(ISNUMBER($AG727),$AG727&gt;=1,$AG727&lt;=6,$M727&lt;&gt;"Rejected",$M727&lt;&gt;"Withdrawn"),(10-$AG727)*100000+IF(ISNUMBER($C727),$C727,0)+ROW()/10000,"")</f>
        <v/>
      </c>
    </row>
    <row r="728">
      <c r="A728" s="80" t="n"/>
      <c r="B728" s="81" t="n"/>
      <c r="C728" s="81" t="n"/>
      <c r="D728" s="82" t="n"/>
      <c r="E728" s="82" t="n"/>
      <c r="F728" s="82" t="n"/>
      <c r="G728" s="82" t="n"/>
      <c r="H728" s="82" t="n"/>
      <c r="I728" s="83" t="n"/>
      <c r="J728" s="82" t="n"/>
      <c r="K728" s="84" t="n"/>
      <c r="L728" s="85" t="n"/>
      <c r="M728" s="82" t="n"/>
      <c r="N728" s="86" t="n"/>
      <c r="O728" s="81" t="n"/>
      <c r="P728" s="82" t="n"/>
      <c r="Q728" s="83" t="n"/>
      <c r="R728" s="82" t="n"/>
      <c r="S728" s="84" t="n"/>
      <c r="T728" s="84" t="n"/>
      <c r="U728" s="82" t="n"/>
      <c r="V728" s="86" t="n"/>
      <c r="W728" s="86" t="n"/>
      <c r="X728" s="86" t="n"/>
      <c r="Y728" s="81" t="n"/>
      <c r="Z728" s="82" t="n"/>
      <c r="AA728" s="81" t="n"/>
      <c r="AB728" s="82" t="n"/>
      <c r="AC728" s="87">
        <f>IF(OR($D728="",$M728="Rejected",$M728="Withdrawn",$M728="Accepted"),"",IF(ISNUMBER($O728),IF(INT($O728)&lt;TODAY(),"FOLLOW UP REQUIRED",IF(INT($O728)=TODAY(),"ACTION DUE TODAY",IF(INT($O728)-TODAY()&lt;=Set_DueSoonDays,"DUE SOON",""))),IF(AND($M728="Applied",$AA728=""),IF(ISNUMBER($C728),IF(TODAY()-$C728&gt;=Set_FollowUpDays,"NO RESPONSE",""),""),"")))</f>
        <v/>
      </c>
      <c r="AD728" s="87">
        <f>IF(ISNUMBER($L728),IF($L728&gt;=90,"Excellent Match",IF($L728&gt;=75,"Strong Match",IF($L728&gt;=60,"Moderate Match","Low Match"))),"")</f>
        <v/>
      </c>
      <c r="AE728" s="87">
        <f>IF($D728="","",IF(OR($M728="Rejected",$M728="Withdrawn"),IF($AB728&lt;&gt;"",$AB728,IF(OR($M728="Rejected",ISNUMBER($C728)),"Applied","Wishlist")),IF($M728="",IF(ISNUMBER($C728),"Applied","Wishlist"),$M728)))</f>
        <v/>
      </c>
      <c r="AF728" s="88">
        <f>IF(AND(ISNUMBER($C728),ISNUMBER($AA728)),$AA728-$C728,"")</f>
        <v/>
      </c>
      <c r="AG728" s="87">
        <f>IF($AE728="","",IFERROR(MATCH($AE728,{"Wishlist","Applied","Screening","Interview 1","Interview 2","Final","Offer","Accepted"},0)-1,""))</f>
        <v/>
      </c>
      <c r="AH728" s="87">
        <f>IF($AC728="","",MATCH($AC728,{"FOLLOW UP REQUIRED","ACTION DUE TODAY","NO RESPONSE","DUE SOON"},0)*100000+IF(ISNUMBER($O728),$O728,IF(ISNUMBER($C728),$C728,0))+ROW()/10000)</f>
        <v/>
      </c>
      <c r="AI728" s="87">
        <f>IF(AND(ISNUMBER($AG728),$AG728&gt;=1,$AG728&lt;=6,$M728&lt;&gt;"Rejected",$M728&lt;&gt;"Withdrawn"),(10-$AG728)*100000+IF(ISNUMBER($C728),$C728,0)+ROW()/10000,"")</f>
        <v/>
      </c>
    </row>
    <row r="729">
      <c r="A729" s="80" t="n"/>
      <c r="B729" s="81" t="n"/>
      <c r="C729" s="81" t="n"/>
      <c r="D729" s="82" t="n"/>
      <c r="E729" s="82" t="n"/>
      <c r="F729" s="82" t="n"/>
      <c r="G729" s="82" t="n"/>
      <c r="H729" s="82" t="n"/>
      <c r="I729" s="83" t="n"/>
      <c r="J729" s="82" t="n"/>
      <c r="K729" s="84" t="n"/>
      <c r="L729" s="85" t="n"/>
      <c r="M729" s="82" t="n"/>
      <c r="N729" s="86" t="n"/>
      <c r="O729" s="81" t="n"/>
      <c r="P729" s="82" t="n"/>
      <c r="Q729" s="83" t="n"/>
      <c r="R729" s="82" t="n"/>
      <c r="S729" s="84" t="n"/>
      <c r="T729" s="84" t="n"/>
      <c r="U729" s="82" t="n"/>
      <c r="V729" s="86" t="n"/>
      <c r="W729" s="86" t="n"/>
      <c r="X729" s="86" t="n"/>
      <c r="Y729" s="81" t="n"/>
      <c r="Z729" s="82" t="n"/>
      <c r="AA729" s="81" t="n"/>
      <c r="AB729" s="82" t="n"/>
      <c r="AC729" s="87">
        <f>IF(OR($D729="",$M729="Rejected",$M729="Withdrawn",$M729="Accepted"),"",IF(ISNUMBER($O729),IF(INT($O729)&lt;TODAY(),"FOLLOW UP REQUIRED",IF(INT($O729)=TODAY(),"ACTION DUE TODAY",IF(INT($O729)-TODAY()&lt;=Set_DueSoonDays,"DUE SOON",""))),IF(AND($M729="Applied",$AA729=""),IF(ISNUMBER($C729),IF(TODAY()-$C729&gt;=Set_FollowUpDays,"NO RESPONSE",""),""),"")))</f>
        <v/>
      </c>
      <c r="AD729" s="87">
        <f>IF(ISNUMBER($L729),IF($L729&gt;=90,"Excellent Match",IF($L729&gt;=75,"Strong Match",IF($L729&gt;=60,"Moderate Match","Low Match"))),"")</f>
        <v/>
      </c>
      <c r="AE729" s="87">
        <f>IF($D729="","",IF(OR($M729="Rejected",$M729="Withdrawn"),IF($AB729&lt;&gt;"",$AB729,IF(OR($M729="Rejected",ISNUMBER($C729)),"Applied","Wishlist")),IF($M729="",IF(ISNUMBER($C729),"Applied","Wishlist"),$M729)))</f>
        <v/>
      </c>
      <c r="AF729" s="88">
        <f>IF(AND(ISNUMBER($C729),ISNUMBER($AA729)),$AA729-$C729,"")</f>
        <v/>
      </c>
      <c r="AG729" s="87">
        <f>IF($AE729="","",IFERROR(MATCH($AE729,{"Wishlist","Applied","Screening","Interview 1","Interview 2","Final","Offer","Accepted"},0)-1,""))</f>
        <v/>
      </c>
      <c r="AH729" s="87">
        <f>IF($AC729="","",MATCH($AC729,{"FOLLOW UP REQUIRED","ACTION DUE TODAY","NO RESPONSE","DUE SOON"},0)*100000+IF(ISNUMBER($O729),$O729,IF(ISNUMBER($C729),$C729,0))+ROW()/10000)</f>
        <v/>
      </c>
      <c r="AI729" s="87">
        <f>IF(AND(ISNUMBER($AG729),$AG729&gt;=1,$AG729&lt;=6,$M729&lt;&gt;"Rejected",$M729&lt;&gt;"Withdrawn"),(10-$AG729)*100000+IF(ISNUMBER($C729),$C729,0)+ROW()/10000,"")</f>
        <v/>
      </c>
    </row>
    <row r="730">
      <c r="A730" s="80" t="n"/>
      <c r="B730" s="81" t="n"/>
      <c r="C730" s="81" t="n"/>
      <c r="D730" s="82" t="n"/>
      <c r="E730" s="82" t="n"/>
      <c r="F730" s="82" t="n"/>
      <c r="G730" s="82" t="n"/>
      <c r="H730" s="82" t="n"/>
      <c r="I730" s="83" t="n"/>
      <c r="J730" s="82" t="n"/>
      <c r="K730" s="84" t="n"/>
      <c r="L730" s="85" t="n"/>
      <c r="M730" s="82" t="n"/>
      <c r="N730" s="86" t="n"/>
      <c r="O730" s="81" t="n"/>
      <c r="P730" s="82" t="n"/>
      <c r="Q730" s="83" t="n"/>
      <c r="R730" s="82" t="n"/>
      <c r="S730" s="84" t="n"/>
      <c r="T730" s="84" t="n"/>
      <c r="U730" s="82" t="n"/>
      <c r="V730" s="86" t="n"/>
      <c r="W730" s="86" t="n"/>
      <c r="X730" s="86" t="n"/>
      <c r="Y730" s="81" t="n"/>
      <c r="Z730" s="82" t="n"/>
      <c r="AA730" s="81" t="n"/>
      <c r="AB730" s="82" t="n"/>
      <c r="AC730" s="87">
        <f>IF(OR($D730="",$M730="Rejected",$M730="Withdrawn",$M730="Accepted"),"",IF(ISNUMBER($O730),IF(INT($O730)&lt;TODAY(),"FOLLOW UP REQUIRED",IF(INT($O730)=TODAY(),"ACTION DUE TODAY",IF(INT($O730)-TODAY()&lt;=Set_DueSoonDays,"DUE SOON",""))),IF(AND($M730="Applied",$AA730=""),IF(ISNUMBER($C730),IF(TODAY()-$C730&gt;=Set_FollowUpDays,"NO RESPONSE",""),""),"")))</f>
        <v/>
      </c>
      <c r="AD730" s="87">
        <f>IF(ISNUMBER($L730),IF($L730&gt;=90,"Excellent Match",IF($L730&gt;=75,"Strong Match",IF($L730&gt;=60,"Moderate Match","Low Match"))),"")</f>
        <v/>
      </c>
      <c r="AE730" s="87">
        <f>IF($D730="","",IF(OR($M730="Rejected",$M730="Withdrawn"),IF($AB730&lt;&gt;"",$AB730,IF(OR($M730="Rejected",ISNUMBER($C730)),"Applied","Wishlist")),IF($M730="",IF(ISNUMBER($C730),"Applied","Wishlist"),$M730)))</f>
        <v/>
      </c>
      <c r="AF730" s="88">
        <f>IF(AND(ISNUMBER($C730),ISNUMBER($AA730)),$AA730-$C730,"")</f>
        <v/>
      </c>
      <c r="AG730" s="87">
        <f>IF($AE730="","",IFERROR(MATCH($AE730,{"Wishlist","Applied","Screening","Interview 1","Interview 2","Final","Offer","Accepted"},0)-1,""))</f>
        <v/>
      </c>
      <c r="AH730" s="87">
        <f>IF($AC730="","",MATCH($AC730,{"FOLLOW UP REQUIRED","ACTION DUE TODAY","NO RESPONSE","DUE SOON"},0)*100000+IF(ISNUMBER($O730),$O730,IF(ISNUMBER($C730),$C730,0))+ROW()/10000)</f>
        <v/>
      </c>
      <c r="AI730" s="87">
        <f>IF(AND(ISNUMBER($AG730),$AG730&gt;=1,$AG730&lt;=6,$M730&lt;&gt;"Rejected",$M730&lt;&gt;"Withdrawn"),(10-$AG730)*100000+IF(ISNUMBER($C730),$C730,0)+ROW()/10000,"")</f>
        <v/>
      </c>
    </row>
    <row r="731">
      <c r="A731" s="80" t="n"/>
      <c r="B731" s="81" t="n"/>
      <c r="C731" s="81" t="n"/>
      <c r="D731" s="82" t="n"/>
      <c r="E731" s="82" t="n"/>
      <c r="F731" s="82" t="n"/>
      <c r="G731" s="82" t="n"/>
      <c r="H731" s="82" t="n"/>
      <c r="I731" s="83" t="n"/>
      <c r="J731" s="82" t="n"/>
      <c r="K731" s="84" t="n"/>
      <c r="L731" s="85" t="n"/>
      <c r="M731" s="82" t="n"/>
      <c r="N731" s="86" t="n"/>
      <c r="O731" s="81" t="n"/>
      <c r="P731" s="82" t="n"/>
      <c r="Q731" s="83" t="n"/>
      <c r="R731" s="82" t="n"/>
      <c r="S731" s="84" t="n"/>
      <c r="T731" s="84" t="n"/>
      <c r="U731" s="82" t="n"/>
      <c r="V731" s="86" t="n"/>
      <c r="W731" s="86" t="n"/>
      <c r="X731" s="86" t="n"/>
      <c r="Y731" s="81" t="n"/>
      <c r="Z731" s="82" t="n"/>
      <c r="AA731" s="81" t="n"/>
      <c r="AB731" s="82" t="n"/>
      <c r="AC731" s="87">
        <f>IF(OR($D731="",$M731="Rejected",$M731="Withdrawn",$M731="Accepted"),"",IF(ISNUMBER($O731),IF(INT($O731)&lt;TODAY(),"FOLLOW UP REQUIRED",IF(INT($O731)=TODAY(),"ACTION DUE TODAY",IF(INT($O731)-TODAY()&lt;=Set_DueSoonDays,"DUE SOON",""))),IF(AND($M731="Applied",$AA731=""),IF(ISNUMBER($C731),IF(TODAY()-$C731&gt;=Set_FollowUpDays,"NO RESPONSE",""),""),"")))</f>
        <v/>
      </c>
      <c r="AD731" s="87">
        <f>IF(ISNUMBER($L731),IF($L731&gt;=90,"Excellent Match",IF($L731&gt;=75,"Strong Match",IF($L731&gt;=60,"Moderate Match","Low Match"))),"")</f>
        <v/>
      </c>
      <c r="AE731" s="87">
        <f>IF($D731="","",IF(OR($M731="Rejected",$M731="Withdrawn"),IF($AB731&lt;&gt;"",$AB731,IF(OR($M731="Rejected",ISNUMBER($C731)),"Applied","Wishlist")),IF($M731="",IF(ISNUMBER($C731),"Applied","Wishlist"),$M731)))</f>
        <v/>
      </c>
      <c r="AF731" s="88">
        <f>IF(AND(ISNUMBER($C731),ISNUMBER($AA731)),$AA731-$C731,"")</f>
        <v/>
      </c>
      <c r="AG731" s="87">
        <f>IF($AE731="","",IFERROR(MATCH($AE731,{"Wishlist","Applied","Screening","Interview 1","Interview 2","Final","Offer","Accepted"},0)-1,""))</f>
        <v/>
      </c>
      <c r="AH731" s="87">
        <f>IF($AC731="","",MATCH($AC731,{"FOLLOW UP REQUIRED","ACTION DUE TODAY","NO RESPONSE","DUE SOON"},0)*100000+IF(ISNUMBER($O731),$O731,IF(ISNUMBER($C731),$C731,0))+ROW()/10000)</f>
        <v/>
      </c>
      <c r="AI731" s="87">
        <f>IF(AND(ISNUMBER($AG731),$AG731&gt;=1,$AG731&lt;=6,$M731&lt;&gt;"Rejected",$M731&lt;&gt;"Withdrawn"),(10-$AG731)*100000+IF(ISNUMBER($C731),$C731,0)+ROW()/10000,"")</f>
        <v/>
      </c>
    </row>
    <row r="732">
      <c r="A732" s="80" t="n"/>
      <c r="B732" s="81" t="n"/>
      <c r="C732" s="81" t="n"/>
      <c r="D732" s="82" t="n"/>
      <c r="E732" s="82" t="n"/>
      <c r="F732" s="82" t="n"/>
      <c r="G732" s="82" t="n"/>
      <c r="H732" s="82" t="n"/>
      <c r="I732" s="83" t="n"/>
      <c r="J732" s="82" t="n"/>
      <c r="K732" s="84" t="n"/>
      <c r="L732" s="85" t="n"/>
      <c r="M732" s="82" t="n"/>
      <c r="N732" s="86" t="n"/>
      <c r="O732" s="81" t="n"/>
      <c r="P732" s="82" t="n"/>
      <c r="Q732" s="83" t="n"/>
      <c r="R732" s="82" t="n"/>
      <c r="S732" s="84" t="n"/>
      <c r="T732" s="84" t="n"/>
      <c r="U732" s="82" t="n"/>
      <c r="V732" s="86" t="n"/>
      <c r="W732" s="86" t="n"/>
      <c r="X732" s="86" t="n"/>
      <c r="Y732" s="81" t="n"/>
      <c r="Z732" s="82" t="n"/>
      <c r="AA732" s="81" t="n"/>
      <c r="AB732" s="82" t="n"/>
      <c r="AC732" s="87">
        <f>IF(OR($D732="",$M732="Rejected",$M732="Withdrawn",$M732="Accepted"),"",IF(ISNUMBER($O732),IF(INT($O732)&lt;TODAY(),"FOLLOW UP REQUIRED",IF(INT($O732)=TODAY(),"ACTION DUE TODAY",IF(INT($O732)-TODAY()&lt;=Set_DueSoonDays,"DUE SOON",""))),IF(AND($M732="Applied",$AA732=""),IF(ISNUMBER($C732),IF(TODAY()-$C732&gt;=Set_FollowUpDays,"NO RESPONSE",""),""),"")))</f>
        <v/>
      </c>
      <c r="AD732" s="87">
        <f>IF(ISNUMBER($L732),IF($L732&gt;=90,"Excellent Match",IF($L732&gt;=75,"Strong Match",IF($L732&gt;=60,"Moderate Match","Low Match"))),"")</f>
        <v/>
      </c>
      <c r="AE732" s="87">
        <f>IF($D732="","",IF(OR($M732="Rejected",$M732="Withdrawn"),IF($AB732&lt;&gt;"",$AB732,IF(OR($M732="Rejected",ISNUMBER($C732)),"Applied","Wishlist")),IF($M732="",IF(ISNUMBER($C732),"Applied","Wishlist"),$M732)))</f>
        <v/>
      </c>
      <c r="AF732" s="88">
        <f>IF(AND(ISNUMBER($C732),ISNUMBER($AA732)),$AA732-$C732,"")</f>
        <v/>
      </c>
      <c r="AG732" s="87">
        <f>IF($AE732="","",IFERROR(MATCH($AE732,{"Wishlist","Applied","Screening","Interview 1","Interview 2","Final","Offer","Accepted"},0)-1,""))</f>
        <v/>
      </c>
      <c r="AH732" s="87">
        <f>IF($AC732="","",MATCH($AC732,{"FOLLOW UP REQUIRED","ACTION DUE TODAY","NO RESPONSE","DUE SOON"},0)*100000+IF(ISNUMBER($O732),$O732,IF(ISNUMBER($C732),$C732,0))+ROW()/10000)</f>
        <v/>
      </c>
      <c r="AI732" s="87">
        <f>IF(AND(ISNUMBER($AG732),$AG732&gt;=1,$AG732&lt;=6,$M732&lt;&gt;"Rejected",$M732&lt;&gt;"Withdrawn"),(10-$AG732)*100000+IF(ISNUMBER($C732),$C732,0)+ROW()/10000,"")</f>
        <v/>
      </c>
    </row>
    <row r="733">
      <c r="A733" s="80" t="n"/>
      <c r="B733" s="81" t="n"/>
      <c r="C733" s="81" t="n"/>
      <c r="D733" s="82" t="n"/>
      <c r="E733" s="82" t="n"/>
      <c r="F733" s="82" t="n"/>
      <c r="G733" s="82" t="n"/>
      <c r="H733" s="82" t="n"/>
      <c r="I733" s="83" t="n"/>
      <c r="J733" s="82" t="n"/>
      <c r="K733" s="84" t="n"/>
      <c r="L733" s="85" t="n"/>
      <c r="M733" s="82" t="n"/>
      <c r="N733" s="86" t="n"/>
      <c r="O733" s="81" t="n"/>
      <c r="P733" s="82" t="n"/>
      <c r="Q733" s="83" t="n"/>
      <c r="R733" s="82" t="n"/>
      <c r="S733" s="84" t="n"/>
      <c r="T733" s="84" t="n"/>
      <c r="U733" s="82" t="n"/>
      <c r="V733" s="86" t="n"/>
      <c r="W733" s="86" t="n"/>
      <c r="X733" s="86" t="n"/>
      <c r="Y733" s="81" t="n"/>
      <c r="Z733" s="82" t="n"/>
      <c r="AA733" s="81" t="n"/>
      <c r="AB733" s="82" t="n"/>
      <c r="AC733" s="87">
        <f>IF(OR($D733="",$M733="Rejected",$M733="Withdrawn",$M733="Accepted"),"",IF(ISNUMBER($O733),IF(INT($O733)&lt;TODAY(),"FOLLOW UP REQUIRED",IF(INT($O733)=TODAY(),"ACTION DUE TODAY",IF(INT($O733)-TODAY()&lt;=Set_DueSoonDays,"DUE SOON",""))),IF(AND($M733="Applied",$AA733=""),IF(ISNUMBER($C733),IF(TODAY()-$C733&gt;=Set_FollowUpDays,"NO RESPONSE",""),""),"")))</f>
        <v/>
      </c>
      <c r="AD733" s="87">
        <f>IF(ISNUMBER($L733),IF($L733&gt;=90,"Excellent Match",IF($L733&gt;=75,"Strong Match",IF($L733&gt;=60,"Moderate Match","Low Match"))),"")</f>
        <v/>
      </c>
      <c r="AE733" s="87">
        <f>IF($D733="","",IF(OR($M733="Rejected",$M733="Withdrawn"),IF($AB733&lt;&gt;"",$AB733,IF(OR($M733="Rejected",ISNUMBER($C733)),"Applied","Wishlist")),IF($M733="",IF(ISNUMBER($C733),"Applied","Wishlist"),$M733)))</f>
        <v/>
      </c>
      <c r="AF733" s="88">
        <f>IF(AND(ISNUMBER($C733),ISNUMBER($AA733)),$AA733-$C733,"")</f>
        <v/>
      </c>
      <c r="AG733" s="87">
        <f>IF($AE733="","",IFERROR(MATCH($AE733,{"Wishlist","Applied","Screening","Interview 1","Interview 2","Final","Offer","Accepted"},0)-1,""))</f>
        <v/>
      </c>
      <c r="AH733" s="87">
        <f>IF($AC733="","",MATCH($AC733,{"FOLLOW UP REQUIRED","ACTION DUE TODAY","NO RESPONSE","DUE SOON"},0)*100000+IF(ISNUMBER($O733),$O733,IF(ISNUMBER($C733),$C733,0))+ROW()/10000)</f>
        <v/>
      </c>
      <c r="AI733" s="87">
        <f>IF(AND(ISNUMBER($AG733),$AG733&gt;=1,$AG733&lt;=6,$M733&lt;&gt;"Rejected",$M733&lt;&gt;"Withdrawn"),(10-$AG733)*100000+IF(ISNUMBER($C733),$C733,0)+ROW()/10000,"")</f>
        <v/>
      </c>
    </row>
    <row r="734">
      <c r="A734" s="80" t="n"/>
      <c r="B734" s="81" t="n"/>
      <c r="C734" s="81" t="n"/>
      <c r="D734" s="82" t="n"/>
      <c r="E734" s="82" t="n"/>
      <c r="F734" s="82" t="n"/>
      <c r="G734" s="82" t="n"/>
      <c r="H734" s="82" t="n"/>
      <c r="I734" s="83" t="n"/>
      <c r="J734" s="82" t="n"/>
      <c r="K734" s="84" t="n"/>
      <c r="L734" s="85" t="n"/>
      <c r="M734" s="82" t="n"/>
      <c r="N734" s="86" t="n"/>
      <c r="O734" s="81" t="n"/>
      <c r="P734" s="82" t="n"/>
      <c r="Q734" s="83" t="n"/>
      <c r="R734" s="82" t="n"/>
      <c r="S734" s="84" t="n"/>
      <c r="T734" s="84" t="n"/>
      <c r="U734" s="82" t="n"/>
      <c r="V734" s="86" t="n"/>
      <c r="W734" s="86" t="n"/>
      <c r="X734" s="86" t="n"/>
      <c r="Y734" s="81" t="n"/>
      <c r="Z734" s="82" t="n"/>
      <c r="AA734" s="81" t="n"/>
      <c r="AB734" s="82" t="n"/>
      <c r="AC734" s="87">
        <f>IF(OR($D734="",$M734="Rejected",$M734="Withdrawn",$M734="Accepted"),"",IF(ISNUMBER($O734),IF(INT($O734)&lt;TODAY(),"FOLLOW UP REQUIRED",IF(INT($O734)=TODAY(),"ACTION DUE TODAY",IF(INT($O734)-TODAY()&lt;=Set_DueSoonDays,"DUE SOON",""))),IF(AND($M734="Applied",$AA734=""),IF(ISNUMBER($C734),IF(TODAY()-$C734&gt;=Set_FollowUpDays,"NO RESPONSE",""),""),"")))</f>
        <v/>
      </c>
      <c r="AD734" s="87">
        <f>IF(ISNUMBER($L734),IF($L734&gt;=90,"Excellent Match",IF($L734&gt;=75,"Strong Match",IF($L734&gt;=60,"Moderate Match","Low Match"))),"")</f>
        <v/>
      </c>
      <c r="AE734" s="87">
        <f>IF($D734="","",IF(OR($M734="Rejected",$M734="Withdrawn"),IF($AB734&lt;&gt;"",$AB734,IF(OR($M734="Rejected",ISNUMBER($C734)),"Applied","Wishlist")),IF($M734="",IF(ISNUMBER($C734),"Applied","Wishlist"),$M734)))</f>
        <v/>
      </c>
      <c r="AF734" s="88">
        <f>IF(AND(ISNUMBER($C734),ISNUMBER($AA734)),$AA734-$C734,"")</f>
        <v/>
      </c>
      <c r="AG734" s="87">
        <f>IF($AE734="","",IFERROR(MATCH($AE734,{"Wishlist","Applied","Screening","Interview 1","Interview 2","Final","Offer","Accepted"},0)-1,""))</f>
        <v/>
      </c>
      <c r="AH734" s="87">
        <f>IF($AC734="","",MATCH($AC734,{"FOLLOW UP REQUIRED","ACTION DUE TODAY","NO RESPONSE","DUE SOON"},0)*100000+IF(ISNUMBER($O734),$O734,IF(ISNUMBER($C734),$C734,0))+ROW()/10000)</f>
        <v/>
      </c>
      <c r="AI734" s="87">
        <f>IF(AND(ISNUMBER($AG734),$AG734&gt;=1,$AG734&lt;=6,$M734&lt;&gt;"Rejected",$M734&lt;&gt;"Withdrawn"),(10-$AG734)*100000+IF(ISNUMBER($C734),$C734,0)+ROW()/10000,"")</f>
        <v/>
      </c>
    </row>
    <row r="735">
      <c r="A735" s="80" t="n"/>
      <c r="B735" s="81" t="n"/>
      <c r="C735" s="81" t="n"/>
      <c r="D735" s="82" t="n"/>
      <c r="E735" s="82" t="n"/>
      <c r="F735" s="82" t="n"/>
      <c r="G735" s="82" t="n"/>
      <c r="H735" s="82" t="n"/>
      <c r="I735" s="83" t="n"/>
      <c r="J735" s="82" t="n"/>
      <c r="K735" s="84" t="n"/>
      <c r="L735" s="85" t="n"/>
      <c r="M735" s="82" t="n"/>
      <c r="N735" s="86" t="n"/>
      <c r="O735" s="81" t="n"/>
      <c r="P735" s="82" t="n"/>
      <c r="Q735" s="83" t="n"/>
      <c r="R735" s="82" t="n"/>
      <c r="S735" s="84" t="n"/>
      <c r="T735" s="84" t="n"/>
      <c r="U735" s="82" t="n"/>
      <c r="V735" s="86" t="n"/>
      <c r="W735" s="86" t="n"/>
      <c r="X735" s="86" t="n"/>
      <c r="Y735" s="81" t="n"/>
      <c r="Z735" s="82" t="n"/>
      <c r="AA735" s="81" t="n"/>
      <c r="AB735" s="82" t="n"/>
      <c r="AC735" s="87">
        <f>IF(OR($D735="",$M735="Rejected",$M735="Withdrawn",$M735="Accepted"),"",IF(ISNUMBER($O735),IF(INT($O735)&lt;TODAY(),"FOLLOW UP REQUIRED",IF(INT($O735)=TODAY(),"ACTION DUE TODAY",IF(INT($O735)-TODAY()&lt;=Set_DueSoonDays,"DUE SOON",""))),IF(AND($M735="Applied",$AA735=""),IF(ISNUMBER($C735),IF(TODAY()-$C735&gt;=Set_FollowUpDays,"NO RESPONSE",""),""),"")))</f>
        <v/>
      </c>
      <c r="AD735" s="87">
        <f>IF(ISNUMBER($L735),IF($L735&gt;=90,"Excellent Match",IF($L735&gt;=75,"Strong Match",IF($L735&gt;=60,"Moderate Match","Low Match"))),"")</f>
        <v/>
      </c>
      <c r="AE735" s="87">
        <f>IF($D735="","",IF(OR($M735="Rejected",$M735="Withdrawn"),IF($AB735&lt;&gt;"",$AB735,IF(OR($M735="Rejected",ISNUMBER($C735)),"Applied","Wishlist")),IF($M735="",IF(ISNUMBER($C735),"Applied","Wishlist"),$M735)))</f>
        <v/>
      </c>
      <c r="AF735" s="88">
        <f>IF(AND(ISNUMBER($C735),ISNUMBER($AA735)),$AA735-$C735,"")</f>
        <v/>
      </c>
      <c r="AG735" s="87">
        <f>IF($AE735="","",IFERROR(MATCH($AE735,{"Wishlist","Applied","Screening","Interview 1","Interview 2","Final","Offer","Accepted"},0)-1,""))</f>
        <v/>
      </c>
      <c r="AH735" s="87">
        <f>IF($AC735="","",MATCH($AC735,{"FOLLOW UP REQUIRED","ACTION DUE TODAY","NO RESPONSE","DUE SOON"},0)*100000+IF(ISNUMBER($O735),$O735,IF(ISNUMBER($C735),$C735,0))+ROW()/10000)</f>
        <v/>
      </c>
      <c r="AI735" s="87">
        <f>IF(AND(ISNUMBER($AG735),$AG735&gt;=1,$AG735&lt;=6,$M735&lt;&gt;"Rejected",$M735&lt;&gt;"Withdrawn"),(10-$AG735)*100000+IF(ISNUMBER($C735),$C735,0)+ROW()/10000,"")</f>
        <v/>
      </c>
    </row>
    <row r="736">
      <c r="A736" s="80" t="n"/>
      <c r="B736" s="81" t="n"/>
      <c r="C736" s="81" t="n"/>
      <c r="D736" s="82" t="n"/>
      <c r="E736" s="82" t="n"/>
      <c r="F736" s="82" t="n"/>
      <c r="G736" s="82" t="n"/>
      <c r="H736" s="82" t="n"/>
      <c r="I736" s="83" t="n"/>
      <c r="J736" s="82" t="n"/>
      <c r="K736" s="84" t="n"/>
      <c r="L736" s="85" t="n"/>
      <c r="M736" s="82" t="n"/>
      <c r="N736" s="86" t="n"/>
      <c r="O736" s="81" t="n"/>
      <c r="P736" s="82" t="n"/>
      <c r="Q736" s="83" t="n"/>
      <c r="R736" s="82" t="n"/>
      <c r="S736" s="84" t="n"/>
      <c r="T736" s="84" t="n"/>
      <c r="U736" s="82" t="n"/>
      <c r="V736" s="86" t="n"/>
      <c r="W736" s="86" t="n"/>
      <c r="X736" s="86" t="n"/>
      <c r="Y736" s="81" t="n"/>
      <c r="Z736" s="82" t="n"/>
      <c r="AA736" s="81" t="n"/>
      <c r="AB736" s="82" t="n"/>
      <c r="AC736" s="87">
        <f>IF(OR($D736="",$M736="Rejected",$M736="Withdrawn",$M736="Accepted"),"",IF(ISNUMBER($O736),IF(INT($O736)&lt;TODAY(),"FOLLOW UP REQUIRED",IF(INT($O736)=TODAY(),"ACTION DUE TODAY",IF(INT($O736)-TODAY()&lt;=Set_DueSoonDays,"DUE SOON",""))),IF(AND($M736="Applied",$AA736=""),IF(ISNUMBER($C736),IF(TODAY()-$C736&gt;=Set_FollowUpDays,"NO RESPONSE",""),""),"")))</f>
        <v/>
      </c>
      <c r="AD736" s="87">
        <f>IF(ISNUMBER($L736),IF($L736&gt;=90,"Excellent Match",IF($L736&gt;=75,"Strong Match",IF($L736&gt;=60,"Moderate Match","Low Match"))),"")</f>
        <v/>
      </c>
      <c r="AE736" s="87">
        <f>IF($D736="","",IF(OR($M736="Rejected",$M736="Withdrawn"),IF($AB736&lt;&gt;"",$AB736,IF(OR($M736="Rejected",ISNUMBER($C736)),"Applied","Wishlist")),IF($M736="",IF(ISNUMBER($C736),"Applied","Wishlist"),$M736)))</f>
        <v/>
      </c>
      <c r="AF736" s="88">
        <f>IF(AND(ISNUMBER($C736),ISNUMBER($AA736)),$AA736-$C736,"")</f>
        <v/>
      </c>
      <c r="AG736" s="87">
        <f>IF($AE736="","",IFERROR(MATCH($AE736,{"Wishlist","Applied","Screening","Interview 1","Interview 2","Final","Offer","Accepted"},0)-1,""))</f>
        <v/>
      </c>
      <c r="AH736" s="87">
        <f>IF($AC736="","",MATCH($AC736,{"FOLLOW UP REQUIRED","ACTION DUE TODAY","NO RESPONSE","DUE SOON"},0)*100000+IF(ISNUMBER($O736),$O736,IF(ISNUMBER($C736),$C736,0))+ROW()/10000)</f>
        <v/>
      </c>
      <c r="AI736" s="87">
        <f>IF(AND(ISNUMBER($AG736),$AG736&gt;=1,$AG736&lt;=6,$M736&lt;&gt;"Rejected",$M736&lt;&gt;"Withdrawn"),(10-$AG736)*100000+IF(ISNUMBER($C736),$C736,0)+ROW()/10000,"")</f>
        <v/>
      </c>
    </row>
    <row r="737">
      <c r="A737" s="80" t="n"/>
      <c r="B737" s="81" t="n"/>
      <c r="C737" s="81" t="n"/>
      <c r="D737" s="82" t="n"/>
      <c r="E737" s="82" t="n"/>
      <c r="F737" s="82" t="n"/>
      <c r="G737" s="82" t="n"/>
      <c r="H737" s="82" t="n"/>
      <c r="I737" s="83" t="n"/>
      <c r="J737" s="82" t="n"/>
      <c r="K737" s="84" t="n"/>
      <c r="L737" s="85" t="n"/>
      <c r="M737" s="82" t="n"/>
      <c r="N737" s="86" t="n"/>
      <c r="O737" s="81" t="n"/>
      <c r="P737" s="82" t="n"/>
      <c r="Q737" s="83" t="n"/>
      <c r="R737" s="82" t="n"/>
      <c r="S737" s="84" t="n"/>
      <c r="T737" s="84" t="n"/>
      <c r="U737" s="82" t="n"/>
      <c r="V737" s="86" t="n"/>
      <c r="W737" s="86" t="n"/>
      <c r="X737" s="86" t="n"/>
      <c r="Y737" s="81" t="n"/>
      <c r="Z737" s="82" t="n"/>
      <c r="AA737" s="81" t="n"/>
      <c r="AB737" s="82" t="n"/>
      <c r="AC737" s="87">
        <f>IF(OR($D737="",$M737="Rejected",$M737="Withdrawn",$M737="Accepted"),"",IF(ISNUMBER($O737),IF(INT($O737)&lt;TODAY(),"FOLLOW UP REQUIRED",IF(INT($O737)=TODAY(),"ACTION DUE TODAY",IF(INT($O737)-TODAY()&lt;=Set_DueSoonDays,"DUE SOON",""))),IF(AND($M737="Applied",$AA737=""),IF(ISNUMBER($C737),IF(TODAY()-$C737&gt;=Set_FollowUpDays,"NO RESPONSE",""),""),"")))</f>
        <v/>
      </c>
      <c r="AD737" s="87">
        <f>IF(ISNUMBER($L737),IF($L737&gt;=90,"Excellent Match",IF($L737&gt;=75,"Strong Match",IF($L737&gt;=60,"Moderate Match","Low Match"))),"")</f>
        <v/>
      </c>
      <c r="AE737" s="87">
        <f>IF($D737="","",IF(OR($M737="Rejected",$M737="Withdrawn"),IF($AB737&lt;&gt;"",$AB737,IF(OR($M737="Rejected",ISNUMBER($C737)),"Applied","Wishlist")),IF($M737="",IF(ISNUMBER($C737),"Applied","Wishlist"),$M737)))</f>
        <v/>
      </c>
      <c r="AF737" s="88">
        <f>IF(AND(ISNUMBER($C737),ISNUMBER($AA737)),$AA737-$C737,"")</f>
        <v/>
      </c>
      <c r="AG737" s="87">
        <f>IF($AE737="","",IFERROR(MATCH($AE737,{"Wishlist","Applied","Screening","Interview 1","Interview 2","Final","Offer","Accepted"},0)-1,""))</f>
        <v/>
      </c>
      <c r="AH737" s="87">
        <f>IF($AC737="","",MATCH($AC737,{"FOLLOW UP REQUIRED","ACTION DUE TODAY","NO RESPONSE","DUE SOON"},0)*100000+IF(ISNUMBER($O737),$O737,IF(ISNUMBER($C737),$C737,0))+ROW()/10000)</f>
        <v/>
      </c>
      <c r="AI737" s="87">
        <f>IF(AND(ISNUMBER($AG737),$AG737&gt;=1,$AG737&lt;=6,$M737&lt;&gt;"Rejected",$M737&lt;&gt;"Withdrawn"),(10-$AG737)*100000+IF(ISNUMBER($C737),$C737,0)+ROW()/10000,"")</f>
        <v/>
      </c>
    </row>
    <row r="738">
      <c r="A738" s="80" t="n"/>
      <c r="B738" s="81" t="n"/>
      <c r="C738" s="81" t="n"/>
      <c r="D738" s="82" t="n"/>
      <c r="E738" s="82" t="n"/>
      <c r="F738" s="82" t="n"/>
      <c r="G738" s="82" t="n"/>
      <c r="H738" s="82" t="n"/>
      <c r="I738" s="83" t="n"/>
      <c r="J738" s="82" t="n"/>
      <c r="K738" s="84" t="n"/>
      <c r="L738" s="85" t="n"/>
      <c r="M738" s="82" t="n"/>
      <c r="N738" s="86" t="n"/>
      <c r="O738" s="81" t="n"/>
      <c r="P738" s="82" t="n"/>
      <c r="Q738" s="83" t="n"/>
      <c r="R738" s="82" t="n"/>
      <c r="S738" s="84" t="n"/>
      <c r="T738" s="84" t="n"/>
      <c r="U738" s="82" t="n"/>
      <c r="V738" s="86" t="n"/>
      <c r="W738" s="86" t="n"/>
      <c r="X738" s="86" t="n"/>
      <c r="Y738" s="81" t="n"/>
      <c r="Z738" s="82" t="n"/>
      <c r="AA738" s="81" t="n"/>
      <c r="AB738" s="82" t="n"/>
      <c r="AC738" s="87">
        <f>IF(OR($D738="",$M738="Rejected",$M738="Withdrawn",$M738="Accepted"),"",IF(ISNUMBER($O738),IF(INT($O738)&lt;TODAY(),"FOLLOW UP REQUIRED",IF(INT($O738)=TODAY(),"ACTION DUE TODAY",IF(INT($O738)-TODAY()&lt;=Set_DueSoonDays,"DUE SOON",""))),IF(AND($M738="Applied",$AA738=""),IF(ISNUMBER($C738),IF(TODAY()-$C738&gt;=Set_FollowUpDays,"NO RESPONSE",""),""),"")))</f>
        <v/>
      </c>
      <c r="AD738" s="87">
        <f>IF(ISNUMBER($L738),IF($L738&gt;=90,"Excellent Match",IF($L738&gt;=75,"Strong Match",IF($L738&gt;=60,"Moderate Match","Low Match"))),"")</f>
        <v/>
      </c>
      <c r="AE738" s="87">
        <f>IF($D738="","",IF(OR($M738="Rejected",$M738="Withdrawn"),IF($AB738&lt;&gt;"",$AB738,IF(OR($M738="Rejected",ISNUMBER($C738)),"Applied","Wishlist")),IF($M738="",IF(ISNUMBER($C738),"Applied","Wishlist"),$M738)))</f>
        <v/>
      </c>
      <c r="AF738" s="88">
        <f>IF(AND(ISNUMBER($C738),ISNUMBER($AA738)),$AA738-$C738,"")</f>
        <v/>
      </c>
      <c r="AG738" s="87">
        <f>IF($AE738="","",IFERROR(MATCH($AE738,{"Wishlist","Applied","Screening","Interview 1","Interview 2","Final","Offer","Accepted"},0)-1,""))</f>
        <v/>
      </c>
      <c r="AH738" s="87">
        <f>IF($AC738="","",MATCH($AC738,{"FOLLOW UP REQUIRED","ACTION DUE TODAY","NO RESPONSE","DUE SOON"},0)*100000+IF(ISNUMBER($O738),$O738,IF(ISNUMBER($C738),$C738,0))+ROW()/10000)</f>
        <v/>
      </c>
      <c r="AI738" s="87">
        <f>IF(AND(ISNUMBER($AG738),$AG738&gt;=1,$AG738&lt;=6,$M738&lt;&gt;"Rejected",$M738&lt;&gt;"Withdrawn"),(10-$AG738)*100000+IF(ISNUMBER($C738),$C738,0)+ROW()/10000,"")</f>
        <v/>
      </c>
    </row>
    <row r="739">
      <c r="A739" s="80" t="n"/>
      <c r="B739" s="81" t="n"/>
      <c r="C739" s="81" t="n"/>
      <c r="D739" s="82" t="n"/>
      <c r="E739" s="82" t="n"/>
      <c r="F739" s="82" t="n"/>
      <c r="G739" s="82" t="n"/>
      <c r="H739" s="82" t="n"/>
      <c r="I739" s="83" t="n"/>
      <c r="J739" s="82" t="n"/>
      <c r="K739" s="84" t="n"/>
      <c r="L739" s="85" t="n"/>
      <c r="M739" s="82" t="n"/>
      <c r="N739" s="86" t="n"/>
      <c r="O739" s="81" t="n"/>
      <c r="P739" s="82" t="n"/>
      <c r="Q739" s="83" t="n"/>
      <c r="R739" s="82" t="n"/>
      <c r="S739" s="84" t="n"/>
      <c r="T739" s="84" t="n"/>
      <c r="U739" s="82" t="n"/>
      <c r="V739" s="86" t="n"/>
      <c r="W739" s="86" t="n"/>
      <c r="X739" s="86" t="n"/>
      <c r="Y739" s="81" t="n"/>
      <c r="Z739" s="82" t="n"/>
      <c r="AA739" s="81" t="n"/>
      <c r="AB739" s="82" t="n"/>
      <c r="AC739" s="87">
        <f>IF(OR($D739="",$M739="Rejected",$M739="Withdrawn",$M739="Accepted"),"",IF(ISNUMBER($O739),IF(INT($O739)&lt;TODAY(),"FOLLOW UP REQUIRED",IF(INT($O739)=TODAY(),"ACTION DUE TODAY",IF(INT($O739)-TODAY()&lt;=Set_DueSoonDays,"DUE SOON",""))),IF(AND($M739="Applied",$AA739=""),IF(ISNUMBER($C739),IF(TODAY()-$C739&gt;=Set_FollowUpDays,"NO RESPONSE",""),""),"")))</f>
        <v/>
      </c>
      <c r="AD739" s="87">
        <f>IF(ISNUMBER($L739),IF($L739&gt;=90,"Excellent Match",IF($L739&gt;=75,"Strong Match",IF($L739&gt;=60,"Moderate Match","Low Match"))),"")</f>
        <v/>
      </c>
      <c r="AE739" s="87">
        <f>IF($D739="","",IF(OR($M739="Rejected",$M739="Withdrawn"),IF($AB739&lt;&gt;"",$AB739,IF(OR($M739="Rejected",ISNUMBER($C739)),"Applied","Wishlist")),IF($M739="",IF(ISNUMBER($C739),"Applied","Wishlist"),$M739)))</f>
        <v/>
      </c>
      <c r="AF739" s="88">
        <f>IF(AND(ISNUMBER($C739),ISNUMBER($AA739)),$AA739-$C739,"")</f>
        <v/>
      </c>
      <c r="AG739" s="87">
        <f>IF($AE739="","",IFERROR(MATCH($AE739,{"Wishlist","Applied","Screening","Interview 1","Interview 2","Final","Offer","Accepted"},0)-1,""))</f>
        <v/>
      </c>
      <c r="AH739" s="87">
        <f>IF($AC739="","",MATCH($AC739,{"FOLLOW UP REQUIRED","ACTION DUE TODAY","NO RESPONSE","DUE SOON"},0)*100000+IF(ISNUMBER($O739),$O739,IF(ISNUMBER($C739),$C739,0))+ROW()/10000)</f>
        <v/>
      </c>
      <c r="AI739" s="87">
        <f>IF(AND(ISNUMBER($AG739),$AG739&gt;=1,$AG739&lt;=6,$M739&lt;&gt;"Rejected",$M739&lt;&gt;"Withdrawn"),(10-$AG739)*100000+IF(ISNUMBER($C739),$C739,0)+ROW()/10000,"")</f>
        <v/>
      </c>
    </row>
    <row r="740">
      <c r="A740" s="80" t="n"/>
      <c r="B740" s="81" t="n"/>
      <c r="C740" s="81" t="n"/>
      <c r="D740" s="82" t="n"/>
      <c r="E740" s="82" t="n"/>
      <c r="F740" s="82" t="n"/>
      <c r="G740" s="82" t="n"/>
      <c r="H740" s="82" t="n"/>
      <c r="I740" s="83" t="n"/>
      <c r="J740" s="82" t="n"/>
      <c r="K740" s="84" t="n"/>
      <c r="L740" s="85" t="n"/>
      <c r="M740" s="82" t="n"/>
      <c r="N740" s="86" t="n"/>
      <c r="O740" s="81" t="n"/>
      <c r="P740" s="82" t="n"/>
      <c r="Q740" s="83" t="n"/>
      <c r="R740" s="82" t="n"/>
      <c r="S740" s="84" t="n"/>
      <c r="T740" s="84" t="n"/>
      <c r="U740" s="82" t="n"/>
      <c r="V740" s="86" t="n"/>
      <c r="W740" s="86" t="n"/>
      <c r="X740" s="86" t="n"/>
      <c r="Y740" s="81" t="n"/>
      <c r="Z740" s="82" t="n"/>
      <c r="AA740" s="81" t="n"/>
      <c r="AB740" s="82" t="n"/>
      <c r="AC740" s="87">
        <f>IF(OR($D740="",$M740="Rejected",$M740="Withdrawn",$M740="Accepted"),"",IF(ISNUMBER($O740),IF(INT($O740)&lt;TODAY(),"FOLLOW UP REQUIRED",IF(INT($O740)=TODAY(),"ACTION DUE TODAY",IF(INT($O740)-TODAY()&lt;=Set_DueSoonDays,"DUE SOON",""))),IF(AND($M740="Applied",$AA740=""),IF(ISNUMBER($C740),IF(TODAY()-$C740&gt;=Set_FollowUpDays,"NO RESPONSE",""),""),"")))</f>
        <v/>
      </c>
      <c r="AD740" s="87">
        <f>IF(ISNUMBER($L740),IF($L740&gt;=90,"Excellent Match",IF($L740&gt;=75,"Strong Match",IF($L740&gt;=60,"Moderate Match","Low Match"))),"")</f>
        <v/>
      </c>
      <c r="AE740" s="87">
        <f>IF($D740="","",IF(OR($M740="Rejected",$M740="Withdrawn"),IF($AB740&lt;&gt;"",$AB740,IF(OR($M740="Rejected",ISNUMBER($C740)),"Applied","Wishlist")),IF($M740="",IF(ISNUMBER($C740),"Applied","Wishlist"),$M740)))</f>
        <v/>
      </c>
      <c r="AF740" s="88">
        <f>IF(AND(ISNUMBER($C740),ISNUMBER($AA740)),$AA740-$C740,"")</f>
        <v/>
      </c>
      <c r="AG740" s="87">
        <f>IF($AE740="","",IFERROR(MATCH($AE740,{"Wishlist","Applied","Screening","Interview 1","Interview 2","Final","Offer","Accepted"},0)-1,""))</f>
        <v/>
      </c>
      <c r="AH740" s="87">
        <f>IF($AC740="","",MATCH($AC740,{"FOLLOW UP REQUIRED","ACTION DUE TODAY","NO RESPONSE","DUE SOON"},0)*100000+IF(ISNUMBER($O740),$O740,IF(ISNUMBER($C740),$C740,0))+ROW()/10000)</f>
        <v/>
      </c>
      <c r="AI740" s="87">
        <f>IF(AND(ISNUMBER($AG740),$AG740&gt;=1,$AG740&lt;=6,$M740&lt;&gt;"Rejected",$M740&lt;&gt;"Withdrawn"),(10-$AG740)*100000+IF(ISNUMBER($C740),$C740,0)+ROW()/10000,"")</f>
        <v/>
      </c>
    </row>
    <row r="741">
      <c r="A741" s="80" t="n"/>
      <c r="B741" s="81" t="n"/>
      <c r="C741" s="81" t="n"/>
      <c r="D741" s="82" t="n"/>
      <c r="E741" s="82" t="n"/>
      <c r="F741" s="82" t="n"/>
      <c r="G741" s="82" t="n"/>
      <c r="H741" s="82" t="n"/>
      <c r="I741" s="83" t="n"/>
      <c r="J741" s="82" t="n"/>
      <c r="K741" s="84" t="n"/>
      <c r="L741" s="85" t="n"/>
      <c r="M741" s="82" t="n"/>
      <c r="N741" s="86" t="n"/>
      <c r="O741" s="81" t="n"/>
      <c r="P741" s="82" t="n"/>
      <c r="Q741" s="83" t="n"/>
      <c r="R741" s="82" t="n"/>
      <c r="S741" s="84" t="n"/>
      <c r="T741" s="84" t="n"/>
      <c r="U741" s="82" t="n"/>
      <c r="V741" s="86" t="n"/>
      <c r="W741" s="86" t="n"/>
      <c r="X741" s="86" t="n"/>
      <c r="Y741" s="81" t="n"/>
      <c r="Z741" s="82" t="n"/>
      <c r="AA741" s="81" t="n"/>
      <c r="AB741" s="82" t="n"/>
      <c r="AC741" s="87">
        <f>IF(OR($D741="",$M741="Rejected",$M741="Withdrawn",$M741="Accepted"),"",IF(ISNUMBER($O741),IF(INT($O741)&lt;TODAY(),"FOLLOW UP REQUIRED",IF(INT($O741)=TODAY(),"ACTION DUE TODAY",IF(INT($O741)-TODAY()&lt;=Set_DueSoonDays,"DUE SOON",""))),IF(AND($M741="Applied",$AA741=""),IF(ISNUMBER($C741),IF(TODAY()-$C741&gt;=Set_FollowUpDays,"NO RESPONSE",""),""),"")))</f>
        <v/>
      </c>
      <c r="AD741" s="87">
        <f>IF(ISNUMBER($L741),IF($L741&gt;=90,"Excellent Match",IF($L741&gt;=75,"Strong Match",IF($L741&gt;=60,"Moderate Match","Low Match"))),"")</f>
        <v/>
      </c>
      <c r="AE741" s="87">
        <f>IF($D741="","",IF(OR($M741="Rejected",$M741="Withdrawn"),IF($AB741&lt;&gt;"",$AB741,IF(OR($M741="Rejected",ISNUMBER($C741)),"Applied","Wishlist")),IF($M741="",IF(ISNUMBER($C741),"Applied","Wishlist"),$M741)))</f>
        <v/>
      </c>
      <c r="AF741" s="88">
        <f>IF(AND(ISNUMBER($C741),ISNUMBER($AA741)),$AA741-$C741,"")</f>
        <v/>
      </c>
      <c r="AG741" s="87">
        <f>IF($AE741="","",IFERROR(MATCH($AE741,{"Wishlist","Applied","Screening","Interview 1","Interview 2","Final","Offer","Accepted"},0)-1,""))</f>
        <v/>
      </c>
      <c r="AH741" s="87">
        <f>IF($AC741="","",MATCH($AC741,{"FOLLOW UP REQUIRED","ACTION DUE TODAY","NO RESPONSE","DUE SOON"},0)*100000+IF(ISNUMBER($O741),$O741,IF(ISNUMBER($C741),$C741,0))+ROW()/10000)</f>
        <v/>
      </c>
      <c r="AI741" s="87">
        <f>IF(AND(ISNUMBER($AG741),$AG741&gt;=1,$AG741&lt;=6,$M741&lt;&gt;"Rejected",$M741&lt;&gt;"Withdrawn"),(10-$AG741)*100000+IF(ISNUMBER($C741),$C741,0)+ROW()/10000,"")</f>
        <v/>
      </c>
    </row>
    <row r="742">
      <c r="A742" s="80" t="n"/>
      <c r="B742" s="81" t="n"/>
      <c r="C742" s="81" t="n"/>
      <c r="D742" s="82" t="n"/>
      <c r="E742" s="82" t="n"/>
      <c r="F742" s="82" t="n"/>
      <c r="G742" s="82" t="n"/>
      <c r="H742" s="82" t="n"/>
      <c r="I742" s="83" t="n"/>
      <c r="J742" s="82" t="n"/>
      <c r="K742" s="84" t="n"/>
      <c r="L742" s="85" t="n"/>
      <c r="M742" s="82" t="n"/>
      <c r="N742" s="86" t="n"/>
      <c r="O742" s="81" t="n"/>
      <c r="P742" s="82" t="n"/>
      <c r="Q742" s="83" t="n"/>
      <c r="R742" s="82" t="n"/>
      <c r="S742" s="84" t="n"/>
      <c r="T742" s="84" t="n"/>
      <c r="U742" s="82" t="n"/>
      <c r="V742" s="86" t="n"/>
      <c r="W742" s="86" t="n"/>
      <c r="X742" s="86" t="n"/>
      <c r="Y742" s="81" t="n"/>
      <c r="Z742" s="82" t="n"/>
      <c r="AA742" s="81" t="n"/>
      <c r="AB742" s="82" t="n"/>
      <c r="AC742" s="87">
        <f>IF(OR($D742="",$M742="Rejected",$M742="Withdrawn",$M742="Accepted"),"",IF(ISNUMBER($O742),IF(INT($O742)&lt;TODAY(),"FOLLOW UP REQUIRED",IF(INT($O742)=TODAY(),"ACTION DUE TODAY",IF(INT($O742)-TODAY()&lt;=Set_DueSoonDays,"DUE SOON",""))),IF(AND($M742="Applied",$AA742=""),IF(ISNUMBER($C742),IF(TODAY()-$C742&gt;=Set_FollowUpDays,"NO RESPONSE",""),""),"")))</f>
        <v/>
      </c>
      <c r="AD742" s="87">
        <f>IF(ISNUMBER($L742),IF($L742&gt;=90,"Excellent Match",IF($L742&gt;=75,"Strong Match",IF($L742&gt;=60,"Moderate Match","Low Match"))),"")</f>
        <v/>
      </c>
      <c r="AE742" s="87">
        <f>IF($D742="","",IF(OR($M742="Rejected",$M742="Withdrawn"),IF($AB742&lt;&gt;"",$AB742,IF(OR($M742="Rejected",ISNUMBER($C742)),"Applied","Wishlist")),IF($M742="",IF(ISNUMBER($C742),"Applied","Wishlist"),$M742)))</f>
        <v/>
      </c>
      <c r="AF742" s="88">
        <f>IF(AND(ISNUMBER($C742),ISNUMBER($AA742)),$AA742-$C742,"")</f>
        <v/>
      </c>
      <c r="AG742" s="87">
        <f>IF($AE742="","",IFERROR(MATCH($AE742,{"Wishlist","Applied","Screening","Interview 1","Interview 2","Final","Offer","Accepted"},0)-1,""))</f>
        <v/>
      </c>
      <c r="AH742" s="87">
        <f>IF($AC742="","",MATCH($AC742,{"FOLLOW UP REQUIRED","ACTION DUE TODAY","NO RESPONSE","DUE SOON"},0)*100000+IF(ISNUMBER($O742),$O742,IF(ISNUMBER($C742),$C742,0))+ROW()/10000)</f>
        <v/>
      </c>
      <c r="AI742" s="87">
        <f>IF(AND(ISNUMBER($AG742),$AG742&gt;=1,$AG742&lt;=6,$M742&lt;&gt;"Rejected",$M742&lt;&gt;"Withdrawn"),(10-$AG742)*100000+IF(ISNUMBER($C742),$C742,0)+ROW()/10000,"")</f>
        <v/>
      </c>
    </row>
    <row r="743">
      <c r="A743" s="80" t="n"/>
      <c r="B743" s="81" t="n"/>
      <c r="C743" s="81" t="n"/>
      <c r="D743" s="82" t="n"/>
      <c r="E743" s="82" t="n"/>
      <c r="F743" s="82" t="n"/>
      <c r="G743" s="82" t="n"/>
      <c r="H743" s="82" t="n"/>
      <c r="I743" s="83" t="n"/>
      <c r="J743" s="82" t="n"/>
      <c r="K743" s="84" t="n"/>
      <c r="L743" s="85" t="n"/>
      <c r="M743" s="82" t="n"/>
      <c r="N743" s="86" t="n"/>
      <c r="O743" s="81" t="n"/>
      <c r="P743" s="82" t="n"/>
      <c r="Q743" s="83" t="n"/>
      <c r="R743" s="82" t="n"/>
      <c r="S743" s="84" t="n"/>
      <c r="T743" s="84" t="n"/>
      <c r="U743" s="82" t="n"/>
      <c r="V743" s="86" t="n"/>
      <c r="W743" s="86" t="n"/>
      <c r="X743" s="86" t="n"/>
      <c r="Y743" s="81" t="n"/>
      <c r="Z743" s="82" t="n"/>
      <c r="AA743" s="81" t="n"/>
      <c r="AB743" s="82" t="n"/>
      <c r="AC743" s="87">
        <f>IF(OR($D743="",$M743="Rejected",$M743="Withdrawn",$M743="Accepted"),"",IF(ISNUMBER($O743),IF(INT($O743)&lt;TODAY(),"FOLLOW UP REQUIRED",IF(INT($O743)=TODAY(),"ACTION DUE TODAY",IF(INT($O743)-TODAY()&lt;=Set_DueSoonDays,"DUE SOON",""))),IF(AND($M743="Applied",$AA743=""),IF(ISNUMBER($C743),IF(TODAY()-$C743&gt;=Set_FollowUpDays,"NO RESPONSE",""),""),"")))</f>
        <v/>
      </c>
      <c r="AD743" s="87">
        <f>IF(ISNUMBER($L743),IF($L743&gt;=90,"Excellent Match",IF($L743&gt;=75,"Strong Match",IF($L743&gt;=60,"Moderate Match","Low Match"))),"")</f>
        <v/>
      </c>
      <c r="AE743" s="87">
        <f>IF($D743="","",IF(OR($M743="Rejected",$M743="Withdrawn"),IF($AB743&lt;&gt;"",$AB743,IF(OR($M743="Rejected",ISNUMBER($C743)),"Applied","Wishlist")),IF($M743="",IF(ISNUMBER($C743),"Applied","Wishlist"),$M743)))</f>
        <v/>
      </c>
      <c r="AF743" s="88">
        <f>IF(AND(ISNUMBER($C743),ISNUMBER($AA743)),$AA743-$C743,"")</f>
        <v/>
      </c>
      <c r="AG743" s="87">
        <f>IF($AE743="","",IFERROR(MATCH($AE743,{"Wishlist","Applied","Screening","Interview 1","Interview 2","Final","Offer","Accepted"},0)-1,""))</f>
        <v/>
      </c>
      <c r="AH743" s="87">
        <f>IF($AC743="","",MATCH($AC743,{"FOLLOW UP REQUIRED","ACTION DUE TODAY","NO RESPONSE","DUE SOON"},0)*100000+IF(ISNUMBER($O743),$O743,IF(ISNUMBER($C743),$C743,0))+ROW()/10000)</f>
        <v/>
      </c>
      <c r="AI743" s="87">
        <f>IF(AND(ISNUMBER($AG743),$AG743&gt;=1,$AG743&lt;=6,$M743&lt;&gt;"Rejected",$M743&lt;&gt;"Withdrawn"),(10-$AG743)*100000+IF(ISNUMBER($C743),$C743,0)+ROW()/10000,"")</f>
        <v/>
      </c>
    </row>
    <row r="744">
      <c r="A744" s="80" t="n"/>
      <c r="B744" s="81" t="n"/>
      <c r="C744" s="81" t="n"/>
      <c r="D744" s="82" t="n"/>
      <c r="E744" s="82" t="n"/>
      <c r="F744" s="82" t="n"/>
      <c r="G744" s="82" t="n"/>
      <c r="H744" s="82" t="n"/>
      <c r="I744" s="83" t="n"/>
      <c r="J744" s="82" t="n"/>
      <c r="K744" s="84" t="n"/>
      <c r="L744" s="85" t="n"/>
      <c r="M744" s="82" t="n"/>
      <c r="N744" s="86" t="n"/>
      <c r="O744" s="81" t="n"/>
      <c r="P744" s="82" t="n"/>
      <c r="Q744" s="83" t="n"/>
      <c r="R744" s="82" t="n"/>
      <c r="S744" s="84" t="n"/>
      <c r="T744" s="84" t="n"/>
      <c r="U744" s="82" t="n"/>
      <c r="V744" s="86" t="n"/>
      <c r="W744" s="86" t="n"/>
      <c r="X744" s="86" t="n"/>
      <c r="Y744" s="81" t="n"/>
      <c r="Z744" s="82" t="n"/>
      <c r="AA744" s="81" t="n"/>
      <c r="AB744" s="82" t="n"/>
      <c r="AC744" s="87">
        <f>IF(OR($D744="",$M744="Rejected",$M744="Withdrawn",$M744="Accepted"),"",IF(ISNUMBER($O744),IF(INT($O744)&lt;TODAY(),"FOLLOW UP REQUIRED",IF(INT($O744)=TODAY(),"ACTION DUE TODAY",IF(INT($O744)-TODAY()&lt;=Set_DueSoonDays,"DUE SOON",""))),IF(AND($M744="Applied",$AA744=""),IF(ISNUMBER($C744),IF(TODAY()-$C744&gt;=Set_FollowUpDays,"NO RESPONSE",""),""),"")))</f>
        <v/>
      </c>
      <c r="AD744" s="87">
        <f>IF(ISNUMBER($L744),IF($L744&gt;=90,"Excellent Match",IF($L744&gt;=75,"Strong Match",IF($L744&gt;=60,"Moderate Match","Low Match"))),"")</f>
        <v/>
      </c>
      <c r="AE744" s="87">
        <f>IF($D744="","",IF(OR($M744="Rejected",$M744="Withdrawn"),IF($AB744&lt;&gt;"",$AB744,IF(OR($M744="Rejected",ISNUMBER($C744)),"Applied","Wishlist")),IF($M744="",IF(ISNUMBER($C744),"Applied","Wishlist"),$M744)))</f>
        <v/>
      </c>
      <c r="AF744" s="88">
        <f>IF(AND(ISNUMBER($C744),ISNUMBER($AA744)),$AA744-$C744,"")</f>
        <v/>
      </c>
      <c r="AG744" s="87">
        <f>IF($AE744="","",IFERROR(MATCH($AE744,{"Wishlist","Applied","Screening","Interview 1","Interview 2","Final","Offer","Accepted"},0)-1,""))</f>
        <v/>
      </c>
      <c r="AH744" s="87">
        <f>IF($AC744="","",MATCH($AC744,{"FOLLOW UP REQUIRED","ACTION DUE TODAY","NO RESPONSE","DUE SOON"},0)*100000+IF(ISNUMBER($O744),$O744,IF(ISNUMBER($C744),$C744,0))+ROW()/10000)</f>
        <v/>
      </c>
      <c r="AI744" s="87">
        <f>IF(AND(ISNUMBER($AG744),$AG744&gt;=1,$AG744&lt;=6,$M744&lt;&gt;"Rejected",$M744&lt;&gt;"Withdrawn"),(10-$AG744)*100000+IF(ISNUMBER($C744),$C744,0)+ROW()/10000,"")</f>
        <v/>
      </c>
    </row>
    <row r="745">
      <c r="A745" s="80" t="n"/>
      <c r="B745" s="81" t="n"/>
      <c r="C745" s="81" t="n"/>
      <c r="D745" s="82" t="n"/>
      <c r="E745" s="82" t="n"/>
      <c r="F745" s="82" t="n"/>
      <c r="G745" s="82" t="n"/>
      <c r="H745" s="82" t="n"/>
      <c r="I745" s="83" t="n"/>
      <c r="J745" s="82" t="n"/>
      <c r="K745" s="84" t="n"/>
      <c r="L745" s="85" t="n"/>
      <c r="M745" s="82" t="n"/>
      <c r="N745" s="86" t="n"/>
      <c r="O745" s="81" t="n"/>
      <c r="P745" s="82" t="n"/>
      <c r="Q745" s="83" t="n"/>
      <c r="R745" s="82" t="n"/>
      <c r="S745" s="84" t="n"/>
      <c r="T745" s="84" t="n"/>
      <c r="U745" s="82" t="n"/>
      <c r="V745" s="86" t="n"/>
      <c r="W745" s="86" t="n"/>
      <c r="X745" s="86" t="n"/>
      <c r="Y745" s="81" t="n"/>
      <c r="Z745" s="82" t="n"/>
      <c r="AA745" s="81" t="n"/>
      <c r="AB745" s="82" t="n"/>
      <c r="AC745" s="87">
        <f>IF(OR($D745="",$M745="Rejected",$M745="Withdrawn",$M745="Accepted"),"",IF(ISNUMBER($O745),IF(INT($O745)&lt;TODAY(),"FOLLOW UP REQUIRED",IF(INT($O745)=TODAY(),"ACTION DUE TODAY",IF(INT($O745)-TODAY()&lt;=Set_DueSoonDays,"DUE SOON",""))),IF(AND($M745="Applied",$AA745=""),IF(ISNUMBER($C745),IF(TODAY()-$C745&gt;=Set_FollowUpDays,"NO RESPONSE",""),""),"")))</f>
        <v/>
      </c>
      <c r="AD745" s="87">
        <f>IF(ISNUMBER($L745),IF($L745&gt;=90,"Excellent Match",IF($L745&gt;=75,"Strong Match",IF($L745&gt;=60,"Moderate Match","Low Match"))),"")</f>
        <v/>
      </c>
      <c r="AE745" s="87">
        <f>IF($D745="","",IF(OR($M745="Rejected",$M745="Withdrawn"),IF($AB745&lt;&gt;"",$AB745,IF(OR($M745="Rejected",ISNUMBER($C745)),"Applied","Wishlist")),IF($M745="",IF(ISNUMBER($C745),"Applied","Wishlist"),$M745)))</f>
        <v/>
      </c>
      <c r="AF745" s="88">
        <f>IF(AND(ISNUMBER($C745),ISNUMBER($AA745)),$AA745-$C745,"")</f>
        <v/>
      </c>
      <c r="AG745" s="87">
        <f>IF($AE745="","",IFERROR(MATCH($AE745,{"Wishlist","Applied","Screening","Interview 1","Interview 2","Final","Offer","Accepted"},0)-1,""))</f>
        <v/>
      </c>
      <c r="AH745" s="87">
        <f>IF($AC745="","",MATCH($AC745,{"FOLLOW UP REQUIRED","ACTION DUE TODAY","NO RESPONSE","DUE SOON"},0)*100000+IF(ISNUMBER($O745),$O745,IF(ISNUMBER($C745),$C745,0))+ROW()/10000)</f>
        <v/>
      </c>
      <c r="AI745" s="87">
        <f>IF(AND(ISNUMBER($AG745),$AG745&gt;=1,$AG745&lt;=6,$M745&lt;&gt;"Rejected",$M745&lt;&gt;"Withdrawn"),(10-$AG745)*100000+IF(ISNUMBER($C745),$C745,0)+ROW()/10000,"")</f>
        <v/>
      </c>
    </row>
    <row r="746">
      <c r="A746" s="80" t="n"/>
      <c r="B746" s="81" t="n"/>
      <c r="C746" s="81" t="n"/>
      <c r="D746" s="82" t="n"/>
      <c r="E746" s="82" t="n"/>
      <c r="F746" s="82" t="n"/>
      <c r="G746" s="82" t="n"/>
      <c r="H746" s="82" t="n"/>
      <c r="I746" s="83" t="n"/>
      <c r="J746" s="82" t="n"/>
      <c r="K746" s="84" t="n"/>
      <c r="L746" s="85" t="n"/>
      <c r="M746" s="82" t="n"/>
      <c r="N746" s="86" t="n"/>
      <c r="O746" s="81" t="n"/>
      <c r="P746" s="82" t="n"/>
      <c r="Q746" s="83" t="n"/>
      <c r="R746" s="82" t="n"/>
      <c r="S746" s="84" t="n"/>
      <c r="T746" s="84" t="n"/>
      <c r="U746" s="82" t="n"/>
      <c r="V746" s="86" t="n"/>
      <c r="W746" s="86" t="n"/>
      <c r="X746" s="86" t="n"/>
      <c r="Y746" s="81" t="n"/>
      <c r="Z746" s="82" t="n"/>
      <c r="AA746" s="81" t="n"/>
      <c r="AB746" s="82" t="n"/>
      <c r="AC746" s="87">
        <f>IF(OR($D746="",$M746="Rejected",$M746="Withdrawn",$M746="Accepted"),"",IF(ISNUMBER($O746),IF(INT($O746)&lt;TODAY(),"FOLLOW UP REQUIRED",IF(INT($O746)=TODAY(),"ACTION DUE TODAY",IF(INT($O746)-TODAY()&lt;=Set_DueSoonDays,"DUE SOON",""))),IF(AND($M746="Applied",$AA746=""),IF(ISNUMBER($C746),IF(TODAY()-$C746&gt;=Set_FollowUpDays,"NO RESPONSE",""),""),"")))</f>
        <v/>
      </c>
      <c r="AD746" s="87">
        <f>IF(ISNUMBER($L746),IF($L746&gt;=90,"Excellent Match",IF($L746&gt;=75,"Strong Match",IF($L746&gt;=60,"Moderate Match","Low Match"))),"")</f>
        <v/>
      </c>
      <c r="AE746" s="87">
        <f>IF($D746="","",IF(OR($M746="Rejected",$M746="Withdrawn"),IF($AB746&lt;&gt;"",$AB746,IF(OR($M746="Rejected",ISNUMBER($C746)),"Applied","Wishlist")),IF($M746="",IF(ISNUMBER($C746),"Applied","Wishlist"),$M746)))</f>
        <v/>
      </c>
      <c r="AF746" s="88">
        <f>IF(AND(ISNUMBER($C746),ISNUMBER($AA746)),$AA746-$C746,"")</f>
        <v/>
      </c>
      <c r="AG746" s="87">
        <f>IF($AE746="","",IFERROR(MATCH($AE746,{"Wishlist","Applied","Screening","Interview 1","Interview 2","Final","Offer","Accepted"},0)-1,""))</f>
        <v/>
      </c>
      <c r="AH746" s="87">
        <f>IF($AC746="","",MATCH($AC746,{"FOLLOW UP REQUIRED","ACTION DUE TODAY","NO RESPONSE","DUE SOON"},0)*100000+IF(ISNUMBER($O746),$O746,IF(ISNUMBER($C746),$C746,0))+ROW()/10000)</f>
        <v/>
      </c>
      <c r="AI746" s="87">
        <f>IF(AND(ISNUMBER($AG746),$AG746&gt;=1,$AG746&lt;=6,$M746&lt;&gt;"Rejected",$M746&lt;&gt;"Withdrawn"),(10-$AG746)*100000+IF(ISNUMBER($C746),$C746,0)+ROW()/10000,"")</f>
        <v/>
      </c>
    </row>
    <row r="747">
      <c r="A747" s="80" t="n"/>
      <c r="B747" s="81" t="n"/>
      <c r="C747" s="81" t="n"/>
      <c r="D747" s="82" t="n"/>
      <c r="E747" s="82" t="n"/>
      <c r="F747" s="82" t="n"/>
      <c r="G747" s="82" t="n"/>
      <c r="H747" s="82" t="n"/>
      <c r="I747" s="83" t="n"/>
      <c r="J747" s="82" t="n"/>
      <c r="K747" s="84" t="n"/>
      <c r="L747" s="85" t="n"/>
      <c r="M747" s="82" t="n"/>
      <c r="N747" s="86" t="n"/>
      <c r="O747" s="81" t="n"/>
      <c r="P747" s="82" t="n"/>
      <c r="Q747" s="83" t="n"/>
      <c r="R747" s="82" t="n"/>
      <c r="S747" s="84" t="n"/>
      <c r="T747" s="84" t="n"/>
      <c r="U747" s="82" t="n"/>
      <c r="V747" s="86" t="n"/>
      <c r="W747" s="86" t="n"/>
      <c r="X747" s="86" t="n"/>
      <c r="Y747" s="81" t="n"/>
      <c r="Z747" s="82" t="n"/>
      <c r="AA747" s="81" t="n"/>
      <c r="AB747" s="82" t="n"/>
      <c r="AC747" s="87">
        <f>IF(OR($D747="",$M747="Rejected",$M747="Withdrawn",$M747="Accepted"),"",IF(ISNUMBER($O747),IF(INT($O747)&lt;TODAY(),"FOLLOW UP REQUIRED",IF(INT($O747)=TODAY(),"ACTION DUE TODAY",IF(INT($O747)-TODAY()&lt;=Set_DueSoonDays,"DUE SOON",""))),IF(AND($M747="Applied",$AA747=""),IF(ISNUMBER($C747),IF(TODAY()-$C747&gt;=Set_FollowUpDays,"NO RESPONSE",""),""),"")))</f>
        <v/>
      </c>
      <c r="AD747" s="87">
        <f>IF(ISNUMBER($L747),IF($L747&gt;=90,"Excellent Match",IF($L747&gt;=75,"Strong Match",IF($L747&gt;=60,"Moderate Match","Low Match"))),"")</f>
        <v/>
      </c>
      <c r="AE747" s="87">
        <f>IF($D747="","",IF(OR($M747="Rejected",$M747="Withdrawn"),IF($AB747&lt;&gt;"",$AB747,IF(OR($M747="Rejected",ISNUMBER($C747)),"Applied","Wishlist")),IF($M747="",IF(ISNUMBER($C747),"Applied","Wishlist"),$M747)))</f>
        <v/>
      </c>
      <c r="AF747" s="88">
        <f>IF(AND(ISNUMBER($C747),ISNUMBER($AA747)),$AA747-$C747,"")</f>
        <v/>
      </c>
      <c r="AG747" s="87">
        <f>IF($AE747="","",IFERROR(MATCH($AE747,{"Wishlist","Applied","Screening","Interview 1","Interview 2","Final","Offer","Accepted"},0)-1,""))</f>
        <v/>
      </c>
      <c r="AH747" s="87">
        <f>IF($AC747="","",MATCH($AC747,{"FOLLOW UP REQUIRED","ACTION DUE TODAY","NO RESPONSE","DUE SOON"},0)*100000+IF(ISNUMBER($O747),$O747,IF(ISNUMBER($C747),$C747,0))+ROW()/10000)</f>
        <v/>
      </c>
      <c r="AI747" s="87">
        <f>IF(AND(ISNUMBER($AG747),$AG747&gt;=1,$AG747&lt;=6,$M747&lt;&gt;"Rejected",$M747&lt;&gt;"Withdrawn"),(10-$AG747)*100000+IF(ISNUMBER($C747),$C747,0)+ROW()/10000,"")</f>
        <v/>
      </c>
    </row>
    <row r="748">
      <c r="A748" s="80" t="n"/>
      <c r="B748" s="81" t="n"/>
      <c r="C748" s="81" t="n"/>
      <c r="D748" s="82" t="n"/>
      <c r="E748" s="82" t="n"/>
      <c r="F748" s="82" t="n"/>
      <c r="G748" s="82" t="n"/>
      <c r="H748" s="82" t="n"/>
      <c r="I748" s="83" t="n"/>
      <c r="J748" s="82" t="n"/>
      <c r="K748" s="84" t="n"/>
      <c r="L748" s="85" t="n"/>
      <c r="M748" s="82" t="n"/>
      <c r="N748" s="86" t="n"/>
      <c r="O748" s="81" t="n"/>
      <c r="P748" s="82" t="n"/>
      <c r="Q748" s="83" t="n"/>
      <c r="R748" s="82" t="n"/>
      <c r="S748" s="84" t="n"/>
      <c r="T748" s="84" t="n"/>
      <c r="U748" s="82" t="n"/>
      <c r="V748" s="86" t="n"/>
      <c r="W748" s="86" t="n"/>
      <c r="X748" s="86" t="n"/>
      <c r="Y748" s="81" t="n"/>
      <c r="Z748" s="82" t="n"/>
      <c r="AA748" s="81" t="n"/>
      <c r="AB748" s="82" t="n"/>
      <c r="AC748" s="87">
        <f>IF(OR($D748="",$M748="Rejected",$M748="Withdrawn",$M748="Accepted"),"",IF(ISNUMBER($O748),IF(INT($O748)&lt;TODAY(),"FOLLOW UP REQUIRED",IF(INT($O748)=TODAY(),"ACTION DUE TODAY",IF(INT($O748)-TODAY()&lt;=Set_DueSoonDays,"DUE SOON",""))),IF(AND($M748="Applied",$AA748=""),IF(ISNUMBER($C748),IF(TODAY()-$C748&gt;=Set_FollowUpDays,"NO RESPONSE",""),""),"")))</f>
        <v/>
      </c>
      <c r="AD748" s="87">
        <f>IF(ISNUMBER($L748),IF($L748&gt;=90,"Excellent Match",IF($L748&gt;=75,"Strong Match",IF($L748&gt;=60,"Moderate Match","Low Match"))),"")</f>
        <v/>
      </c>
      <c r="AE748" s="87">
        <f>IF($D748="","",IF(OR($M748="Rejected",$M748="Withdrawn"),IF($AB748&lt;&gt;"",$AB748,IF(OR($M748="Rejected",ISNUMBER($C748)),"Applied","Wishlist")),IF($M748="",IF(ISNUMBER($C748),"Applied","Wishlist"),$M748)))</f>
        <v/>
      </c>
      <c r="AF748" s="88">
        <f>IF(AND(ISNUMBER($C748),ISNUMBER($AA748)),$AA748-$C748,"")</f>
        <v/>
      </c>
      <c r="AG748" s="87">
        <f>IF($AE748="","",IFERROR(MATCH($AE748,{"Wishlist","Applied","Screening","Interview 1","Interview 2","Final","Offer","Accepted"},0)-1,""))</f>
        <v/>
      </c>
      <c r="AH748" s="87">
        <f>IF($AC748="","",MATCH($AC748,{"FOLLOW UP REQUIRED","ACTION DUE TODAY","NO RESPONSE","DUE SOON"},0)*100000+IF(ISNUMBER($O748),$O748,IF(ISNUMBER($C748),$C748,0))+ROW()/10000)</f>
        <v/>
      </c>
      <c r="AI748" s="87">
        <f>IF(AND(ISNUMBER($AG748),$AG748&gt;=1,$AG748&lt;=6,$M748&lt;&gt;"Rejected",$M748&lt;&gt;"Withdrawn"),(10-$AG748)*100000+IF(ISNUMBER($C748),$C748,0)+ROW()/10000,"")</f>
        <v/>
      </c>
    </row>
    <row r="749">
      <c r="A749" s="80" t="n"/>
      <c r="B749" s="81" t="n"/>
      <c r="C749" s="81" t="n"/>
      <c r="D749" s="82" t="n"/>
      <c r="E749" s="82" t="n"/>
      <c r="F749" s="82" t="n"/>
      <c r="G749" s="82" t="n"/>
      <c r="H749" s="82" t="n"/>
      <c r="I749" s="83" t="n"/>
      <c r="J749" s="82" t="n"/>
      <c r="K749" s="84" t="n"/>
      <c r="L749" s="85" t="n"/>
      <c r="M749" s="82" t="n"/>
      <c r="N749" s="86" t="n"/>
      <c r="O749" s="81" t="n"/>
      <c r="P749" s="82" t="n"/>
      <c r="Q749" s="83" t="n"/>
      <c r="R749" s="82" t="n"/>
      <c r="S749" s="84" t="n"/>
      <c r="T749" s="84" t="n"/>
      <c r="U749" s="82" t="n"/>
      <c r="V749" s="86" t="n"/>
      <c r="W749" s="86" t="n"/>
      <c r="X749" s="86" t="n"/>
      <c r="Y749" s="81" t="n"/>
      <c r="Z749" s="82" t="n"/>
      <c r="AA749" s="81" t="n"/>
      <c r="AB749" s="82" t="n"/>
      <c r="AC749" s="87">
        <f>IF(OR($D749="",$M749="Rejected",$M749="Withdrawn",$M749="Accepted"),"",IF(ISNUMBER($O749),IF(INT($O749)&lt;TODAY(),"FOLLOW UP REQUIRED",IF(INT($O749)=TODAY(),"ACTION DUE TODAY",IF(INT($O749)-TODAY()&lt;=Set_DueSoonDays,"DUE SOON",""))),IF(AND($M749="Applied",$AA749=""),IF(ISNUMBER($C749),IF(TODAY()-$C749&gt;=Set_FollowUpDays,"NO RESPONSE",""),""),"")))</f>
        <v/>
      </c>
      <c r="AD749" s="87">
        <f>IF(ISNUMBER($L749),IF($L749&gt;=90,"Excellent Match",IF($L749&gt;=75,"Strong Match",IF($L749&gt;=60,"Moderate Match","Low Match"))),"")</f>
        <v/>
      </c>
      <c r="AE749" s="87">
        <f>IF($D749="","",IF(OR($M749="Rejected",$M749="Withdrawn"),IF($AB749&lt;&gt;"",$AB749,IF(OR($M749="Rejected",ISNUMBER($C749)),"Applied","Wishlist")),IF($M749="",IF(ISNUMBER($C749),"Applied","Wishlist"),$M749)))</f>
        <v/>
      </c>
      <c r="AF749" s="88">
        <f>IF(AND(ISNUMBER($C749),ISNUMBER($AA749)),$AA749-$C749,"")</f>
        <v/>
      </c>
      <c r="AG749" s="87">
        <f>IF($AE749="","",IFERROR(MATCH($AE749,{"Wishlist","Applied","Screening","Interview 1","Interview 2","Final","Offer","Accepted"},0)-1,""))</f>
        <v/>
      </c>
      <c r="AH749" s="87">
        <f>IF($AC749="","",MATCH($AC749,{"FOLLOW UP REQUIRED","ACTION DUE TODAY","NO RESPONSE","DUE SOON"},0)*100000+IF(ISNUMBER($O749),$O749,IF(ISNUMBER($C749),$C749,0))+ROW()/10000)</f>
        <v/>
      </c>
      <c r="AI749" s="87">
        <f>IF(AND(ISNUMBER($AG749),$AG749&gt;=1,$AG749&lt;=6,$M749&lt;&gt;"Rejected",$M749&lt;&gt;"Withdrawn"),(10-$AG749)*100000+IF(ISNUMBER($C749),$C749,0)+ROW()/10000,"")</f>
        <v/>
      </c>
    </row>
    <row r="750">
      <c r="A750" s="80" t="n"/>
      <c r="B750" s="81" t="n"/>
      <c r="C750" s="81" t="n"/>
      <c r="D750" s="82" t="n"/>
      <c r="E750" s="82" t="n"/>
      <c r="F750" s="82" t="n"/>
      <c r="G750" s="82" t="n"/>
      <c r="H750" s="82" t="n"/>
      <c r="I750" s="83" t="n"/>
      <c r="J750" s="82" t="n"/>
      <c r="K750" s="84" t="n"/>
      <c r="L750" s="85" t="n"/>
      <c r="M750" s="82" t="n"/>
      <c r="N750" s="86" t="n"/>
      <c r="O750" s="81" t="n"/>
      <c r="P750" s="82" t="n"/>
      <c r="Q750" s="83" t="n"/>
      <c r="R750" s="82" t="n"/>
      <c r="S750" s="84" t="n"/>
      <c r="T750" s="84" t="n"/>
      <c r="U750" s="82" t="n"/>
      <c r="V750" s="86" t="n"/>
      <c r="W750" s="86" t="n"/>
      <c r="X750" s="86" t="n"/>
      <c r="Y750" s="81" t="n"/>
      <c r="Z750" s="82" t="n"/>
      <c r="AA750" s="81" t="n"/>
      <c r="AB750" s="82" t="n"/>
      <c r="AC750" s="87">
        <f>IF(OR($D750="",$M750="Rejected",$M750="Withdrawn",$M750="Accepted"),"",IF(ISNUMBER($O750),IF(INT($O750)&lt;TODAY(),"FOLLOW UP REQUIRED",IF(INT($O750)=TODAY(),"ACTION DUE TODAY",IF(INT($O750)-TODAY()&lt;=Set_DueSoonDays,"DUE SOON",""))),IF(AND($M750="Applied",$AA750=""),IF(ISNUMBER($C750),IF(TODAY()-$C750&gt;=Set_FollowUpDays,"NO RESPONSE",""),""),"")))</f>
        <v/>
      </c>
      <c r="AD750" s="87">
        <f>IF(ISNUMBER($L750),IF($L750&gt;=90,"Excellent Match",IF($L750&gt;=75,"Strong Match",IF($L750&gt;=60,"Moderate Match","Low Match"))),"")</f>
        <v/>
      </c>
      <c r="AE750" s="87">
        <f>IF($D750="","",IF(OR($M750="Rejected",$M750="Withdrawn"),IF($AB750&lt;&gt;"",$AB750,IF(OR($M750="Rejected",ISNUMBER($C750)),"Applied","Wishlist")),IF($M750="",IF(ISNUMBER($C750),"Applied","Wishlist"),$M750)))</f>
        <v/>
      </c>
      <c r="AF750" s="88">
        <f>IF(AND(ISNUMBER($C750),ISNUMBER($AA750)),$AA750-$C750,"")</f>
        <v/>
      </c>
      <c r="AG750" s="87">
        <f>IF($AE750="","",IFERROR(MATCH($AE750,{"Wishlist","Applied","Screening","Interview 1","Interview 2","Final","Offer","Accepted"},0)-1,""))</f>
        <v/>
      </c>
      <c r="AH750" s="87">
        <f>IF($AC750="","",MATCH($AC750,{"FOLLOW UP REQUIRED","ACTION DUE TODAY","NO RESPONSE","DUE SOON"},0)*100000+IF(ISNUMBER($O750),$O750,IF(ISNUMBER($C750),$C750,0))+ROW()/10000)</f>
        <v/>
      </c>
      <c r="AI750" s="87">
        <f>IF(AND(ISNUMBER($AG750),$AG750&gt;=1,$AG750&lt;=6,$M750&lt;&gt;"Rejected",$M750&lt;&gt;"Withdrawn"),(10-$AG750)*100000+IF(ISNUMBER($C750),$C750,0)+ROW()/10000,"")</f>
        <v/>
      </c>
    </row>
    <row r="751">
      <c r="A751" s="80" t="n"/>
      <c r="B751" s="81" t="n"/>
      <c r="C751" s="81" t="n"/>
      <c r="D751" s="82" t="n"/>
      <c r="E751" s="82" t="n"/>
      <c r="F751" s="82" t="n"/>
      <c r="G751" s="82" t="n"/>
      <c r="H751" s="82" t="n"/>
      <c r="I751" s="83" t="n"/>
      <c r="J751" s="82" t="n"/>
      <c r="K751" s="84" t="n"/>
      <c r="L751" s="85" t="n"/>
      <c r="M751" s="82" t="n"/>
      <c r="N751" s="86" t="n"/>
      <c r="O751" s="81" t="n"/>
      <c r="P751" s="82" t="n"/>
      <c r="Q751" s="83" t="n"/>
      <c r="R751" s="82" t="n"/>
      <c r="S751" s="84" t="n"/>
      <c r="T751" s="84" t="n"/>
      <c r="U751" s="82" t="n"/>
      <c r="V751" s="86" t="n"/>
      <c r="W751" s="86" t="n"/>
      <c r="X751" s="86" t="n"/>
      <c r="Y751" s="81" t="n"/>
      <c r="Z751" s="82" t="n"/>
      <c r="AA751" s="81" t="n"/>
      <c r="AB751" s="82" t="n"/>
      <c r="AC751" s="87">
        <f>IF(OR($D751="",$M751="Rejected",$M751="Withdrawn",$M751="Accepted"),"",IF(ISNUMBER($O751),IF(INT($O751)&lt;TODAY(),"FOLLOW UP REQUIRED",IF(INT($O751)=TODAY(),"ACTION DUE TODAY",IF(INT($O751)-TODAY()&lt;=Set_DueSoonDays,"DUE SOON",""))),IF(AND($M751="Applied",$AA751=""),IF(ISNUMBER($C751),IF(TODAY()-$C751&gt;=Set_FollowUpDays,"NO RESPONSE",""),""),"")))</f>
        <v/>
      </c>
      <c r="AD751" s="87">
        <f>IF(ISNUMBER($L751),IF($L751&gt;=90,"Excellent Match",IF($L751&gt;=75,"Strong Match",IF($L751&gt;=60,"Moderate Match","Low Match"))),"")</f>
        <v/>
      </c>
      <c r="AE751" s="87">
        <f>IF($D751="","",IF(OR($M751="Rejected",$M751="Withdrawn"),IF($AB751&lt;&gt;"",$AB751,IF(OR($M751="Rejected",ISNUMBER($C751)),"Applied","Wishlist")),IF($M751="",IF(ISNUMBER($C751),"Applied","Wishlist"),$M751)))</f>
        <v/>
      </c>
      <c r="AF751" s="88">
        <f>IF(AND(ISNUMBER($C751),ISNUMBER($AA751)),$AA751-$C751,"")</f>
        <v/>
      </c>
      <c r="AG751" s="87">
        <f>IF($AE751="","",IFERROR(MATCH($AE751,{"Wishlist","Applied","Screening","Interview 1","Interview 2","Final","Offer","Accepted"},0)-1,""))</f>
        <v/>
      </c>
      <c r="AH751" s="87">
        <f>IF($AC751="","",MATCH($AC751,{"FOLLOW UP REQUIRED","ACTION DUE TODAY","NO RESPONSE","DUE SOON"},0)*100000+IF(ISNUMBER($O751),$O751,IF(ISNUMBER($C751),$C751,0))+ROW()/10000)</f>
        <v/>
      </c>
      <c r="AI751" s="87">
        <f>IF(AND(ISNUMBER($AG751),$AG751&gt;=1,$AG751&lt;=6,$M751&lt;&gt;"Rejected",$M751&lt;&gt;"Withdrawn"),(10-$AG751)*100000+IF(ISNUMBER($C751),$C751,0)+ROW()/10000,"")</f>
        <v/>
      </c>
    </row>
    <row r="752">
      <c r="A752" s="80" t="n"/>
      <c r="B752" s="81" t="n"/>
      <c r="C752" s="81" t="n"/>
      <c r="D752" s="82" t="n"/>
      <c r="E752" s="82" t="n"/>
      <c r="F752" s="82" t="n"/>
      <c r="G752" s="82" t="n"/>
      <c r="H752" s="82" t="n"/>
      <c r="I752" s="83" t="n"/>
      <c r="J752" s="82" t="n"/>
      <c r="K752" s="84" t="n"/>
      <c r="L752" s="85" t="n"/>
      <c r="M752" s="82" t="n"/>
      <c r="N752" s="86" t="n"/>
      <c r="O752" s="81" t="n"/>
      <c r="P752" s="82" t="n"/>
      <c r="Q752" s="83" t="n"/>
      <c r="R752" s="82" t="n"/>
      <c r="S752" s="84" t="n"/>
      <c r="T752" s="84" t="n"/>
      <c r="U752" s="82" t="n"/>
      <c r="V752" s="86" t="n"/>
      <c r="W752" s="86" t="n"/>
      <c r="X752" s="86" t="n"/>
      <c r="Y752" s="81" t="n"/>
      <c r="Z752" s="82" t="n"/>
      <c r="AA752" s="81" t="n"/>
      <c r="AB752" s="82" t="n"/>
      <c r="AC752" s="87">
        <f>IF(OR($D752="",$M752="Rejected",$M752="Withdrawn",$M752="Accepted"),"",IF(ISNUMBER($O752),IF(INT($O752)&lt;TODAY(),"FOLLOW UP REQUIRED",IF(INT($O752)=TODAY(),"ACTION DUE TODAY",IF(INT($O752)-TODAY()&lt;=Set_DueSoonDays,"DUE SOON",""))),IF(AND($M752="Applied",$AA752=""),IF(ISNUMBER($C752),IF(TODAY()-$C752&gt;=Set_FollowUpDays,"NO RESPONSE",""),""),"")))</f>
        <v/>
      </c>
      <c r="AD752" s="87">
        <f>IF(ISNUMBER($L752),IF($L752&gt;=90,"Excellent Match",IF($L752&gt;=75,"Strong Match",IF($L752&gt;=60,"Moderate Match","Low Match"))),"")</f>
        <v/>
      </c>
      <c r="AE752" s="87">
        <f>IF($D752="","",IF(OR($M752="Rejected",$M752="Withdrawn"),IF($AB752&lt;&gt;"",$AB752,IF(OR($M752="Rejected",ISNUMBER($C752)),"Applied","Wishlist")),IF($M752="",IF(ISNUMBER($C752),"Applied","Wishlist"),$M752)))</f>
        <v/>
      </c>
      <c r="AF752" s="88">
        <f>IF(AND(ISNUMBER($C752),ISNUMBER($AA752)),$AA752-$C752,"")</f>
        <v/>
      </c>
      <c r="AG752" s="87">
        <f>IF($AE752="","",IFERROR(MATCH($AE752,{"Wishlist","Applied","Screening","Interview 1","Interview 2","Final","Offer","Accepted"},0)-1,""))</f>
        <v/>
      </c>
      <c r="AH752" s="87">
        <f>IF($AC752="","",MATCH($AC752,{"FOLLOW UP REQUIRED","ACTION DUE TODAY","NO RESPONSE","DUE SOON"},0)*100000+IF(ISNUMBER($O752),$O752,IF(ISNUMBER($C752),$C752,0))+ROW()/10000)</f>
        <v/>
      </c>
      <c r="AI752" s="87">
        <f>IF(AND(ISNUMBER($AG752),$AG752&gt;=1,$AG752&lt;=6,$M752&lt;&gt;"Rejected",$M752&lt;&gt;"Withdrawn"),(10-$AG752)*100000+IF(ISNUMBER($C752),$C752,0)+ROW()/10000,"")</f>
        <v/>
      </c>
    </row>
    <row r="753">
      <c r="A753" s="80" t="n"/>
      <c r="B753" s="81" t="n"/>
      <c r="C753" s="81" t="n"/>
      <c r="D753" s="82" t="n"/>
      <c r="E753" s="82" t="n"/>
      <c r="F753" s="82" t="n"/>
      <c r="G753" s="82" t="n"/>
      <c r="H753" s="82" t="n"/>
      <c r="I753" s="83" t="n"/>
      <c r="J753" s="82" t="n"/>
      <c r="K753" s="84" t="n"/>
      <c r="L753" s="85" t="n"/>
      <c r="M753" s="82" t="n"/>
      <c r="N753" s="86" t="n"/>
      <c r="O753" s="81" t="n"/>
      <c r="P753" s="82" t="n"/>
      <c r="Q753" s="83" t="n"/>
      <c r="R753" s="82" t="n"/>
      <c r="S753" s="84" t="n"/>
      <c r="T753" s="84" t="n"/>
      <c r="U753" s="82" t="n"/>
      <c r="V753" s="86" t="n"/>
      <c r="W753" s="86" t="n"/>
      <c r="X753" s="86" t="n"/>
      <c r="Y753" s="81" t="n"/>
      <c r="Z753" s="82" t="n"/>
      <c r="AA753" s="81" t="n"/>
      <c r="AB753" s="82" t="n"/>
      <c r="AC753" s="87">
        <f>IF(OR($D753="",$M753="Rejected",$M753="Withdrawn",$M753="Accepted"),"",IF(ISNUMBER($O753),IF(INT($O753)&lt;TODAY(),"FOLLOW UP REQUIRED",IF(INT($O753)=TODAY(),"ACTION DUE TODAY",IF(INT($O753)-TODAY()&lt;=Set_DueSoonDays,"DUE SOON",""))),IF(AND($M753="Applied",$AA753=""),IF(ISNUMBER($C753),IF(TODAY()-$C753&gt;=Set_FollowUpDays,"NO RESPONSE",""),""),"")))</f>
        <v/>
      </c>
      <c r="AD753" s="87">
        <f>IF(ISNUMBER($L753),IF($L753&gt;=90,"Excellent Match",IF($L753&gt;=75,"Strong Match",IF($L753&gt;=60,"Moderate Match","Low Match"))),"")</f>
        <v/>
      </c>
      <c r="AE753" s="87">
        <f>IF($D753="","",IF(OR($M753="Rejected",$M753="Withdrawn"),IF($AB753&lt;&gt;"",$AB753,IF(OR($M753="Rejected",ISNUMBER($C753)),"Applied","Wishlist")),IF($M753="",IF(ISNUMBER($C753),"Applied","Wishlist"),$M753)))</f>
        <v/>
      </c>
      <c r="AF753" s="88">
        <f>IF(AND(ISNUMBER($C753),ISNUMBER($AA753)),$AA753-$C753,"")</f>
        <v/>
      </c>
      <c r="AG753" s="87">
        <f>IF($AE753="","",IFERROR(MATCH($AE753,{"Wishlist","Applied","Screening","Interview 1","Interview 2","Final","Offer","Accepted"},0)-1,""))</f>
        <v/>
      </c>
      <c r="AH753" s="87">
        <f>IF($AC753="","",MATCH($AC753,{"FOLLOW UP REQUIRED","ACTION DUE TODAY","NO RESPONSE","DUE SOON"},0)*100000+IF(ISNUMBER($O753),$O753,IF(ISNUMBER($C753),$C753,0))+ROW()/10000)</f>
        <v/>
      </c>
      <c r="AI753" s="87">
        <f>IF(AND(ISNUMBER($AG753),$AG753&gt;=1,$AG753&lt;=6,$M753&lt;&gt;"Rejected",$M753&lt;&gt;"Withdrawn"),(10-$AG753)*100000+IF(ISNUMBER($C753),$C753,0)+ROW()/10000,"")</f>
        <v/>
      </c>
    </row>
    <row r="754">
      <c r="A754" s="80" t="n"/>
      <c r="B754" s="81" t="n"/>
      <c r="C754" s="81" t="n"/>
      <c r="D754" s="82" t="n"/>
      <c r="E754" s="82" t="n"/>
      <c r="F754" s="82" t="n"/>
      <c r="G754" s="82" t="n"/>
      <c r="H754" s="82" t="n"/>
      <c r="I754" s="83" t="n"/>
      <c r="J754" s="82" t="n"/>
      <c r="K754" s="84" t="n"/>
      <c r="L754" s="85" t="n"/>
      <c r="M754" s="82" t="n"/>
      <c r="N754" s="86" t="n"/>
      <c r="O754" s="81" t="n"/>
      <c r="P754" s="82" t="n"/>
      <c r="Q754" s="83" t="n"/>
      <c r="R754" s="82" t="n"/>
      <c r="S754" s="84" t="n"/>
      <c r="T754" s="84" t="n"/>
      <c r="U754" s="82" t="n"/>
      <c r="V754" s="86" t="n"/>
      <c r="W754" s="86" t="n"/>
      <c r="X754" s="86" t="n"/>
      <c r="Y754" s="81" t="n"/>
      <c r="Z754" s="82" t="n"/>
      <c r="AA754" s="81" t="n"/>
      <c r="AB754" s="82" t="n"/>
      <c r="AC754" s="87">
        <f>IF(OR($D754="",$M754="Rejected",$M754="Withdrawn",$M754="Accepted"),"",IF(ISNUMBER($O754),IF(INT($O754)&lt;TODAY(),"FOLLOW UP REQUIRED",IF(INT($O754)=TODAY(),"ACTION DUE TODAY",IF(INT($O754)-TODAY()&lt;=Set_DueSoonDays,"DUE SOON",""))),IF(AND($M754="Applied",$AA754=""),IF(ISNUMBER($C754),IF(TODAY()-$C754&gt;=Set_FollowUpDays,"NO RESPONSE",""),""),"")))</f>
        <v/>
      </c>
      <c r="AD754" s="87">
        <f>IF(ISNUMBER($L754),IF($L754&gt;=90,"Excellent Match",IF($L754&gt;=75,"Strong Match",IF($L754&gt;=60,"Moderate Match","Low Match"))),"")</f>
        <v/>
      </c>
      <c r="AE754" s="87">
        <f>IF($D754="","",IF(OR($M754="Rejected",$M754="Withdrawn"),IF($AB754&lt;&gt;"",$AB754,IF(OR($M754="Rejected",ISNUMBER($C754)),"Applied","Wishlist")),IF($M754="",IF(ISNUMBER($C754),"Applied","Wishlist"),$M754)))</f>
        <v/>
      </c>
      <c r="AF754" s="88">
        <f>IF(AND(ISNUMBER($C754),ISNUMBER($AA754)),$AA754-$C754,"")</f>
        <v/>
      </c>
      <c r="AG754" s="87">
        <f>IF($AE754="","",IFERROR(MATCH($AE754,{"Wishlist","Applied","Screening","Interview 1","Interview 2","Final","Offer","Accepted"},0)-1,""))</f>
        <v/>
      </c>
      <c r="AH754" s="87">
        <f>IF($AC754="","",MATCH($AC754,{"FOLLOW UP REQUIRED","ACTION DUE TODAY","NO RESPONSE","DUE SOON"},0)*100000+IF(ISNUMBER($O754),$O754,IF(ISNUMBER($C754),$C754,0))+ROW()/10000)</f>
        <v/>
      </c>
      <c r="AI754" s="87">
        <f>IF(AND(ISNUMBER($AG754),$AG754&gt;=1,$AG754&lt;=6,$M754&lt;&gt;"Rejected",$M754&lt;&gt;"Withdrawn"),(10-$AG754)*100000+IF(ISNUMBER($C754),$C754,0)+ROW()/10000,"")</f>
        <v/>
      </c>
    </row>
    <row r="755">
      <c r="A755" s="80" t="n"/>
      <c r="B755" s="81" t="n"/>
      <c r="C755" s="81" t="n"/>
      <c r="D755" s="82" t="n"/>
      <c r="E755" s="82" t="n"/>
      <c r="F755" s="82" t="n"/>
      <c r="G755" s="82" t="n"/>
      <c r="H755" s="82" t="n"/>
      <c r="I755" s="83" t="n"/>
      <c r="J755" s="82" t="n"/>
      <c r="K755" s="84" t="n"/>
      <c r="L755" s="85" t="n"/>
      <c r="M755" s="82" t="n"/>
      <c r="N755" s="86" t="n"/>
      <c r="O755" s="81" t="n"/>
      <c r="P755" s="82" t="n"/>
      <c r="Q755" s="83" t="n"/>
      <c r="R755" s="82" t="n"/>
      <c r="S755" s="84" t="n"/>
      <c r="T755" s="84" t="n"/>
      <c r="U755" s="82" t="n"/>
      <c r="V755" s="86" t="n"/>
      <c r="W755" s="86" t="n"/>
      <c r="X755" s="86" t="n"/>
      <c r="Y755" s="81" t="n"/>
      <c r="Z755" s="82" t="n"/>
      <c r="AA755" s="81" t="n"/>
      <c r="AB755" s="82" t="n"/>
      <c r="AC755" s="87">
        <f>IF(OR($D755="",$M755="Rejected",$M755="Withdrawn",$M755="Accepted"),"",IF(ISNUMBER($O755),IF(INT($O755)&lt;TODAY(),"FOLLOW UP REQUIRED",IF(INT($O755)=TODAY(),"ACTION DUE TODAY",IF(INT($O755)-TODAY()&lt;=Set_DueSoonDays,"DUE SOON",""))),IF(AND($M755="Applied",$AA755=""),IF(ISNUMBER($C755),IF(TODAY()-$C755&gt;=Set_FollowUpDays,"NO RESPONSE",""),""),"")))</f>
        <v/>
      </c>
      <c r="AD755" s="87">
        <f>IF(ISNUMBER($L755),IF($L755&gt;=90,"Excellent Match",IF($L755&gt;=75,"Strong Match",IF($L755&gt;=60,"Moderate Match","Low Match"))),"")</f>
        <v/>
      </c>
      <c r="AE755" s="87">
        <f>IF($D755="","",IF(OR($M755="Rejected",$M755="Withdrawn"),IF($AB755&lt;&gt;"",$AB755,IF(OR($M755="Rejected",ISNUMBER($C755)),"Applied","Wishlist")),IF($M755="",IF(ISNUMBER($C755),"Applied","Wishlist"),$M755)))</f>
        <v/>
      </c>
      <c r="AF755" s="88">
        <f>IF(AND(ISNUMBER($C755),ISNUMBER($AA755)),$AA755-$C755,"")</f>
        <v/>
      </c>
      <c r="AG755" s="87">
        <f>IF($AE755="","",IFERROR(MATCH($AE755,{"Wishlist","Applied","Screening","Interview 1","Interview 2","Final","Offer","Accepted"},0)-1,""))</f>
        <v/>
      </c>
      <c r="AH755" s="87">
        <f>IF($AC755="","",MATCH($AC755,{"FOLLOW UP REQUIRED","ACTION DUE TODAY","NO RESPONSE","DUE SOON"},0)*100000+IF(ISNUMBER($O755),$O755,IF(ISNUMBER($C755),$C755,0))+ROW()/10000)</f>
        <v/>
      </c>
      <c r="AI755" s="87">
        <f>IF(AND(ISNUMBER($AG755),$AG755&gt;=1,$AG755&lt;=6,$M755&lt;&gt;"Rejected",$M755&lt;&gt;"Withdrawn"),(10-$AG755)*100000+IF(ISNUMBER($C755),$C755,0)+ROW()/10000,"")</f>
        <v/>
      </c>
    </row>
    <row r="756">
      <c r="A756" s="80" t="n"/>
      <c r="B756" s="81" t="n"/>
      <c r="C756" s="81" t="n"/>
      <c r="D756" s="82" t="n"/>
      <c r="E756" s="82" t="n"/>
      <c r="F756" s="82" t="n"/>
      <c r="G756" s="82" t="n"/>
      <c r="H756" s="82" t="n"/>
      <c r="I756" s="83" t="n"/>
      <c r="J756" s="82" t="n"/>
      <c r="K756" s="84" t="n"/>
      <c r="L756" s="85" t="n"/>
      <c r="M756" s="82" t="n"/>
      <c r="N756" s="86" t="n"/>
      <c r="O756" s="81" t="n"/>
      <c r="P756" s="82" t="n"/>
      <c r="Q756" s="83" t="n"/>
      <c r="R756" s="82" t="n"/>
      <c r="S756" s="84" t="n"/>
      <c r="T756" s="84" t="n"/>
      <c r="U756" s="82" t="n"/>
      <c r="V756" s="86" t="n"/>
      <c r="W756" s="86" t="n"/>
      <c r="X756" s="86" t="n"/>
      <c r="Y756" s="81" t="n"/>
      <c r="Z756" s="82" t="n"/>
      <c r="AA756" s="81" t="n"/>
      <c r="AB756" s="82" t="n"/>
      <c r="AC756" s="87">
        <f>IF(OR($D756="",$M756="Rejected",$M756="Withdrawn",$M756="Accepted"),"",IF(ISNUMBER($O756),IF(INT($O756)&lt;TODAY(),"FOLLOW UP REQUIRED",IF(INT($O756)=TODAY(),"ACTION DUE TODAY",IF(INT($O756)-TODAY()&lt;=Set_DueSoonDays,"DUE SOON",""))),IF(AND($M756="Applied",$AA756=""),IF(ISNUMBER($C756),IF(TODAY()-$C756&gt;=Set_FollowUpDays,"NO RESPONSE",""),""),"")))</f>
        <v/>
      </c>
      <c r="AD756" s="87">
        <f>IF(ISNUMBER($L756),IF($L756&gt;=90,"Excellent Match",IF($L756&gt;=75,"Strong Match",IF($L756&gt;=60,"Moderate Match","Low Match"))),"")</f>
        <v/>
      </c>
      <c r="AE756" s="87">
        <f>IF($D756="","",IF(OR($M756="Rejected",$M756="Withdrawn"),IF($AB756&lt;&gt;"",$AB756,IF(OR($M756="Rejected",ISNUMBER($C756)),"Applied","Wishlist")),IF($M756="",IF(ISNUMBER($C756),"Applied","Wishlist"),$M756)))</f>
        <v/>
      </c>
      <c r="AF756" s="88">
        <f>IF(AND(ISNUMBER($C756),ISNUMBER($AA756)),$AA756-$C756,"")</f>
        <v/>
      </c>
      <c r="AG756" s="87">
        <f>IF($AE756="","",IFERROR(MATCH($AE756,{"Wishlist","Applied","Screening","Interview 1","Interview 2","Final","Offer","Accepted"},0)-1,""))</f>
        <v/>
      </c>
      <c r="AH756" s="87">
        <f>IF($AC756="","",MATCH($AC756,{"FOLLOW UP REQUIRED","ACTION DUE TODAY","NO RESPONSE","DUE SOON"},0)*100000+IF(ISNUMBER($O756),$O756,IF(ISNUMBER($C756),$C756,0))+ROW()/10000)</f>
        <v/>
      </c>
      <c r="AI756" s="87">
        <f>IF(AND(ISNUMBER($AG756),$AG756&gt;=1,$AG756&lt;=6,$M756&lt;&gt;"Rejected",$M756&lt;&gt;"Withdrawn"),(10-$AG756)*100000+IF(ISNUMBER($C756),$C756,0)+ROW()/10000,"")</f>
        <v/>
      </c>
    </row>
    <row r="757">
      <c r="A757" s="80" t="n"/>
      <c r="B757" s="81" t="n"/>
      <c r="C757" s="81" t="n"/>
      <c r="D757" s="82" t="n"/>
      <c r="E757" s="82" t="n"/>
      <c r="F757" s="82" t="n"/>
      <c r="G757" s="82" t="n"/>
      <c r="H757" s="82" t="n"/>
      <c r="I757" s="83" t="n"/>
      <c r="J757" s="82" t="n"/>
      <c r="K757" s="84" t="n"/>
      <c r="L757" s="85" t="n"/>
      <c r="M757" s="82" t="n"/>
      <c r="N757" s="86" t="n"/>
      <c r="O757" s="81" t="n"/>
      <c r="P757" s="82" t="n"/>
      <c r="Q757" s="83" t="n"/>
      <c r="R757" s="82" t="n"/>
      <c r="S757" s="84" t="n"/>
      <c r="T757" s="84" t="n"/>
      <c r="U757" s="82" t="n"/>
      <c r="V757" s="86" t="n"/>
      <c r="W757" s="86" t="n"/>
      <c r="X757" s="86" t="n"/>
      <c r="Y757" s="81" t="n"/>
      <c r="Z757" s="82" t="n"/>
      <c r="AA757" s="81" t="n"/>
      <c r="AB757" s="82" t="n"/>
      <c r="AC757" s="87">
        <f>IF(OR($D757="",$M757="Rejected",$M757="Withdrawn",$M757="Accepted"),"",IF(ISNUMBER($O757),IF(INT($O757)&lt;TODAY(),"FOLLOW UP REQUIRED",IF(INT($O757)=TODAY(),"ACTION DUE TODAY",IF(INT($O757)-TODAY()&lt;=Set_DueSoonDays,"DUE SOON",""))),IF(AND($M757="Applied",$AA757=""),IF(ISNUMBER($C757),IF(TODAY()-$C757&gt;=Set_FollowUpDays,"NO RESPONSE",""),""),"")))</f>
        <v/>
      </c>
      <c r="AD757" s="87">
        <f>IF(ISNUMBER($L757),IF($L757&gt;=90,"Excellent Match",IF($L757&gt;=75,"Strong Match",IF($L757&gt;=60,"Moderate Match","Low Match"))),"")</f>
        <v/>
      </c>
      <c r="AE757" s="87">
        <f>IF($D757="","",IF(OR($M757="Rejected",$M757="Withdrawn"),IF($AB757&lt;&gt;"",$AB757,IF(OR($M757="Rejected",ISNUMBER($C757)),"Applied","Wishlist")),IF($M757="",IF(ISNUMBER($C757),"Applied","Wishlist"),$M757)))</f>
        <v/>
      </c>
      <c r="AF757" s="88">
        <f>IF(AND(ISNUMBER($C757),ISNUMBER($AA757)),$AA757-$C757,"")</f>
        <v/>
      </c>
      <c r="AG757" s="87">
        <f>IF($AE757="","",IFERROR(MATCH($AE757,{"Wishlist","Applied","Screening","Interview 1","Interview 2","Final","Offer","Accepted"},0)-1,""))</f>
        <v/>
      </c>
      <c r="AH757" s="87">
        <f>IF($AC757="","",MATCH($AC757,{"FOLLOW UP REQUIRED","ACTION DUE TODAY","NO RESPONSE","DUE SOON"},0)*100000+IF(ISNUMBER($O757),$O757,IF(ISNUMBER($C757),$C757,0))+ROW()/10000)</f>
        <v/>
      </c>
      <c r="AI757" s="87">
        <f>IF(AND(ISNUMBER($AG757),$AG757&gt;=1,$AG757&lt;=6,$M757&lt;&gt;"Rejected",$M757&lt;&gt;"Withdrawn"),(10-$AG757)*100000+IF(ISNUMBER($C757),$C757,0)+ROW()/10000,"")</f>
        <v/>
      </c>
    </row>
    <row r="758">
      <c r="A758" s="80" t="n"/>
      <c r="B758" s="81" t="n"/>
      <c r="C758" s="81" t="n"/>
      <c r="D758" s="82" t="n"/>
      <c r="E758" s="82" t="n"/>
      <c r="F758" s="82" t="n"/>
      <c r="G758" s="82" t="n"/>
      <c r="H758" s="82" t="n"/>
      <c r="I758" s="83" t="n"/>
      <c r="J758" s="82" t="n"/>
      <c r="K758" s="84" t="n"/>
      <c r="L758" s="85" t="n"/>
      <c r="M758" s="82" t="n"/>
      <c r="N758" s="86" t="n"/>
      <c r="O758" s="81" t="n"/>
      <c r="P758" s="82" t="n"/>
      <c r="Q758" s="83" t="n"/>
      <c r="R758" s="82" t="n"/>
      <c r="S758" s="84" t="n"/>
      <c r="T758" s="84" t="n"/>
      <c r="U758" s="82" t="n"/>
      <c r="V758" s="86" t="n"/>
      <c r="W758" s="86" t="n"/>
      <c r="X758" s="86" t="n"/>
      <c r="Y758" s="81" t="n"/>
      <c r="Z758" s="82" t="n"/>
      <c r="AA758" s="81" t="n"/>
      <c r="AB758" s="82" t="n"/>
      <c r="AC758" s="87">
        <f>IF(OR($D758="",$M758="Rejected",$M758="Withdrawn",$M758="Accepted"),"",IF(ISNUMBER($O758),IF(INT($O758)&lt;TODAY(),"FOLLOW UP REQUIRED",IF(INT($O758)=TODAY(),"ACTION DUE TODAY",IF(INT($O758)-TODAY()&lt;=Set_DueSoonDays,"DUE SOON",""))),IF(AND($M758="Applied",$AA758=""),IF(ISNUMBER($C758),IF(TODAY()-$C758&gt;=Set_FollowUpDays,"NO RESPONSE",""),""),"")))</f>
        <v/>
      </c>
      <c r="AD758" s="87">
        <f>IF(ISNUMBER($L758),IF($L758&gt;=90,"Excellent Match",IF($L758&gt;=75,"Strong Match",IF($L758&gt;=60,"Moderate Match","Low Match"))),"")</f>
        <v/>
      </c>
      <c r="AE758" s="87">
        <f>IF($D758="","",IF(OR($M758="Rejected",$M758="Withdrawn"),IF($AB758&lt;&gt;"",$AB758,IF(OR($M758="Rejected",ISNUMBER($C758)),"Applied","Wishlist")),IF($M758="",IF(ISNUMBER($C758),"Applied","Wishlist"),$M758)))</f>
        <v/>
      </c>
      <c r="AF758" s="88">
        <f>IF(AND(ISNUMBER($C758),ISNUMBER($AA758)),$AA758-$C758,"")</f>
        <v/>
      </c>
      <c r="AG758" s="87">
        <f>IF($AE758="","",IFERROR(MATCH($AE758,{"Wishlist","Applied","Screening","Interview 1","Interview 2","Final","Offer","Accepted"},0)-1,""))</f>
        <v/>
      </c>
      <c r="AH758" s="87">
        <f>IF($AC758="","",MATCH($AC758,{"FOLLOW UP REQUIRED","ACTION DUE TODAY","NO RESPONSE","DUE SOON"},0)*100000+IF(ISNUMBER($O758),$O758,IF(ISNUMBER($C758),$C758,0))+ROW()/10000)</f>
        <v/>
      </c>
      <c r="AI758" s="87">
        <f>IF(AND(ISNUMBER($AG758),$AG758&gt;=1,$AG758&lt;=6,$M758&lt;&gt;"Rejected",$M758&lt;&gt;"Withdrawn"),(10-$AG758)*100000+IF(ISNUMBER($C758),$C758,0)+ROW()/10000,"")</f>
        <v/>
      </c>
    </row>
    <row r="759">
      <c r="A759" s="80" t="n"/>
      <c r="B759" s="81" t="n"/>
      <c r="C759" s="81" t="n"/>
      <c r="D759" s="82" t="n"/>
      <c r="E759" s="82" t="n"/>
      <c r="F759" s="82" t="n"/>
      <c r="G759" s="82" t="n"/>
      <c r="H759" s="82" t="n"/>
      <c r="I759" s="83" t="n"/>
      <c r="J759" s="82" t="n"/>
      <c r="K759" s="84" t="n"/>
      <c r="L759" s="85" t="n"/>
      <c r="M759" s="82" t="n"/>
      <c r="N759" s="86" t="n"/>
      <c r="O759" s="81" t="n"/>
      <c r="P759" s="82" t="n"/>
      <c r="Q759" s="83" t="n"/>
      <c r="R759" s="82" t="n"/>
      <c r="S759" s="84" t="n"/>
      <c r="T759" s="84" t="n"/>
      <c r="U759" s="82" t="n"/>
      <c r="V759" s="86" t="n"/>
      <c r="W759" s="86" t="n"/>
      <c r="X759" s="86" t="n"/>
      <c r="Y759" s="81" t="n"/>
      <c r="Z759" s="82" t="n"/>
      <c r="AA759" s="81" t="n"/>
      <c r="AB759" s="82" t="n"/>
      <c r="AC759" s="87">
        <f>IF(OR($D759="",$M759="Rejected",$M759="Withdrawn",$M759="Accepted"),"",IF(ISNUMBER($O759),IF(INT($O759)&lt;TODAY(),"FOLLOW UP REQUIRED",IF(INT($O759)=TODAY(),"ACTION DUE TODAY",IF(INT($O759)-TODAY()&lt;=Set_DueSoonDays,"DUE SOON",""))),IF(AND($M759="Applied",$AA759=""),IF(ISNUMBER($C759),IF(TODAY()-$C759&gt;=Set_FollowUpDays,"NO RESPONSE",""),""),"")))</f>
        <v/>
      </c>
      <c r="AD759" s="87">
        <f>IF(ISNUMBER($L759),IF($L759&gt;=90,"Excellent Match",IF($L759&gt;=75,"Strong Match",IF($L759&gt;=60,"Moderate Match","Low Match"))),"")</f>
        <v/>
      </c>
      <c r="AE759" s="87">
        <f>IF($D759="","",IF(OR($M759="Rejected",$M759="Withdrawn"),IF($AB759&lt;&gt;"",$AB759,IF(OR($M759="Rejected",ISNUMBER($C759)),"Applied","Wishlist")),IF($M759="",IF(ISNUMBER($C759),"Applied","Wishlist"),$M759)))</f>
        <v/>
      </c>
      <c r="AF759" s="88">
        <f>IF(AND(ISNUMBER($C759),ISNUMBER($AA759)),$AA759-$C759,"")</f>
        <v/>
      </c>
      <c r="AG759" s="87">
        <f>IF($AE759="","",IFERROR(MATCH($AE759,{"Wishlist","Applied","Screening","Interview 1","Interview 2","Final","Offer","Accepted"},0)-1,""))</f>
        <v/>
      </c>
      <c r="AH759" s="87">
        <f>IF($AC759="","",MATCH($AC759,{"FOLLOW UP REQUIRED","ACTION DUE TODAY","NO RESPONSE","DUE SOON"},0)*100000+IF(ISNUMBER($O759),$O759,IF(ISNUMBER($C759),$C759,0))+ROW()/10000)</f>
        <v/>
      </c>
      <c r="AI759" s="87">
        <f>IF(AND(ISNUMBER($AG759),$AG759&gt;=1,$AG759&lt;=6,$M759&lt;&gt;"Rejected",$M759&lt;&gt;"Withdrawn"),(10-$AG759)*100000+IF(ISNUMBER($C759),$C759,0)+ROW()/10000,"")</f>
        <v/>
      </c>
    </row>
    <row r="760">
      <c r="A760" s="80" t="n"/>
      <c r="B760" s="81" t="n"/>
      <c r="C760" s="81" t="n"/>
      <c r="D760" s="82" t="n"/>
      <c r="E760" s="82" t="n"/>
      <c r="F760" s="82" t="n"/>
      <c r="G760" s="82" t="n"/>
      <c r="H760" s="82" t="n"/>
      <c r="I760" s="83" t="n"/>
      <c r="J760" s="82" t="n"/>
      <c r="K760" s="84" t="n"/>
      <c r="L760" s="85" t="n"/>
      <c r="M760" s="82" t="n"/>
      <c r="N760" s="86" t="n"/>
      <c r="O760" s="81" t="n"/>
      <c r="P760" s="82" t="n"/>
      <c r="Q760" s="83" t="n"/>
      <c r="R760" s="82" t="n"/>
      <c r="S760" s="84" t="n"/>
      <c r="T760" s="84" t="n"/>
      <c r="U760" s="82" t="n"/>
      <c r="V760" s="86" t="n"/>
      <c r="W760" s="86" t="n"/>
      <c r="X760" s="86" t="n"/>
      <c r="Y760" s="81" t="n"/>
      <c r="Z760" s="82" t="n"/>
      <c r="AA760" s="81" t="n"/>
      <c r="AB760" s="82" t="n"/>
      <c r="AC760" s="87">
        <f>IF(OR($D760="",$M760="Rejected",$M760="Withdrawn",$M760="Accepted"),"",IF(ISNUMBER($O760),IF(INT($O760)&lt;TODAY(),"FOLLOW UP REQUIRED",IF(INT($O760)=TODAY(),"ACTION DUE TODAY",IF(INT($O760)-TODAY()&lt;=Set_DueSoonDays,"DUE SOON",""))),IF(AND($M760="Applied",$AA760=""),IF(ISNUMBER($C760),IF(TODAY()-$C760&gt;=Set_FollowUpDays,"NO RESPONSE",""),""),"")))</f>
        <v/>
      </c>
      <c r="AD760" s="87">
        <f>IF(ISNUMBER($L760),IF($L760&gt;=90,"Excellent Match",IF($L760&gt;=75,"Strong Match",IF($L760&gt;=60,"Moderate Match","Low Match"))),"")</f>
        <v/>
      </c>
      <c r="AE760" s="87">
        <f>IF($D760="","",IF(OR($M760="Rejected",$M760="Withdrawn"),IF($AB760&lt;&gt;"",$AB760,IF(OR($M760="Rejected",ISNUMBER($C760)),"Applied","Wishlist")),IF($M760="",IF(ISNUMBER($C760),"Applied","Wishlist"),$M760)))</f>
        <v/>
      </c>
      <c r="AF760" s="88">
        <f>IF(AND(ISNUMBER($C760),ISNUMBER($AA760)),$AA760-$C760,"")</f>
        <v/>
      </c>
      <c r="AG760" s="87">
        <f>IF($AE760="","",IFERROR(MATCH($AE760,{"Wishlist","Applied","Screening","Interview 1","Interview 2","Final","Offer","Accepted"},0)-1,""))</f>
        <v/>
      </c>
      <c r="AH760" s="87">
        <f>IF($AC760="","",MATCH($AC760,{"FOLLOW UP REQUIRED","ACTION DUE TODAY","NO RESPONSE","DUE SOON"},0)*100000+IF(ISNUMBER($O760),$O760,IF(ISNUMBER($C760),$C760,0))+ROW()/10000)</f>
        <v/>
      </c>
      <c r="AI760" s="87">
        <f>IF(AND(ISNUMBER($AG760),$AG760&gt;=1,$AG760&lt;=6,$M760&lt;&gt;"Rejected",$M760&lt;&gt;"Withdrawn"),(10-$AG760)*100000+IF(ISNUMBER($C760),$C760,0)+ROW()/10000,"")</f>
        <v/>
      </c>
    </row>
    <row r="761">
      <c r="A761" s="80" t="n"/>
      <c r="B761" s="81" t="n"/>
      <c r="C761" s="81" t="n"/>
      <c r="D761" s="82" t="n"/>
      <c r="E761" s="82" t="n"/>
      <c r="F761" s="82" t="n"/>
      <c r="G761" s="82" t="n"/>
      <c r="H761" s="82" t="n"/>
      <c r="I761" s="83" t="n"/>
      <c r="J761" s="82" t="n"/>
      <c r="K761" s="84" t="n"/>
      <c r="L761" s="85" t="n"/>
      <c r="M761" s="82" t="n"/>
      <c r="N761" s="86" t="n"/>
      <c r="O761" s="81" t="n"/>
      <c r="P761" s="82" t="n"/>
      <c r="Q761" s="83" t="n"/>
      <c r="R761" s="82" t="n"/>
      <c r="S761" s="84" t="n"/>
      <c r="T761" s="84" t="n"/>
      <c r="U761" s="82" t="n"/>
      <c r="V761" s="86" t="n"/>
      <c r="W761" s="86" t="n"/>
      <c r="X761" s="86" t="n"/>
      <c r="Y761" s="81" t="n"/>
      <c r="Z761" s="82" t="n"/>
      <c r="AA761" s="81" t="n"/>
      <c r="AB761" s="82" t="n"/>
      <c r="AC761" s="87">
        <f>IF(OR($D761="",$M761="Rejected",$M761="Withdrawn",$M761="Accepted"),"",IF(ISNUMBER($O761),IF(INT($O761)&lt;TODAY(),"FOLLOW UP REQUIRED",IF(INT($O761)=TODAY(),"ACTION DUE TODAY",IF(INT($O761)-TODAY()&lt;=Set_DueSoonDays,"DUE SOON",""))),IF(AND($M761="Applied",$AA761=""),IF(ISNUMBER($C761),IF(TODAY()-$C761&gt;=Set_FollowUpDays,"NO RESPONSE",""),""),"")))</f>
        <v/>
      </c>
      <c r="AD761" s="87">
        <f>IF(ISNUMBER($L761),IF($L761&gt;=90,"Excellent Match",IF($L761&gt;=75,"Strong Match",IF($L761&gt;=60,"Moderate Match","Low Match"))),"")</f>
        <v/>
      </c>
      <c r="AE761" s="87">
        <f>IF($D761="","",IF(OR($M761="Rejected",$M761="Withdrawn"),IF($AB761&lt;&gt;"",$AB761,IF(OR($M761="Rejected",ISNUMBER($C761)),"Applied","Wishlist")),IF($M761="",IF(ISNUMBER($C761),"Applied","Wishlist"),$M761)))</f>
        <v/>
      </c>
      <c r="AF761" s="88">
        <f>IF(AND(ISNUMBER($C761),ISNUMBER($AA761)),$AA761-$C761,"")</f>
        <v/>
      </c>
      <c r="AG761" s="87">
        <f>IF($AE761="","",IFERROR(MATCH($AE761,{"Wishlist","Applied","Screening","Interview 1","Interview 2","Final","Offer","Accepted"},0)-1,""))</f>
        <v/>
      </c>
      <c r="AH761" s="87">
        <f>IF($AC761="","",MATCH($AC761,{"FOLLOW UP REQUIRED","ACTION DUE TODAY","NO RESPONSE","DUE SOON"},0)*100000+IF(ISNUMBER($O761),$O761,IF(ISNUMBER($C761),$C761,0))+ROW()/10000)</f>
        <v/>
      </c>
      <c r="AI761" s="87">
        <f>IF(AND(ISNUMBER($AG761),$AG761&gt;=1,$AG761&lt;=6,$M761&lt;&gt;"Rejected",$M761&lt;&gt;"Withdrawn"),(10-$AG761)*100000+IF(ISNUMBER($C761),$C761,0)+ROW()/10000,"")</f>
        <v/>
      </c>
    </row>
    <row r="762">
      <c r="A762" s="80" t="n"/>
      <c r="B762" s="81" t="n"/>
      <c r="C762" s="81" t="n"/>
      <c r="D762" s="82" t="n"/>
      <c r="E762" s="82" t="n"/>
      <c r="F762" s="82" t="n"/>
      <c r="G762" s="82" t="n"/>
      <c r="H762" s="82" t="n"/>
      <c r="I762" s="83" t="n"/>
      <c r="J762" s="82" t="n"/>
      <c r="K762" s="84" t="n"/>
      <c r="L762" s="85" t="n"/>
      <c r="M762" s="82" t="n"/>
      <c r="N762" s="86" t="n"/>
      <c r="O762" s="81" t="n"/>
      <c r="P762" s="82" t="n"/>
      <c r="Q762" s="83" t="n"/>
      <c r="R762" s="82" t="n"/>
      <c r="S762" s="84" t="n"/>
      <c r="T762" s="84" t="n"/>
      <c r="U762" s="82" t="n"/>
      <c r="V762" s="86" t="n"/>
      <c r="W762" s="86" t="n"/>
      <c r="X762" s="86" t="n"/>
      <c r="Y762" s="81" t="n"/>
      <c r="Z762" s="82" t="n"/>
      <c r="AA762" s="81" t="n"/>
      <c r="AB762" s="82" t="n"/>
      <c r="AC762" s="87">
        <f>IF(OR($D762="",$M762="Rejected",$M762="Withdrawn",$M762="Accepted"),"",IF(ISNUMBER($O762),IF(INT($O762)&lt;TODAY(),"FOLLOW UP REQUIRED",IF(INT($O762)=TODAY(),"ACTION DUE TODAY",IF(INT($O762)-TODAY()&lt;=Set_DueSoonDays,"DUE SOON",""))),IF(AND($M762="Applied",$AA762=""),IF(ISNUMBER($C762),IF(TODAY()-$C762&gt;=Set_FollowUpDays,"NO RESPONSE",""),""),"")))</f>
        <v/>
      </c>
      <c r="AD762" s="87">
        <f>IF(ISNUMBER($L762),IF($L762&gt;=90,"Excellent Match",IF($L762&gt;=75,"Strong Match",IF($L762&gt;=60,"Moderate Match","Low Match"))),"")</f>
        <v/>
      </c>
      <c r="AE762" s="87">
        <f>IF($D762="","",IF(OR($M762="Rejected",$M762="Withdrawn"),IF($AB762&lt;&gt;"",$AB762,IF(OR($M762="Rejected",ISNUMBER($C762)),"Applied","Wishlist")),IF($M762="",IF(ISNUMBER($C762),"Applied","Wishlist"),$M762)))</f>
        <v/>
      </c>
      <c r="AF762" s="88">
        <f>IF(AND(ISNUMBER($C762),ISNUMBER($AA762)),$AA762-$C762,"")</f>
        <v/>
      </c>
      <c r="AG762" s="87">
        <f>IF($AE762="","",IFERROR(MATCH($AE762,{"Wishlist","Applied","Screening","Interview 1","Interview 2","Final","Offer","Accepted"},0)-1,""))</f>
        <v/>
      </c>
      <c r="AH762" s="87">
        <f>IF($AC762="","",MATCH($AC762,{"FOLLOW UP REQUIRED","ACTION DUE TODAY","NO RESPONSE","DUE SOON"},0)*100000+IF(ISNUMBER($O762),$O762,IF(ISNUMBER($C762),$C762,0))+ROW()/10000)</f>
        <v/>
      </c>
      <c r="AI762" s="87">
        <f>IF(AND(ISNUMBER($AG762),$AG762&gt;=1,$AG762&lt;=6,$M762&lt;&gt;"Rejected",$M762&lt;&gt;"Withdrawn"),(10-$AG762)*100000+IF(ISNUMBER($C762),$C762,0)+ROW()/10000,"")</f>
        <v/>
      </c>
    </row>
    <row r="763">
      <c r="A763" s="80" t="n"/>
      <c r="B763" s="81" t="n"/>
      <c r="C763" s="81" t="n"/>
      <c r="D763" s="82" t="n"/>
      <c r="E763" s="82" t="n"/>
      <c r="F763" s="82" t="n"/>
      <c r="G763" s="82" t="n"/>
      <c r="H763" s="82" t="n"/>
      <c r="I763" s="83" t="n"/>
      <c r="J763" s="82" t="n"/>
      <c r="K763" s="84" t="n"/>
      <c r="L763" s="85" t="n"/>
      <c r="M763" s="82" t="n"/>
      <c r="N763" s="86" t="n"/>
      <c r="O763" s="81" t="n"/>
      <c r="P763" s="82" t="n"/>
      <c r="Q763" s="83" t="n"/>
      <c r="R763" s="82" t="n"/>
      <c r="S763" s="84" t="n"/>
      <c r="T763" s="84" t="n"/>
      <c r="U763" s="82" t="n"/>
      <c r="V763" s="86" t="n"/>
      <c r="W763" s="86" t="n"/>
      <c r="X763" s="86" t="n"/>
      <c r="Y763" s="81" t="n"/>
      <c r="Z763" s="82" t="n"/>
      <c r="AA763" s="81" t="n"/>
      <c r="AB763" s="82" t="n"/>
      <c r="AC763" s="87">
        <f>IF(OR($D763="",$M763="Rejected",$M763="Withdrawn",$M763="Accepted"),"",IF(ISNUMBER($O763),IF(INT($O763)&lt;TODAY(),"FOLLOW UP REQUIRED",IF(INT($O763)=TODAY(),"ACTION DUE TODAY",IF(INT($O763)-TODAY()&lt;=Set_DueSoonDays,"DUE SOON",""))),IF(AND($M763="Applied",$AA763=""),IF(ISNUMBER($C763),IF(TODAY()-$C763&gt;=Set_FollowUpDays,"NO RESPONSE",""),""),"")))</f>
        <v/>
      </c>
      <c r="AD763" s="87">
        <f>IF(ISNUMBER($L763),IF($L763&gt;=90,"Excellent Match",IF($L763&gt;=75,"Strong Match",IF($L763&gt;=60,"Moderate Match","Low Match"))),"")</f>
        <v/>
      </c>
      <c r="AE763" s="87">
        <f>IF($D763="","",IF(OR($M763="Rejected",$M763="Withdrawn"),IF($AB763&lt;&gt;"",$AB763,IF(OR($M763="Rejected",ISNUMBER($C763)),"Applied","Wishlist")),IF($M763="",IF(ISNUMBER($C763),"Applied","Wishlist"),$M763)))</f>
        <v/>
      </c>
      <c r="AF763" s="88">
        <f>IF(AND(ISNUMBER($C763),ISNUMBER($AA763)),$AA763-$C763,"")</f>
        <v/>
      </c>
      <c r="AG763" s="87">
        <f>IF($AE763="","",IFERROR(MATCH($AE763,{"Wishlist","Applied","Screening","Interview 1","Interview 2","Final","Offer","Accepted"},0)-1,""))</f>
        <v/>
      </c>
      <c r="AH763" s="87">
        <f>IF($AC763="","",MATCH($AC763,{"FOLLOW UP REQUIRED","ACTION DUE TODAY","NO RESPONSE","DUE SOON"},0)*100000+IF(ISNUMBER($O763),$O763,IF(ISNUMBER($C763),$C763,0))+ROW()/10000)</f>
        <v/>
      </c>
      <c r="AI763" s="87">
        <f>IF(AND(ISNUMBER($AG763),$AG763&gt;=1,$AG763&lt;=6,$M763&lt;&gt;"Rejected",$M763&lt;&gt;"Withdrawn"),(10-$AG763)*100000+IF(ISNUMBER($C763),$C763,0)+ROW()/10000,"")</f>
        <v/>
      </c>
    </row>
    <row r="764">
      <c r="A764" s="80" t="n"/>
      <c r="B764" s="81" t="n"/>
      <c r="C764" s="81" t="n"/>
      <c r="D764" s="82" t="n"/>
      <c r="E764" s="82" t="n"/>
      <c r="F764" s="82" t="n"/>
      <c r="G764" s="82" t="n"/>
      <c r="H764" s="82" t="n"/>
      <c r="I764" s="83" t="n"/>
      <c r="J764" s="82" t="n"/>
      <c r="K764" s="84" t="n"/>
      <c r="L764" s="85" t="n"/>
      <c r="M764" s="82" t="n"/>
      <c r="N764" s="86" t="n"/>
      <c r="O764" s="81" t="n"/>
      <c r="P764" s="82" t="n"/>
      <c r="Q764" s="83" t="n"/>
      <c r="R764" s="82" t="n"/>
      <c r="S764" s="84" t="n"/>
      <c r="T764" s="84" t="n"/>
      <c r="U764" s="82" t="n"/>
      <c r="V764" s="86" t="n"/>
      <c r="W764" s="86" t="n"/>
      <c r="X764" s="86" t="n"/>
      <c r="Y764" s="81" t="n"/>
      <c r="Z764" s="82" t="n"/>
      <c r="AA764" s="81" t="n"/>
      <c r="AB764" s="82" t="n"/>
      <c r="AC764" s="87">
        <f>IF(OR($D764="",$M764="Rejected",$M764="Withdrawn",$M764="Accepted"),"",IF(ISNUMBER($O764),IF(INT($O764)&lt;TODAY(),"FOLLOW UP REQUIRED",IF(INT($O764)=TODAY(),"ACTION DUE TODAY",IF(INT($O764)-TODAY()&lt;=Set_DueSoonDays,"DUE SOON",""))),IF(AND($M764="Applied",$AA764=""),IF(ISNUMBER($C764),IF(TODAY()-$C764&gt;=Set_FollowUpDays,"NO RESPONSE",""),""),"")))</f>
        <v/>
      </c>
      <c r="AD764" s="87">
        <f>IF(ISNUMBER($L764),IF($L764&gt;=90,"Excellent Match",IF($L764&gt;=75,"Strong Match",IF($L764&gt;=60,"Moderate Match","Low Match"))),"")</f>
        <v/>
      </c>
      <c r="AE764" s="87">
        <f>IF($D764="","",IF(OR($M764="Rejected",$M764="Withdrawn"),IF($AB764&lt;&gt;"",$AB764,IF(OR($M764="Rejected",ISNUMBER($C764)),"Applied","Wishlist")),IF($M764="",IF(ISNUMBER($C764),"Applied","Wishlist"),$M764)))</f>
        <v/>
      </c>
      <c r="AF764" s="88">
        <f>IF(AND(ISNUMBER($C764),ISNUMBER($AA764)),$AA764-$C764,"")</f>
        <v/>
      </c>
      <c r="AG764" s="87">
        <f>IF($AE764="","",IFERROR(MATCH($AE764,{"Wishlist","Applied","Screening","Interview 1","Interview 2","Final","Offer","Accepted"},0)-1,""))</f>
        <v/>
      </c>
      <c r="AH764" s="87">
        <f>IF($AC764="","",MATCH($AC764,{"FOLLOW UP REQUIRED","ACTION DUE TODAY","NO RESPONSE","DUE SOON"},0)*100000+IF(ISNUMBER($O764),$O764,IF(ISNUMBER($C764),$C764,0))+ROW()/10000)</f>
        <v/>
      </c>
      <c r="AI764" s="87">
        <f>IF(AND(ISNUMBER($AG764),$AG764&gt;=1,$AG764&lt;=6,$M764&lt;&gt;"Rejected",$M764&lt;&gt;"Withdrawn"),(10-$AG764)*100000+IF(ISNUMBER($C764),$C764,0)+ROW()/10000,"")</f>
        <v/>
      </c>
    </row>
    <row r="765">
      <c r="A765" s="80" t="n"/>
      <c r="B765" s="81" t="n"/>
      <c r="C765" s="81" t="n"/>
      <c r="D765" s="82" t="n"/>
      <c r="E765" s="82" t="n"/>
      <c r="F765" s="82" t="n"/>
      <c r="G765" s="82" t="n"/>
      <c r="H765" s="82" t="n"/>
      <c r="I765" s="83" t="n"/>
      <c r="J765" s="82" t="n"/>
      <c r="K765" s="84" t="n"/>
      <c r="L765" s="85" t="n"/>
      <c r="M765" s="82" t="n"/>
      <c r="N765" s="86" t="n"/>
      <c r="O765" s="81" t="n"/>
      <c r="P765" s="82" t="n"/>
      <c r="Q765" s="83" t="n"/>
      <c r="R765" s="82" t="n"/>
      <c r="S765" s="84" t="n"/>
      <c r="T765" s="84" t="n"/>
      <c r="U765" s="82" t="n"/>
      <c r="V765" s="86" t="n"/>
      <c r="W765" s="86" t="n"/>
      <c r="X765" s="86" t="n"/>
      <c r="Y765" s="81" t="n"/>
      <c r="Z765" s="82" t="n"/>
      <c r="AA765" s="81" t="n"/>
      <c r="AB765" s="82" t="n"/>
      <c r="AC765" s="87">
        <f>IF(OR($D765="",$M765="Rejected",$M765="Withdrawn",$M765="Accepted"),"",IF(ISNUMBER($O765),IF(INT($O765)&lt;TODAY(),"FOLLOW UP REQUIRED",IF(INT($O765)=TODAY(),"ACTION DUE TODAY",IF(INT($O765)-TODAY()&lt;=Set_DueSoonDays,"DUE SOON",""))),IF(AND($M765="Applied",$AA765=""),IF(ISNUMBER($C765),IF(TODAY()-$C765&gt;=Set_FollowUpDays,"NO RESPONSE",""),""),"")))</f>
        <v/>
      </c>
      <c r="AD765" s="87">
        <f>IF(ISNUMBER($L765),IF($L765&gt;=90,"Excellent Match",IF($L765&gt;=75,"Strong Match",IF($L765&gt;=60,"Moderate Match","Low Match"))),"")</f>
        <v/>
      </c>
      <c r="AE765" s="87">
        <f>IF($D765="","",IF(OR($M765="Rejected",$M765="Withdrawn"),IF($AB765&lt;&gt;"",$AB765,IF(OR($M765="Rejected",ISNUMBER($C765)),"Applied","Wishlist")),IF($M765="",IF(ISNUMBER($C765),"Applied","Wishlist"),$M765)))</f>
        <v/>
      </c>
      <c r="AF765" s="88">
        <f>IF(AND(ISNUMBER($C765),ISNUMBER($AA765)),$AA765-$C765,"")</f>
        <v/>
      </c>
      <c r="AG765" s="87">
        <f>IF($AE765="","",IFERROR(MATCH($AE765,{"Wishlist","Applied","Screening","Interview 1","Interview 2","Final","Offer","Accepted"},0)-1,""))</f>
        <v/>
      </c>
      <c r="AH765" s="87">
        <f>IF($AC765="","",MATCH($AC765,{"FOLLOW UP REQUIRED","ACTION DUE TODAY","NO RESPONSE","DUE SOON"},0)*100000+IF(ISNUMBER($O765),$O765,IF(ISNUMBER($C765),$C765,0))+ROW()/10000)</f>
        <v/>
      </c>
      <c r="AI765" s="87">
        <f>IF(AND(ISNUMBER($AG765),$AG765&gt;=1,$AG765&lt;=6,$M765&lt;&gt;"Rejected",$M765&lt;&gt;"Withdrawn"),(10-$AG765)*100000+IF(ISNUMBER($C765),$C765,0)+ROW()/10000,"")</f>
        <v/>
      </c>
    </row>
    <row r="766">
      <c r="A766" s="80" t="n"/>
      <c r="B766" s="81" t="n"/>
      <c r="C766" s="81" t="n"/>
      <c r="D766" s="82" t="n"/>
      <c r="E766" s="82" t="n"/>
      <c r="F766" s="82" t="n"/>
      <c r="G766" s="82" t="n"/>
      <c r="H766" s="82" t="n"/>
      <c r="I766" s="83" t="n"/>
      <c r="J766" s="82" t="n"/>
      <c r="K766" s="84" t="n"/>
      <c r="L766" s="85" t="n"/>
      <c r="M766" s="82" t="n"/>
      <c r="N766" s="86" t="n"/>
      <c r="O766" s="81" t="n"/>
      <c r="P766" s="82" t="n"/>
      <c r="Q766" s="83" t="n"/>
      <c r="R766" s="82" t="n"/>
      <c r="S766" s="84" t="n"/>
      <c r="T766" s="84" t="n"/>
      <c r="U766" s="82" t="n"/>
      <c r="V766" s="86" t="n"/>
      <c r="W766" s="86" t="n"/>
      <c r="X766" s="86" t="n"/>
      <c r="Y766" s="81" t="n"/>
      <c r="Z766" s="82" t="n"/>
      <c r="AA766" s="81" t="n"/>
      <c r="AB766" s="82" t="n"/>
      <c r="AC766" s="87">
        <f>IF(OR($D766="",$M766="Rejected",$M766="Withdrawn",$M766="Accepted"),"",IF(ISNUMBER($O766),IF(INT($O766)&lt;TODAY(),"FOLLOW UP REQUIRED",IF(INT($O766)=TODAY(),"ACTION DUE TODAY",IF(INT($O766)-TODAY()&lt;=Set_DueSoonDays,"DUE SOON",""))),IF(AND($M766="Applied",$AA766=""),IF(ISNUMBER($C766),IF(TODAY()-$C766&gt;=Set_FollowUpDays,"NO RESPONSE",""),""),"")))</f>
        <v/>
      </c>
      <c r="AD766" s="87">
        <f>IF(ISNUMBER($L766),IF($L766&gt;=90,"Excellent Match",IF($L766&gt;=75,"Strong Match",IF($L766&gt;=60,"Moderate Match","Low Match"))),"")</f>
        <v/>
      </c>
      <c r="AE766" s="87">
        <f>IF($D766="","",IF(OR($M766="Rejected",$M766="Withdrawn"),IF($AB766&lt;&gt;"",$AB766,IF(OR($M766="Rejected",ISNUMBER($C766)),"Applied","Wishlist")),IF($M766="",IF(ISNUMBER($C766),"Applied","Wishlist"),$M766)))</f>
        <v/>
      </c>
      <c r="AF766" s="88">
        <f>IF(AND(ISNUMBER($C766),ISNUMBER($AA766)),$AA766-$C766,"")</f>
        <v/>
      </c>
      <c r="AG766" s="87">
        <f>IF($AE766="","",IFERROR(MATCH($AE766,{"Wishlist","Applied","Screening","Interview 1","Interview 2","Final","Offer","Accepted"},0)-1,""))</f>
        <v/>
      </c>
      <c r="AH766" s="87">
        <f>IF($AC766="","",MATCH($AC766,{"FOLLOW UP REQUIRED","ACTION DUE TODAY","NO RESPONSE","DUE SOON"},0)*100000+IF(ISNUMBER($O766),$O766,IF(ISNUMBER($C766),$C766,0))+ROW()/10000)</f>
        <v/>
      </c>
      <c r="AI766" s="87">
        <f>IF(AND(ISNUMBER($AG766),$AG766&gt;=1,$AG766&lt;=6,$M766&lt;&gt;"Rejected",$M766&lt;&gt;"Withdrawn"),(10-$AG766)*100000+IF(ISNUMBER($C766),$C766,0)+ROW()/10000,"")</f>
        <v/>
      </c>
    </row>
    <row r="767">
      <c r="A767" s="80" t="n"/>
      <c r="B767" s="81" t="n"/>
      <c r="C767" s="81" t="n"/>
      <c r="D767" s="82" t="n"/>
      <c r="E767" s="82" t="n"/>
      <c r="F767" s="82" t="n"/>
      <c r="G767" s="82" t="n"/>
      <c r="H767" s="82" t="n"/>
      <c r="I767" s="83" t="n"/>
      <c r="J767" s="82" t="n"/>
      <c r="K767" s="84" t="n"/>
      <c r="L767" s="85" t="n"/>
      <c r="M767" s="82" t="n"/>
      <c r="N767" s="86" t="n"/>
      <c r="O767" s="81" t="n"/>
      <c r="P767" s="82" t="n"/>
      <c r="Q767" s="83" t="n"/>
      <c r="R767" s="82" t="n"/>
      <c r="S767" s="84" t="n"/>
      <c r="T767" s="84" t="n"/>
      <c r="U767" s="82" t="n"/>
      <c r="V767" s="86" t="n"/>
      <c r="W767" s="86" t="n"/>
      <c r="X767" s="86" t="n"/>
      <c r="Y767" s="81" t="n"/>
      <c r="Z767" s="82" t="n"/>
      <c r="AA767" s="81" t="n"/>
      <c r="AB767" s="82" t="n"/>
      <c r="AC767" s="87">
        <f>IF(OR($D767="",$M767="Rejected",$M767="Withdrawn",$M767="Accepted"),"",IF(ISNUMBER($O767),IF(INT($O767)&lt;TODAY(),"FOLLOW UP REQUIRED",IF(INT($O767)=TODAY(),"ACTION DUE TODAY",IF(INT($O767)-TODAY()&lt;=Set_DueSoonDays,"DUE SOON",""))),IF(AND($M767="Applied",$AA767=""),IF(ISNUMBER($C767),IF(TODAY()-$C767&gt;=Set_FollowUpDays,"NO RESPONSE",""),""),"")))</f>
        <v/>
      </c>
      <c r="AD767" s="87">
        <f>IF(ISNUMBER($L767),IF($L767&gt;=90,"Excellent Match",IF($L767&gt;=75,"Strong Match",IF($L767&gt;=60,"Moderate Match","Low Match"))),"")</f>
        <v/>
      </c>
      <c r="AE767" s="87">
        <f>IF($D767="","",IF(OR($M767="Rejected",$M767="Withdrawn"),IF($AB767&lt;&gt;"",$AB767,IF(OR($M767="Rejected",ISNUMBER($C767)),"Applied","Wishlist")),IF($M767="",IF(ISNUMBER($C767),"Applied","Wishlist"),$M767)))</f>
        <v/>
      </c>
      <c r="AF767" s="88">
        <f>IF(AND(ISNUMBER($C767),ISNUMBER($AA767)),$AA767-$C767,"")</f>
        <v/>
      </c>
      <c r="AG767" s="87">
        <f>IF($AE767="","",IFERROR(MATCH($AE767,{"Wishlist","Applied","Screening","Interview 1","Interview 2","Final","Offer","Accepted"},0)-1,""))</f>
        <v/>
      </c>
      <c r="AH767" s="87">
        <f>IF($AC767="","",MATCH($AC767,{"FOLLOW UP REQUIRED","ACTION DUE TODAY","NO RESPONSE","DUE SOON"},0)*100000+IF(ISNUMBER($O767),$O767,IF(ISNUMBER($C767),$C767,0))+ROW()/10000)</f>
        <v/>
      </c>
      <c r="AI767" s="87">
        <f>IF(AND(ISNUMBER($AG767),$AG767&gt;=1,$AG767&lt;=6,$M767&lt;&gt;"Rejected",$M767&lt;&gt;"Withdrawn"),(10-$AG767)*100000+IF(ISNUMBER($C767),$C767,0)+ROW()/10000,"")</f>
        <v/>
      </c>
    </row>
    <row r="768">
      <c r="A768" s="80" t="n"/>
      <c r="B768" s="81" t="n"/>
      <c r="C768" s="81" t="n"/>
      <c r="D768" s="82" t="n"/>
      <c r="E768" s="82" t="n"/>
      <c r="F768" s="82" t="n"/>
      <c r="G768" s="82" t="n"/>
      <c r="H768" s="82" t="n"/>
      <c r="I768" s="83" t="n"/>
      <c r="J768" s="82" t="n"/>
      <c r="K768" s="84" t="n"/>
      <c r="L768" s="85" t="n"/>
      <c r="M768" s="82" t="n"/>
      <c r="N768" s="86" t="n"/>
      <c r="O768" s="81" t="n"/>
      <c r="P768" s="82" t="n"/>
      <c r="Q768" s="83" t="n"/>
      <c r="R768" s="82" t="n"/>
      <c r="S768" s="84" t="n"/>
      <c r="T768" s="84" t="n"/>
      <c r="U768" s="82" t="n"/>
      <c r="V768" s="86" t="n"/>
      <c r="W768" s="86" t="n"/>
      <c r="X768" s="86" t="n"/>
      <c r="Y768" s="81" t="n"/>
      <c r="Z768" s="82" t="n"/>
      <c r="AA768" s="81" t="n"/>
      <c r="AB768" s="82" t="n"/>
      <c r="AC768" s="87">
        <f>IF(OR($D768="",$M768="Rejected",$M768="Withdrawn",$M768="Accepted"),"",IF(ISNUMBER($O768),IF(INT($O768)&lt;TODAY(),"FOLLOW UP REQUIRED",IF(INT($O768)=TODAY(),"ACTION DUE TODAY",IF(INT($O768)-TODAY()&lt;=Set_DueSoonDays,"DUE SOON",""))),IF(AND($M768="Applied",$AA768=""),IF(ISNUMBER($C768),IF(TODAY()-$C768&gt;=Set_FollowUpDays,"NO RESPONSE",""),""),"")))</f>
        <v/>
      </c>
      <c r="AD768" s="87">
        <f>IF(ISNUMBER($L768),IF($L768&gt;=90,"Excellent Match",IF($L768&gt;=75,"Strong Match",IF($L768&gt;=60,"Moderate Match","Low Match"))),"")</f>
        <v/>
      </c>
      <c r="AE768" s="87">
        <f>IF($D768="","",IF(OR($M768="Rejected",$M768="Withdrawn"),IF($AB768&lt;&gt;"",$AB768,IF(OR($M768="Rejected",ISNUMBER($C768)),"Applied","Wishlist")),IF($M768="",IF(ISNUMBER($C768),"Applied","Wishlist"),$M768)))</f>
        <v/>
      </c>
      <c r="AF768" s="88">
        <f>IF(AND(ISNUMBER($C768),ISNUMBER($AA768)),$AA768-$C768,"")</f>
        <v/>
      </c>
      <c r="AG768" s="87">
        <f>IF($AE768="","",IFERROR(MATCH($AE768,{"Wishlist","Applied","Screening","Interview 1","Interview 2","Final","Offer","Accepted"},0)-1,""))</f>
        <v/>
      </c>
      <c r="AH768" s="87">
        <f>IF($AC768="","",MATCH($AC768,{"FOLLOW UP REQUIRED","ACTION DUE TODAY","NO RESPONSE","DUE SOON"},0)*100000+IF(ISNUMBER($O768),$O768,IF(ISNUMBER($C768),$C768,0))+ROW()/10000)</f>
        <v/>
      </c>
      <c r="AI768" s="87">
        <f>IF(AND(ISNUMBER($AG768),$AG768&gt;=1,$AG768&lt;=6,$M768&lt;&gt;"Rejected",$M768&lt;&gt;"Withdrawn"),(10-$AG768)*100000+IF(ISNUMBER($C768),$C768,0)+ROW()/10000,"")</f>
        <v/>
      </c>
    </row>
    <row r="769">
      <c r="A769" s="80" t="n"/>
      <c r="B769" s="81" t="n"/>
      <c r="C769" s="81" t="n"/>
      <c r="D769" s="82" t="n"/>
      <c r="E769" s="82" t="n"/>
      <c r="F769" s="82" t="n"/>
      <c r="G769" s="82" t="n"/>
      <c r="H769" s="82" t="n"/>
      <c r="I769" s="83" t="n"/>
      <c r="J769" s="82" t="n"/>
      <c r="K769" s="84" t="n"/>
      <c r="L769" s="85" t="n"/>
      <c r="M769" s="82" t="n"/>
      <c r="N769" s="86" t="n"/>
      <c r="O769" s="81" t="n"/>
      <c r="P769" s="82" t="n"/>
      <c r="Q769" s="83" t="n"/>
      <c r="R769" s="82" t="n"/>
      <c r="S769" s="84" t="n"/>
      <c r="T769" s="84" t="n"/>
      <c r="U769" s="82" t="n"/>
      <c r="V769" s="86" t="n"/>
      <c r="W769" s="86" t="n"/>
      <c r="X769" s="86" t="n"/>
      <c r="Y769" s="81" t="n"/>
      <c r="Z769" s="82" t="n"/>
      <c r="AA769" s="81" t="n"/>
      <c r="AB769" s="82" t="n"/>
      <c r="AC769" s="87">
        <f>IF(OR($D769="",$M769="Rejected",$M769="Withdrawn",$M769="Accepted"),"",IF(ISNUMBER($O769),IF(INT($O769)&lt;TODAY(),"FOLLOW UP REQUIRED",IF(INT($O769)=TODAY(),"ACTION DUE TODAY",IF(INT($O769)-TODAY()&lt;=Set_DueSoonDays,"DUE SOON",""))),IF(AND($M769="Applied",$AA769=""),IF(ISNUMBER($C769),IF(TODAY()-$C769&gt;=Set_FollowUpDays,"NO RESPONSE",""),""),"")))</f>
        <v/>
      </c>
      <c r="AD769" s="87">
        <f>IF(ISNUMBER($L769),IF($L769&gt;=90,"Excellent Match",IF($L769&gt;=75,"Strong Match",IF($L769&gt;=60,"Moderate Match","Low Match"))),"")</f>
        <v/>
      </c>
      <c r="AE769" s="87">
        <f>IF($D769="","",IF(OR($M769="Rejected",$M769="Withdrawn"),IF($AB769&lt;&gt;"",$AB769,IF(OR($M769="Rejected",ISNUMBER($C769)),"Applied","Wishlist")),IF($M769="",IF(ISNUMBER($C769),"Applied","Wishlist"),$M769)))</f>
        <v/>
      </c>
      <c r="AF769" s="88">
        <f>IF(AND(ISNUMBER($C769),ISNUMBER($AA769)),$AA769-$C769,"")</f>
        <v/>
      </c>
      <c r="AG769" s="87">
        <f>IF($AE769="","",IFERROR(MATCH($AE769,{"Wishlist","Applied","Screening","Interview 1","Interview 2","Final","Offer","Accepted"},0)-1,""))</f>
        <v/>
      </c>
      <c r="AH769" s="87">
        <f>IF($AC769="","",MATCH($AC769,{"FOLLOW UP REQUIRED","ACTION DUE TODAY","NO RESPONSE","DUE SOON"},0)*100000+IF(ISNUMBER($O769),$O769,IF(ISNUMBER($C769),$C769,0))+ROW()/10000)</f>
        <v/>
      </c>
      <c r="AI769" s="87">
        <f>IF(AND(ISNUMBER($AG769),$AG769&gt;=1,$AG769&lt;=6,$M769&lt;&gt;"Rejected",$M769&lt;&gt;"Withdrawn"),(10-$AG769)*100000+IF(ISNUMBER($C769),$C769,0)+ROW()/10000,"")</f>
        <v/>
      </c>
    </row>
    <row r="770">
      <c r="A770" s="80" t="n"/>
      <c r="B770" s="81" t="n"/>
      <c r="C770" s="81" t="n"/>
      <c r="D770" s="82" t="n"/>
      <c r="E770" s="82" t="n"/>
      <c r="F770" s="82" t="n"/>
      <c r="G770" s="82" t="n"/>
      <c r="H770" s="82" t="n"/>
      <c r="I770" s="83" t="n"/>
      <c r="J770" s="82" t="n"/>
      <c r="K770" s="84" t="n"/>
      <c r="L770" s="85" t="n"/>
      <c r="M770" s="82" t="n"/>
      <c r="N770" s="86" t="n"/>
      <c r="O770" s="81" t="n"/>
      <c r="P770" s="82" t="n"/>
      <c r="Q770" s="83" t="n"/>
      <c r="R770" s="82" t="n"/>
      <c r="S770" s="84" t="n"/>
      <c r="T770" s="84" t="n"/>
      <c r="U770" s="82" t="n"/>
      <c r="V770" s="86" t="n"/>
      <c r="W770" s="86" t="n"/>
      <c r="X770" s="86" t="n"/>
      <c r="Y770" s="81" t="n"/>
      <c r="Z770" s="82" t="n"/>
      <c r="AA770" s="81" t="n"/>
      <c r="AB770" s="82" t="n"/>
      <c r="AC770" s="87">
        <f>IF(OR($D770="",$M770="Rejected",$M770="Withdrawn",$M770="Accepted"),"",IF(ISNUMBER($O770),IF(INT($O770)&lt;TODAY(),"FOLLOW UP REQUIRED",IF(INT($O770)=TODAY(),"ACTION DUE TODAY",IF(INT($O770)-TODAY()&lt;=Set_DueSoonDays,"DUE SOON",""))),IF(AND($M770="Applied",$AA770=""),IF(ISNUMBER($C770),IF(TODAY()-$C770&gt;=Set_FollowUpDays,"NO RESPONSE",""),""),"")))</f>
        <v/>
      </c>
      <c r="AD770" s="87">
        <f>IF(ISNUMBER($L770),IF($L770&gt;=90,"Excellent Match",IF($L770&gt;=75,"Strong Match",IF($L770&gt;=60,"Moderate Match","Low Match"))),"")</f>
        <v/>
      </c>
      <c r="AE770" s="87">
        <f>IF($D770="","",IF(OR($M770="Rejected",$M770="Withdrawn"),IF($AB770&lt;&gt;"",$AB770,IF(OR($M770="Rejected",ISNUMBER($C770)),"Applied","Wishlist")),IF($M770="",IF(ISNUMBER($C770),"Applied","Wishlist"),$M770)))</f>
        <v/>
      </c>
      <c r="AF770" s="88">
        <f>IF(AND(ISNUMBER($C770),ISNUMBER($AA770)),$AA770-$C770,"")</f>
        <v/>
      </c>
      <c r="AG770" s="87">
        <f>IF($AE770="","",IFERROR(MATCH($AE770,{"Wishlist","Applied","Screening","Interview 1","Interview 2","Final","Offer","Accepted"},0)-1,""))</f>
        <v/>
      </c>
      <c r="AH770" s="87">
        <f>IF($AC770="","",MATCH($AC770,{"FOLLOW UP REQUIRED","ACTION DUE TODAY","NO RESPONSE","DUE SOON"},0)*100000+IF(ISNUMBER($O770),$O770,IF(ISNUMBER($C770),$C770,0))+ROW()/10000)</f>
        <v/>
      </c>
      <c r="AI770" s="87">
        <f>IF(AND(ISNUMBER($AG770),$AG770&gt;=1,$AG770&lt;=6,$M770&lt;&gt;"Rejected",$M770&lt;&gt;"Withdrawn"),(10-$AG770)*100000+IF(ISNUMBER($C770),$C770,0)+ROW()/10000,"")</f>
        <v/>
      </c>
    </row>
    <row r="771">
      <c r="A771" s="80" t="n"/>
      <c r="B771" s="81" t="n"/>
      <c r="C771" s="81" t="n"/>
      <c r="D771" s="82" t="n"/>
      <c r="E771" s="82" t="n"/>
      <c r="F771" s="82" t="n"/>
      <c r="G771" s="82" t="n"/>
      <c r="H771" s="82" t="n"/>
      <c r="I771" s="83" t="n"/>
      <c r="J771" s="82" t="n"/>
      <c r="K771" s="84" t="n"/>
      <c r="L771" s="85" t="n"/>
      <c r="M771" s="82" t="n"/>
      <c r="N771" s="86" t="n"/>
      <c r="O771" s="81" t="n"/>
      <c r="P771" s="82" t="n"/>
      <c r="Q771" s="83" t="n"/>
      <c r="R771" s="82" t="n"/>
      <c r="S771" s="84" t="n"/>
      <c r="T771" s="84" t="n"/>
      <c r="U771" s="82" t="n"/>
      <c r="V771" s="86" t="n"/>
      <c r="W771" s="86" t="n"/>
      <c r="X771" s="86" t="n"/>
      <c r="Y771" s="81" t="n"/>
      <c r="Z771" s="82" t="n"/>
      <c r="AA771" s="81" t="n"/>
      <c r="AB771" s="82" t="n"/>
      <c r="AC771" s="87">
        <f>IF(OR($D771="",$M771="Rejected",$M771="Withdrawn",$M771="Accepted"),"",IF(ISNUMBER($O771),IF(INT($O771)&lt;TODAY(),"FOLLOW UP REQUIRED",IF(INT($O771)=TODAY(),"ACTION DUE TODAY",IF(INT($O771)-TODAY()&lt;=Set_DueSoonDays,"DUE SOON",""))),IF(AND($M771="Applied",$AA771=""),IF(ISNUMBER($C771),IF(TODAY()-$C771&gt;=Set_FollowUpDays,"NO RESPONSE",""),""),"")))</f>
        <v/>
      </c>
      <c r="AD771" s="87">
        <f>IF(ISNUMBER($L771),IF($L771&gt;=90,"Excellent Match",IF($L771&gt;=75,"Strong Match",IF($L771&gt;=60,"Moderate Match","Low Match"))),"")</f>
        <v/>
      </c>
      <c r="AE771" s="87">
        <f>IF($D771="","",IF(OR($M771="Rejected",$M771="Withdrawn"),IF($AB771&lt;&gt;"",$AB771,IF(OR($M771="Rejected",ISNUMBER($C771)),"Applied","Wishlist")),IF($M771="",IF(ISNUMBER($C771),"Applied","Wishlist"),$M771)))</f>
        <v/>
      </c>
      <c r="AF771" s="88">
        <f>IF(AND(ISNUMBER($C771),ISNUMBER($AA771)),$AA771-$C771,"")</f>
        <v/>
      </c>
      <c r="AG771" s="87">
        <f>IF($AE771="","",IFERROR(MATCH($AE771,{"Wishlist","Applied","Screening","Interview 1","Interview 2","Final","Offer","Accepted"},0)-1,""))</f>
        <v/>
      </c>
      <c r="AH771" s="87">
        <f>IF($AC771="","",MATCH($AC771,{"FOLLOW UP REQUIRED","ACTION DUE TODAY","NO RESPONSE","DUE SOON"},0)*100000+IF(ISNUMBER($O771),$O771,IF(ISNUMBER($C771),$C771,0))+ROW()/10000)</f>
        <v/>
      </c>
      <c r="AI771" s="87">
        <f>IF(AND(ISNUMBER($AG771),$AG771&gt;=1,$AG771&lt;=6,$M771&lt;&gt;"Rejected",$M771&lt;&gt;"Withdrawn"),(10-$AG771)*100000+IF(ISNUMBER($C771),$C771,0)+ROW()/10000,"")</f>
        <v/>
      </c>
    </row>
    <row r="772">
      <c r="A772" s="80" t="n"/>
      <c r="B772" s="81" t="n"/>
      <c r="C772" s="81" t="n"/>
      <c r="D772" s="82" t="n"/>
      <c r="E772" s="82" t="n"/>
      <c r="F772" s="82" t="n"/>
      <c r="G772" s="82" t="n"/>
      <c r="H772" s="82" t="n"/>
      <c r="I772" s="83" t="n"/>
      <c r="J772" s="82" t="n"/>
      <c r="K772" s="84" t="n"/>
      <c r="L772" s="85" t="n"/>
      <c r="M772" s="82" t="n"/>
      <c r="N772" s="86" t="n"/>
      <c r="O772" s="81" t="n"/>
      <c r="P772" s="82" t="n"/>
      <c r="Q772" s="83" t="n"/>
      <c r="R772" s="82" t="n"/>
      <c r="S772" s="84" t="n"/>
      <c r="T772" s="84" t="n"/>
      <c r="U772" s="82" t="n"/>
      <c r="V772" s="86" t="n"/>
      <c r="W772" s="86" t="n"/>
      <c r="X772" s="86" t="n"/>
      <c r="Y772" s="81" t="n"/>
      <c r="Z772" s="82" t="n"/>
      <c r="AA772" s="81" t="n"/>
      <c r="AB772" s="82" t="n"/>
      <c r="AC772" s="87">
        <f>IF(OR($D772="",$M772="Rejected",$M772="Withdrawn",$M772="Accepted"),"",IF(ISNUMBER($O772),IF(INT($O772)&lt;TODAY(),"FOLLOW UP REQUIRED",IF(INT($O772)=TODAY(),"ACTION DUE TODAY",IF(INT($O772)-TODAY()&lt;=Set_DueSoonDays,"DUE SOON",""))),IF(AND($M772="Applied",$AA772=""),IF(ISNUMBER($C772),IF(TODAY()-$C772&gt;=Set_FollowUpDays,"NO RESPONSE",""),""),"")))</f>
        <v/>
      </c>
      <c r="AD772" s="87">
        <f>IF(ISNUMBER($L772),IF($L772&gt;=90,"Excellent Match",IF($L772&gt;=75,"Strong Match",IF($L772&gt;=60,"Moderate Match","Low Match"))),"")</f>
        <v/>
      </c>
      <c r="AE772" s="87">
        <f>IF($D772="","",IF(OR($M772="Rejected",$M772="Withdrawn"),IF($AB772&lt;&gt;"",$AB772,IF(OR($M772="Rejected",ISNUMBER($C772)),"Applied","Wishlist")),IF($M772="",IF(ISNUMBER($C772),"Applied","Wishlist"),$M772)))</f>
        <v/>
      </c>
      <c r="AF772" s="88">
        <f>IF(AND(ISNUMBER($C772),ISNUMBER($AA772)),$AA772-$C772,"")</f>
        <v/>
      </c>
      <c r="AG772" s="87">
        <f>IF($AE772="","",IFERROR(MATCH($AE772,{"Wishlist","Applied","Screening","Interview 1","Interview 2","Final","Offer","Accepted"},0)-1,""))</f>
        <v/>
      </c>
      <c r="AH772" s="87">
        <f>IF($AC772="","",MATCH($AC772,{"FOLLOW UP REQUIRED","ACTION DUE TODAY","NO RESPONSE","DUE SOON"},0)*100000+IF(ISNUMBER($O772),$O772,IF(ISNUMBER($C772),$C772,0))+ROW()/10000)</f>
        <v/>
      </c>
      <c r="AI772" s="87">
        <f>IF(AND(ISNUMBER($AG772),$AG772&gt;=1,$AG772&lt;=6,$M772&lt;&gt;"Rejected",$M772&lt;&gt;"Withdrawn"),(10-$AG772)*100000+IF(ISNUMBER($C772),$C772,0)+ROW()/10000,"")</f>
        <v/>
      </c>
    </row>
    <row r="773">
      <c r="A773" s="80" t="n"/>
      <c r="B773" s="81" t="n"/>
      <c r="C773" s="81" t="n"/>
      <c r="D773" s="82" t="n"/>
      <c r="E773" s="82" t="n"/>
      <c r="F773" s="82" t="n"/>
      <c r="G773" s="82" t="n"/>
      <c r="H773" s="82" t="n"/>
      <c r="I773" s="83" t="n"/>
      <c r="J773" s="82" t="n"/>
      <c r="K773" s="84" t="n"/>
      <c r="L773" s="85" t="n"/>
      <c r="M773" s="82" t="n"/>
      <c r="N773" s="86" t="n"/>
      <c r="O773" s="81" t="n"/>
      <c r="P773" s="82" t="n"/>
      <c r="Q773" s="83" t="n"/>
      <c r="R773" s="82" t="n"/>
      <c r="S773" s="84" t="n"/>
      <c r="T773" s="84" t="n"/>
      <c r="U773" s="82" t="n"/>
      <c r="V773" s="86" t="n"/>
      <c r="W773" s="86" t="n"/>
      <c r="X773" s="86" t="n"/>
      <c r="Y773" s="81" t="n"/>
      <c r="Z773" s="82" t="n"/>
      <c r="AA773" s="81" t="n"/>
      <c r="AB773" s="82" t="n"/>
      <c r="AC773" s="87">
        <f>IF(OR($D773="",$M773="Rejected",$M773="Withdrawn",$M773="Accepted"),"",IF(ISNUMBER($O773),IF(INT($O773)&lt;TODAY(),"FOLLOW UP REQUIRED",IF(INT($O773)=TODAY(),"ACTION DUE TODAY",IF(INT($O773)-TODAY()&lt;=Set_DueSoonDays,"DUE SOON",""))),IF(AND($M773="Applied",$AA773=""),IF(ISNUMBER($C773),IF(TODAY()-$C773&gt;=Set_FollowUpDays,"NO RESPONSE",""),""),"")))</f>
        <v/>
      </c>
      <c r="AD773" s="87">
        <f>IF(ISNUMBER($L773),IF($L773&gt;=90,"Excellent Match",IF($L773&gt;=75,"Strong Match",IF($L773&gt;=60,"Moderate Match","Low Match"))),"")</f>
        <v/>
      </c>
      <c r="AE773" s="87">
        <f>IF($D773="","",IF(OR($M773="Rejected",$M773="Withdrawn"),IF($AB773&lt;&gt;"",$AB773,IF(OR($M773="Rejected",ISNUMBER($C773)),"Applied","Wishlist")),IF($M773="",IF(ISNUMBER($C773),"Applied","Wishlist"),$M773)))</f>
        <v/>
      </c>
      <c r="AF773" s="88">
        <f>IF(AND(ISNUMBER($C773),ISNUMBER($AA773)),$AA773-$C773,"")</f>
        <v/>
      </c>
      <c r="AG773" s="87">
        <f>IF($AE773="","",IFERROR(MATCH($AE773,{"Wishlist","Applied","Screening","Interview 1","Interview 2","Final","Offer","Accepted"},0)-1,""))</f>
        <v/>
      </c>
      <c r="AH773" s="87">
        <f>IF($AC773="","",MATCH($AC773,{"FOLLOW UP REQUIRED","ACTION DUE TODAY","NO RESPONSE","DUE SOON"},0)*100000+IF(ISNUMBER($O773),$O773,IF(ISNUMBER($C773),$C773,0))+ROW()/10000)</f>
        <v/>
      </c>
      <c r="AI773" s="87">
        <f>IF(AND(ISNUMBER($AG773),$AG773&gt;=1,$AG773&lt;=6,$M773&lt;&gt;"Rejected",$M773&lt;&gt;"Withdrawn"),(10-$AG773)*100000+IF(ISNUMBER($C773),$C773,0)+ROW()/10000,"")</f>
        <v/>
      </c>
    </row>
    <row r="774">
      <c r="A774" s="80" t="n"/>
      <c r="B774" s="81" t="n"/>
      <c r="C774" s="81" t="n"/>
      <c r="D774" s="82" t="n"/>
      <c r="E774" s="82" t="n"/>
      <c r="F774" s="82" t="n"/>
      <c r="G774" s="82" t="n"/>
      <c r="H774" s="82" t="n"/>
      <c r="I774" s="83" t="n"/>
      <c r="J774" s="82" t="n"/>
      <c r="K774" s="84" t="n"/>
      <c r="L774" s="85" t="n"/>
      <c r="M774" s="82" t="n"/>
      <c r="N774" s="86" t="n"/>
      <c r="O774" s="81" t="n"/>
      <c r="P774" s="82" t="n"/>
      <c r="Q774" s="83" t="n"/>
      <c r="R774" s="82" t="n"/>
      <c r="S774" s="84" t="n"/>
      <c r="T774" s="84" t="n"/>
      <c r="U774" s="82" t="n"/>
      <c r="V774" s="86" t="n"/>
      <c r="W774" s="86" t="n"/>
      <c r="X774" s="86" t="n"/>
      <c r="Y774" s="81" t="n"/>
      <c r="Z774" s="82" t="n"/>
      <c r="AA774" s="81" t="n"/>
      <c r="AB774" s="82" t="n"/>
      <c r="AC774" s="87">
        <f>IF(OR($D774="",$M774="Rejected",$M774="Withdrawn",$M774="Accepted"),"",IF(ISNUMBER($O774),IF(INT($O774)&lt;TODAY(),"FOLLOW UP REQUIRED",IF(INT($O774)=TODAY(),"ACTION DUE TODAY",IF(INT($O774)-TODAY()&lt;=Set_DueSoonDays,"DUE SOON",""))),IF(AND($M774="Applied",$AA774=""),IF(ISNUMBER($C774),IF(TODAY()-$C774&gt;=Set_FollowUpDays,"NO RESPONSE",""),""),"")))</f>
        <v/>
      </c>
      <c r="AD774" s="87">
        <f>IF(ISNUMBER($L774),IF($L774&gt;=90,"Excellent Match",IF($L774&gt;=75,"Strong Match",IF($L774&gt;=60,"Moderate Match","Low Match"))),"")</f>
        <v/>
      </c>
      <c r="AE774" s="87">
        <f>IF($D774="","",IF(OR($M774="Rejected",$M774="Withdrawn"),IF($AB774&lt;&gt;"",$AB774,IF(OR($M774="Rejected",ISNUMBER($C774)),"Applied","Wishlist")),IF($M774="",IF(ISNUMBER($C774),"Applied","Wishlist"),$M774)))</f>
        <v/>
      </c>
      <c r="AF774" s="88">
        <f>IF(AND(ISNUMBER($C774),ISNUMBER($AA774)),$AA774-$C774,"")</f>
        <v/>
      </c>
      <c r="AG774" s="87">
        <f>IF($AE774="","",IFERROR(MATCH($AE774,{"Wishlist","Applied","Screening","Interview 1","Interview 2","Final","Offer","Accepted"},0)-1,""))</f>
        <v/>
      </c>
      <c r="AH774" s="87">
        <f>IF($AC774="","",MATCH($AC774,{"FOLLOW UP REQUIRED","ACTION DUE TODAY","NO RESPONSE","DUE SOON"},0)*100000+IF(ISNUMBER($O774),$O774,IF(ISNUMBER($C774),$C774,0))+ROW()/10000)</f>
        <v/>
      </c>
      <c r="AI774" s="87">
        <f>IF(AND(ISNUMBER($AG774),$AG774&gt;=1,$AG774&lt;=6,$M774&lt;&gt;"Rejected",$M774&lt;&gt;"Withdrawn"),(10-$AG774)*100000+IF(ISNUMBER($C774),$C774,0)+ROW()/10000,"")</f>
        <v/>
      </c>
    </row>
    <row r="775">
      <c r="A775" s="80" t="n"/>
      <c r="B775" s="81" t="n"/>
      <c r="C775" s="81" t="n"/>
      <c r="D775" s="82" t="n"/>
      <c r="E775" s="82" t="n"/>
      <c r="F775" s="82" t="n"/>
      <c r="G775" s="82" t="n"/>
      <c r="H775" s="82" t="n"/>
      <c r="I775" s="83" t="n"/>
      <c r="J775" s="82" t="n"/>
      <c r="K775" s="84" t="n"/>
      <c r="L775" s="85" t="n"/>
      <c r="M775" s="82" t="n"/>
      <c r="N775" s="86" t="n"/>
      <c r="O775" s="81" t="n"/>
      <c r="P775" s="82" t="n"/>
      <c r="Q775" s="83" t="n"/>
      <c r="R775" s="82" t="n"/>
      <c r="S775" s="84" t="n"/>
      <c r="T775" s="84" t="n"/>
      <c r="U775" s="82" t="n"/>
      <c r="V775" s="86" t="n"/>
      <c r="W775" s="86" t="n"/>
      <c r="X775" s="86" t="n"/>
      <c r="Y775" s="81" t="n"/>
      <c r="Z775" s="82" t="n"/>
      <c r="AA775" s="81" t="n"/>
      <c r="AB775" s="82" t="n"/>
      <c r="AC775" s="87">
        <f>IF(OR($D775="",$M775="Rejected",$M775="Withdrawn",$M775="Accepted"),"",IF(ISNUMBER($O775),IF(INT($O775)&lt;TODAY(),"FOLLOW UP REQUIRED",IF(INT($O775)=TODAY(),"ACTION DUE TODAY",IF(INT($O775)-TODAY()&lt;=Set_DueSoonDays,"DUE SOON",""))),IF(AND($M775="Applied",$AA775=""),IF(ISNUMBER($C775),IF(TODAY()-$C775&gt;=Set_FollowUpDays,"NO RESPONSE",""),""),"")))</f>
        <v/>
      </c>
      <c r="AD775" s="87">
        <f>IF(ISNUMBER($L775),IF($L775&gt;=90,"Excellent Match",IF($L775&gt;=75,"Strong Match",IF($L775&gt;=60,"Moderate Match","Low Match"))),"")</f>
        <v/>
      </c>
      <c r="AE775" s="87">
        <f>IF($D775="","",IF(OR($M775="Rejected",$M775="Withdrawn"),IF($AB775&lt;&gt;"",$AB775,IF(OR($M775="Rejected",ISNUMBER($C775)),"Applied","Wishlist")),IF($M775="",IF(ISNUMBER($C775),"Applied","Wishlist"),$M775)))</f>
        <v/>
      </c>
      <c r="AF775" s="88">
        <f>IF(AND(ISNUMBER($C775),ISNUMBER($AA775)),$AA775-$C775,"")</f>
        <v/>
      </c>
      <c r="AG775" s="87">
        <f>IF($AE775="","",IFERROR(MATCH($AE775,{"Wishlist","Applied","Screening","Interview 1","Interview 2","Final","Offer","Accepted"},0)-1,""))</f>
        <v/>
      </c>
      <c r="AH775" s="87">
        <f>IF($AC775="","",MATCH($AC775,{"FOLLOW UP REQUIRED","ACTION DUE TODAY","NO RESPONSE","DUE SOON"},0)*100000+IF(ISNUMBER($O775),$O775,IF(ISNUMBER($C775),$C775,0))+ROW()/10000)</f>
        <v/>
      </c>
      <c r="AI775" s="87">
        <f>IF(AND(ISNUMBER($AG775),$AG775&gt;=1,$AG775&lt;=6,$M775&lt;&gt;"Rejected",$M775&lt;&gt;"Withdrawn"),(10-$AG775)*100000+IF(ISNUMBER($C775),$C775,0)+ROW()/10000,"")</f>
        <v/>
      </c>
    </row>
    <row r="776">
      <c r="A776" s="80" t="n"/>
      <c r="B776" s="81" t="n"/>
      <c r="C776" s="81" t="n"/>
      <c r="D776" s="82" t="n"/>
      <c r="E776" s="82" t="n"/>
      <c r="F776" s="82" t="n"/>
      <c r="G776" s="82" t="n"/>
      <c r="H776" s="82" t="n"/>
      <c r="I776" s="83" t="n"/>
      <c r="J776" s="82" t="n"/>
      <c r="K776" s="84" t="n"/>
      <c r="L776" s="85" t="n"/>
      <c r="M776" s="82" t="n"/>
      <c r="N776" s="86" t="n"/>
      <c r="O776" s="81" t="n"/>
      <c r="P776" s="82" t="n"/>
      <c r="Q776" s="83" t="n"/>
      <c r="R776" s="82" t="n"/>
      <c r="S776" s="84" t="n"/>
      <c r="T776" s="84" t="n"/>
      <c r="U776" s="82" t="n"/>
      <c r="V776" s="86" t="n"/>
      <c r="W776" s="86" t="n"/>
      <c r="X776" s="86" t="n"/>
      <c r="Y776" s="81" t="n"/>
      <c r="Z776" s="82" t="n"/>
      <c r="AA776" s="81" t="n"/>
      <c r="AB776" s="82" t="n"/>
      <c r="AC776" s="87">
        <f>IF(OR($D776="",$M776="Rejected",$M776="Withdrawn",$M776="Accepted"),"",IF(ISNUMBER($O776),IF(INT($O776)&lt;TODAY(),"FOLLOW UP REQUIRED",IF(INT($O776)=TODAY(),"ACTION DUE TODAY",IF(INT($O776)-TODAY()&lt;=Set_DueSoonDays,"DUE SOON",""))),IF(AND($M776="Applied",$AA776=""),IF(ISNUMBER($C776),IF(TODAY()-$C776&gt;=Set_FollowUpDays,"NO RESPONSE",""),""),"")))</f>
        <v/>
      </c>
      <c r="AD776" s="87">
        <f>IF(ISNUMBER($L776),IF($L776&gt;=90,"Excellent Match",IF($L776&gt;=75,"Strong Match",IF($L776&gt;=60,"Moderate Match","Low Match"))),"")</f>
        <v/>
      </c>
      <c r="AE776" s="87">
        <f>IF($D776="","",IF(OR($M776="Rejected",$M776="Withdrawn"),IF($AB776&lt;&gt;"",$AB776,IF(OR($M776="Rejected",ISNUMBER($C776)),"Applied","Wishlist")),IF($M776="",IF(ISNUMBER($C776),"Applied","Wishlist"),$M776)))</f>
        <v/>
      </c>
      <c r="AF776" s="88">
        <f>IF(AND(ISNUMBER($C776),ISNUMBER($AA776)),$AA776-$C776,"")</f>
        <v/>
      </c>
      <c r="AG776" s="87">
        <f>IF($AE776="","",IFERROR(MATCH($AE776,{"Wishlist","Applied","Screening","Interview 1","Interview 2","Final","Offer","Accepted"},0)-1,""))</f>
        <v/>
      </c>
      <c r="AH776" s="87">
        <f>IF($AC776="","",MATCH($AC776,{"FOLLOW UP REQUIRED","ACTION DUE TODAY","NO RESPONSE","DUE SOON"},0)*100000+IF(ISNUMBER($O776),$O776,IF(ISNUMBER($C776),$C776,0))+ROW()/10000)</f>
        <v/>
      </c>
      <c r="AI776" s="87">
        <f>IF(AND(ISNUMBER($AG776),$AG776&gt;=1,$AG776&lt;=6,$M776&lt;&gt;"Rejected",$M776&lt;&gt;"Withdrawn"),(10-$AG776)*100000+IF(ISNUMBER($C776),$C776,0)+ROW()/10000,"")</f>
        <v/>
      </c>
    </row>
    <row r="777">
      <c r="A777" s="80" t="n"/>
      <c r="B777" s="81" t="n"/>
      <c r="C777" s="81" t="n"/>
      <c r="D777" s="82" t="n"/>
      <c r="E777" s="82" t="n"/>
      <c r="F777" s="82" t="n"/>
      <c r="G777" s="82" t="n"/>
      <c r="H777" s="82" t="n"/>
      <c r="I777" s="83" t="n"/>
      <c r="J777" s="82" t="n"/>
      <c r="K777" s="84" t="n"/>
      <c r="L777" s="85" t="n"/>
      <c r="M777" s="82" t="n"/>
      <c r="N777" s="86" t="n"/>
      <c r="O777" s="81" t="n"/>
      <c r="P777" s="82" t="n"/>
      <c r="Q777" s="83" t="n"/>
      <c r="R777" s="82" t="n"/>
      <c r="S777" s="84" t="n"/>
      <c r="T777" s="84" t="n"/>
      <c r="U777" s="82" t="n"/>
      <c r="V777" s="86" t="n"/>
      <c r="W777" s="86" t="n"/>
      <c r="X777" s="86" t="n"/>
      <c r="Y777" s="81" t="n"/>
      <c r="Z777" s="82" t="n"/>
      <c r="AA777" s="81" t="n"/>
      <c r="AB777" s="82" t="n"/>
      <c r="AC777" s="87">
        <f>IF(OR($D777="",$M777="Rejected",$M777="Withdrawn",$M777="Accepted"),"",IF(ISNUMBER($O777),IF(INT($O777)&lt;TODAY(),"FOLLOW UP REQUIRED",IF(INT($O777)=TODAY(),"ACTION DUE TODAY",IF(INT($O777)-TODAY()&lt;=Set_DueSoonDays,"DUE SOON",""))),IF(AND($M777="Applied",$AA777=""),IF(ISNUMBER($C777),IF(TODAY()-$C777&gt;=Set_FollowUpDays,"NO RESPONSE",""),""),"")))</f>
        <v/>
      </c>
      <c r="AD777" s="87">
        <f>IF(ISNUMBER($L777),IF($L777&gt;=90,"Excellent Match",IF($L777&gt;=75,"Strong Match",IF($L777&gt;=60,"Moderate Match","Low Match"))),"")</f>
        <v/>
      </c>
      <c r="AE777" s="87">
        <f>IF($D777="","",IF(OR($M777="Rejected",$M777="Withdrawn"),IF($AB777&lt;&gt;"",$AB777,IF(OR($M777="Rejected",ISNUMBER($C777)),"Applied","Wishlist")),IF($M777="",IF(ISNUMBER($C777),"Applied","Wishlist"),$M777)))</f>
        <v/>
      </c>
      <c r="AF777" s="88">
        <f>IF(AND(ISNUMBER($C777),ISNUMBER($AA777)),$AA777-$C777,"")</f>
        <v/>
      </c>
      <c r="AG777" s="87">
        <f>IF($AE777="","",IFERROR(MATCH($AE777,{"Wishlist","Applied","Screening","Interview 1","Interview 2","Final","Offer","Accepted"},0)-1,""))</f>
        <v/>
      </c>
      <c r="AH777" s="87">
        <f>IF($AC777="","",MATCH($AC777,{"FOLLOW UP REQUIRED","ACTION DUE TODAY","NO RESPONSE","DUE SOON"},0)*100000+IF(ISNUMBER($O777),$O777,IF(ISNUMBER($C777),$C777,0))+ROW()/10000)</f>
        <v/>
      </c>
      <c r="AI777" s="87">
        <f>IF(AND(ISNUMBER($AG777),$AG777&gt;=1,$AG777&lt;=6,$M777&lt;&gt;"Rejected",$M777&lt;&gt;"Withdrawn"),(10-$AG777)*100000+IF(ISNUMBER($C777),$C777,0)+ROW()/10000,"")</f>
        <v/>
      </c>
    </row>
    <row r="778">
      <c r="A778" s="80" t="n"/>
      <c r="B778" s="81" t="n"/>
      <c r="C778" s="81" t="n"/>
      <c r="D778" s="82" t="n"/>
      <c r="E778" s="82" t="n"/>
      <c r="F778" s="82" t="n"/>
      <c r="G778" s="82" t="n"/>
      <c r="H778" s="82" t="n"/>
      <c r="I778" s="83" t="n"/>
      <c r="J778" s="82" t="n"/>
      <c r="K778" s="84" t="n"/>
      <c r="L778" s="85" t="n"/>
      <c r="M778" s="82" t="n"/>
      <c r="N778" s="86" t="n"/>
      <c r="O778" s="81" t="n"/>
      <c r="P778" s="82" t="n"/>
      <c r="Q778" s="83" t="n"/>
      <c r="R778" s="82" t="n"/>
      <c r="S778" s="84" t="n"/>
      <c r="T778" s="84" t="n"/>
      <c r="U778" s="82" t="n"/>
      <c r="V778" s="86" t="n"/>
      <c r="W778" s="86" t="n"/>
      <c r="X778" s="86" t="n"/>
      <c r="Y778" s="81" t="n"/>
      <c r="Z778" s="82" t="n"/>
      <c r="AA778" s="81" t="n"/>
      <c r="AB778" s="82" t="n"/>
      <c r="AC778" s="87">
        <f>IF(OR($D778="",$M778="Rejected",$M778="Withdrawn",$M778="Accepted"),"",IF(ISNUMBER($O778),IF(INT($O778)&lt;TODAY(),"FOLLOW UP REQUIRED",IF(INT($O778)=TODAY(),"ACTION DUE TODAY",IF(INT($O778)-TODAY()&lt;=Set_DueSoonDays,"DUE SOON",""))),IF(AND($M778="Applied",$AA778=""),IF(ISNUMBER($C778),IF(TODAY()-$C778&gt;=Set_FollowUpDays,"NO RESPONSE",""),""),"")))</f>
        <v/>
      </c>
      <c r="AD778" s="87">
        <f>IF(ISNUMBER($L778),IF($L778&gt;=90,"Excellent Match",IF($L778&gt;=75,"Strong Match",IF($L778&gt;=60,"Moderate Match","Low Match"))),"")</f>
        <v/>
      </c>
      <c r="AE778" s="87">
        <f>IF($D778="","",IF(OR($M778="Rejected",$M778="Withdrawn"),IF($AB778&lt;&gt;"",$AB778,IF(OR($M778="Rejected",ISNUMBER($C778)),"Applied","Wishlist")),IF($M778="",IF(ISNUMBER($C778),"Applied","Wishlist"),$M778)))</f>
        <v/>
      </c>
      <c r="AF778" s="88">
        <f>IF(AND(ISNUMBER($C778),ISNUMBER($AA778)),$AA778-$C778,"")</f>
        <v/>
      </c>
      <c r="AG778" s="87">
        <f>IF($AE778="","",IFERROR(MATCH($AE778,{"Wishlist","Applied","Screening","Interview 1","Interview 2","Final","Offer","Accepted"},0)-1,""))</f>
        <v/>
      </c>
      <c r="AH778" s="87">
        <f>IF($AC778="","",MATCH($AC778,{"FOLLOW UP REQUIRED","ACTION DUE TODAY","NO RESPONSE","DUE SOON"},0)*100000+IF(ISNUMBER($O778),$O778,IF(ISNUMBER($C778),$C778,0))+ROW()/10000)</f>
        <v/>
      </c>
      <c r="AI778" s="87">
        <f>IF(AND(ISNUMBER($AG778),$AG778&gt;=1,$AG778&lt;=6,$M778&lt;&gt;"Rejected",$M778&lt;&gt;"Withdrawn"),(10-$AG778)*100000+IF(ISNUMBER($C778),$C778,0)+ROW()/10000,"")</f>
        <v/>
      </c>
    </row>
    <row r="779">
      <c r="A779" s="80" t="n"/>
      <c r="B779" s="81" t="n"/>
      <c r="C779" s="81" t="n"/>
      <c r="D779" s="82" t="n"/>
      <c r="E779" s="82" t="n"/>
      <c r="F779" s="82" t="n"/>
      <c r="G779" s="82" t="n"/>
      <c r="H779" s="82" t="n"/>
      <c r="I779" s="83" t="n"/>
      <c r="J779" s="82" t="n"/>
      <c r="K779" s="84" t="n"/>
      <c r="L779" s="85" t="n"/>
      <c r="M779" s="82" t="n"/>
      <c r="N779" s="86" t="n"/>
      <c r="O779" s="81" t="n"/>
      <c r="P779" s="82" t="n"/>
      <c r="Q779" s="83" t="n"/>
      <c r="R779" s="82" t="n"/>
      <c r="S779" s="84" t="n"/>
      <c r="T779" s="84" t="n"/>
      <c r="U779" s="82" t="n"/>
      <c r="V779" s="86" t="n"/>
      <c r="W779" s="86" t="n"/>
      <c r="X779" s="86" t="n"/>
      <c r="Y779" s="81" t="n"/>
      <c r="Z779" s="82" t="n"/>
      <c r="AA779" s="81" t="n"/>
      <c r="AB779" s="82" t="n"/>
      <c r="AC779" s="87">
        <f>IF(OR($D779="",$M779="Rejected",$M779="Withdrawn",$M779="Accepted"),"",IF(ISNUMBER($O779),IF(INT($O779)&lt;TODAY(),"FOLLOW UP REQUIRED",IF(INT($O779)=TODAY(),"ACTION DUE TODAY",IF(INT($O779)-TODAY()&lt;=Set_DueSoonDays,"DUE SOON",""))),IF(AND($M779="Applied",$AA779=""),IF(ISNUMBER($C779),IF(TODAY()-$C779&gt;=Set_FollowUpDays,"NO RESPONSE",""),""),"")))</f>
        <v/>
      </c>
      <c r="AD779" s="87">
        <f>IF(ISNUMBER($L779),IF($L779&gt;=90,"Excellent Match",IF($L779&gt;=75,"Strong Match",IF($L779&gt;=60,"Moderate Match","Low Match"))),"")</f>
        <v/>
      </c>
      <c r="AE779" s="87">
        <f>IF($D779="","",IF(OR($M779="Rejected",$M779="Withdrawn"),IF($AB779&lt;&gt;"",$AB779,IF(OR($M779="Rejected",ISNUMBER($C779)),"Applied","Wishlist")),IF($M779="",IF(ISNUMBER($C779),"Applied","Wishlist"),$M779)))</f>
        <v/>
      </c>
      <c r="AF779" s="88">
        <f>IF(AND(ISNUMBER($C779),ISNUMBER($AA779)),$AA779-$C779,"")</f>
        <v/>
      </c>
      <c r="AG779" s="87">
        <f>IF($AE779="","",IFERROR(MATCH($AE779,{"Wishlist","Applied","Screening","Interview 1","Interview 2","Final","Offer","Accepted"},0)-1,""))</f>
        <v/>
      </c>
      <c r="AH779" s="87">
        <f>IF($AC779="","",MATCH($AC779,{"FOLLOW UP REQUIRED","ACTION DUE TODAY","NO RESPONSE","DUE SOON"},0)*100000+IF(ISNUMBER($O779),$O779,IF(ISNUMBER($C779),$C779,0))+ROW()/10000)</f>
        <v/>
      </c>
      <c r="AI779" s="87">
        <f>IF(AND(ISNUMBER($AG779),$AG779&gt;=1,$AG779&lt;=6,$M779&lt;&gt;"Rejected",$M779&lt;&gt;"Withdrawn"),(10-$AG779)*100000+IF(ISNUMBER($C779),$C779,0)+ROW()/10000,"")</f>
        <v/>
      </c>
    </row>
    <row r="780">
      <c r="A780" s="80" t="n"/>
      <c r="B780" s="81" t="n"/>
      <c r="C780" s="81" t="n"/>
      <c r="D780" s="82" t="n"/>
      <c r="E780" s="82" t="n"/>
      <c r="F780" s="82" t="n"/>
      <c r="G780" s="82" t="n"/>
      <c r="H780" s="82" t="n"/>
      <c r="I780" s="83" t="n"/>
      <c r="J780" s="82" t="n"/>
      <c r="K780" s="84" t="n"/>
      <c r="L780" s="85" t="n"/>
      <c r="M780" s="82" t="n"/>
      <c r="N780" s="86" t="n"/>
      <c r="O780" s="81" t="n"/>
      <c r="P780" s="82" t="n"/>
      <c r="Q780" s="83" t="n"/>
      <c r="R780" s="82" t="n"/>
      <c r="S780" s="84" t="n"/>
      <c r="T780" s="84" t="n"/>
      <c r="U780" s="82" t="n"/>
      <c r="V780" s="86" t="n"/>
      <c r="W780" s="86" t="n"/>
      <c r="X780" s="86" t="n"/>
      <c r="Y780" s="81" t="n"/>
      <c r="Z780" s="82" t="n"/>
      <c r="AA780" s="81" t="n"/>
      <c r="AB780" s="82" t="n"/>
      <c r="AC780" s="87">
        <f>IF(OR($D780="",$M780="Rejected",$M780="Withdrawn",$M780="Accepted"),"",IF(ISNUMBER($O780),IF(INT($O780)&lt;TODAY(),"FOLLOW UP REQUIRED",IF(INT($O780)=TODAY(),"ACTION DUE TODAY",IF(INT($O780)-TODAY()&lt;=Set_DueSoonDays,"DUE SOON",""))),IF(AND($M780="Applied",$AA780=""),IF(ISNUMBER($C780),IF(TODAY()-$C780&gt;=Set_FollowUpDays,"NO RESPONSE",""),""),"")))</f>
        <v/>
      </c>
      <c r="AD780" s="87">
        <f>IF(ISNUMBER($L780),IF($L780&gt;=90,"Excellent Match",IF($L780&gt;=75,"Strong Match",IF($L780&gt;=60,"Moderate Match","Low Match"))),"")</f>
        <v/>
      </c>
      <c r="AE780" s="87">
        <f>IF($D780="","",IF(OR($M780="Rejected",$M780="Withdrawn"),IF($AB780&lt;&gt;"",$AB780,IF(OR($M780="Rejected",ISNUMBER($C780)),"Applied","Wishlist")),IF($M780="",IF(ISNUMBER($C780),"Applied","Wishlist"),$M780)))</f>
        <v/>
      </c>
      <c r="AF780" s="88">
        <f>IF(AND(ISNUMBER($C780),ISNUMBER($AA780)),$AA780-$C780,"")</f>
        <v/>
      </c>
      <c r="AG780" s="87">
        <f>IF($AE780="","",IFERROR(MATCH($AE780,{"Wishlist","Applied","Screening","Interview 1","Interview 2","Final","Offer","Accepted"},0)-1,""))</f>
        <v/>
      </c>
      <c r="AH780" s="87">
        <f>IF($AC780="","",MATCH($AC780,{"FOLLOW UP REQUIRED","ACTION DUE TODAY","NO RESPONSE","DUE SOON"},0)*100000+IF(ISNUMBER($O780),$O780,IF(ISNUMBER($C780),$C780,0))+ROW()/10000)</f>
        <v/>
      </c>
      <c r="AI780" s="87">
        <f>IF(AND(ISNUMBER($AG780),$AG780&gt;=1,$AG780&lt;=6,$M780&lt;&gt;"Rejected",$M780&lt;&gt;"Withdrawn"),(10-$AG780)*100000+IF(ISNUMBER($C780),$C780,0)+ROW()/10000,"")</f>
        <v/>
      </c>
    </row>
    <row r="781">
      <c r="A781" s="80" t="n"/>
      <c r="B781" s="81" t="n"/>
      <c r="C781" s="81" t="n"/>
      <c r="D781" s="82" t="n"/>
      <c r="E781" s="82" t="n"/>
      <c r="F781" s="82" t="n"/>
      <c r="G781" s="82" t="n"/>
      <c r="H781" s="82" t="n"/>
      <c r="I781" s="83" t="n"/>
      <c r="J781" s="82" t="n"/>
      <c r="K781" s="84" t="n"/>
      <c r="L781" s="85" t="n"/>
      <c r="M781" s="82" t="n"/>
      <c r="N781" s="86" t="n"/>
      <c r="O781" s="81" t="n"/>
      <c r="P781" s="82" t="n"/>
      <c r="Q781" s="83" t="n"/>
      <c r="R781" s="82" t="n"/>
      <c r="S781" s="84" t="n"/>
      <c r="T781" s="84" t="n"/>
      <c r="U781" s="82" t="n"/>
      <c r="V781" s="86" t="n"/>
      <c r="W781" s="86" t="n"/>
      <c r="X781" s="86" t="n"/>
      <c r="Y781" s="81" t="n"/>
      <c r="Z781" s="82" t="n"/>
      <c r="AA781" s="81" t="n"/>
      <c r="AB781" s="82" t="n"/>
      <c r="AC781" s="87">
        <f>IF(OR($D781="",$M781="Rejected",$M781="Withdrawn",$M781="Accepted"),"",IF(ISNUMBER($O781),IF(INT($O781)&lt;TODAY(),"FOLLOW UP REQUIRED",IF(INT($O781)=TODAY(),"ACTION DUE TODAY",IF(INT($O781)-TODAY()&lt;=Set_DueSoonDays,"DUE SOON",""))),IF(AND($M781="Applied",$AA781=""),IF(ISNUMBER($C781),IF(TODAY()-$C781&gt;=Set_FollowUpDays,"NO RESPONSE",""),""),"")))</f>
        <v/>
      </c>
      <c r="AD781" s="87">
        <f>IF(ISNUMBER($L781),IF($L781&gt;=90,"Excellent Match",IF($L781&gt;=75,"Strong Match",IF($L781&gt;=60,"Moderate Match","Low Match"))),"")</f>
        <v/>
      </c>
      <c r="AE781" s="87">
        <f>IF($D781="","",IF(OR($M781="Rejected",$M781="Withdrawn"),IF($AB781&lt;&gt;"",$AB781,IF(OR($M781="Rejected",ISNUMBER($C781)),"Applied","Wishlist")),IF($M781="",IF(ISNUMBER($C781),"Applied","Wishlist"),$M781)))</f>
        <v/>
      </c>
      <c r="AF781" s="88">
        <f>IF(AND(ISNUMBER($C781),ISNUMBER($AA781)),$AA781-$C781,"")</f>
        <v/>
      </c>
      <c r="AG781" s="87">
        <f>IF($AE781="","",IFERROR(MATCH($AE781,{"Wishlist","Applied","Screening","Interview 1","Interview 2","Final","Offer","Accepted"},0)-1,""))</f>
        <v/>
      </c>
      <c r="AH781" s="87">
        <f>IF($AC781="","",MATCH($AC781,{"FOLLOW UP REQUIRED","ACTION DUE TODAY","NO RESPONSE","DUE SOON"},0)*100000+IF(ISNUMBER($O781),$O781,IF(ISNUMBER($C781),$C781,0))+ROW()/10000)</f>
        <v/>
      </c>
      <c r="AI781" s="87">
        <f>IF(AND(ISNUMBER($AG781),$AG781&gt;=1,$AG781&lt;=6,$M781&lt;&gt;"Rejected",$M781&lt;&gt;"Withdrawn"),(10-$AG781)*100000+IF(ISNUMBER($C781),$C781,0)+ROW()/10000,"")</f>
        <v/>
      </c>
    </row>
    <row r="782">
      <c r="A782" s="80" t="n"/>
      <c r="B782" s="81" t="n"/>
      <c r="C782" s="81" t="n"/>
      <c r="D782" s="82" t="n"/>
      <c r="E782" s="82" t="n"/>
      <c r="F782" s="82" t="n"/>
      <c r="G782" s="82" t="n"/>
      <c r="H782" s="82" t="n"/>
      <c r="I782" s="83" t="n"/>
      <c r="J782" s="82" t="n"/>
      <c r="K782" s="84" t="n"/>
      <c r="L782" s="85" t="n"/>
      <c r="M782" s="82" t="n"/>
      <c r="N782" s="86" t="n"/>
      <c r="O782" s="81" t="n"/>
      <c r="P782" s="82" t="n"/>
      <c r="Q782" s="83" t="n"/>
      <c r="R782" s="82" t="n"/>
      <c r="S782" s="84" t="n"/>
      <c r="T782" s="84" t="n"/>
      <c r="U782" s="82" t="n"/>
      <c r="V782" s="86" t="n"/>
      <c r="W782" s="86" t="n"/>
      <c r="X782" s="86" t="n"/>
      <c r="Y782" s="81" t="n"/>
      <c r="Z782" s="82" t="n"/>
      <c r="AA782" s="81" t="n"/>
      <c r="AB782" s="82" t="n"/>
      <c r="AC782" s="87">
        <f>IF(OR($D782="",$M782="Rejected",$M782="Withdrawn",$M782="Accepted"),"",IF(ISNUMBER($O782),IF(INT($O782)&lt;TODAY(),"FOLLOW UP REQUIRED",IF(INT($O782)=TODAY(),"ACTION DUE TODAY",IF(INT($O782)-TODAY()&lt;=Set_DueSoonDays,"DUE SOON",""))),IF(AND($M782="Applied",$AA782=""),IF(ISNUMBER($C782),IF(TODAY()-$C782&gt;=Set_FollowUpDays,"NO RESPONSE",""),""),"")))</f>
        <v/>
      </c>
      <c r="AD782" s="87">
        <f>IF(ISNUMBER($L782),IF($L782&gt;=90,"Excellent Match",IF($L782&gt;=75,"Strong Match",IF($L782&gt;=60,"Moderate Match","Low Match"))),"")</f>
        <v/>
      </c>
      <c r="AE782" s="87">
        <f>IF($D782="","",IF(OR($M782="Rejected",$M782="Withdrawn"),IF($AB782&lt;&gt;"",$AB782,IF(OR($M782="Rejected",ISNUMBER($C782)),"Applied","Wishlist")),IF($M782="",IF(ISNUMBER($C782),"Applied","Wishlist"),$M782)))</f>
        <v/>
      </c>
      <c r="AF782" s="88">
        <f>IF(AND(ISNUMBER($C782),ISNUMBER($AA782)),$AA782-$C782,"")</f>
        <v/>
      </c>
      <c r="AG782" s="87">
        <f>IF($AE782="","",IFERROR(MATCH($AE782,{"Wishlist","Applied","Screening","Interview 1","Interview 2","Final","Offer","Accepted"},0)-1,""))</f>
        <v/>
      </c>
      <c r="AH782" s="87">
        <f>IF($AC782="","",MATCH($AC782,{"FOLLOW UP REQUIRED","ACTION DUE TODAY","NO RESPONSE","DUE SOON"},0)*100000+IF(ISNUMBER($O782),$O782,IF(ISNUMBER($C782),$C782,0))+ROW()/10000)</f>
        <v/>
      </c>
      <c r="AI782" s="87">
        <f>IF(AND(ISNUMBER($AG782),$AG782&gt;=1,$AG782&lt;=6,$M782&lt;&gt;"Rejected",$M782&lt;&gt;"Withdrawn"),(10-$AG782)*100000+IF(ISNUMBER($C782),$C782,0)+ROW()/10000,"")</f>
        <v/>
      </c>
    </row>
    <row r="783">
      <c r="A783" s="80" t="n"/>
      <c r="B783" s="81" t="n"/>
      <c r="C783" s="81" t="n"/>
      <c r="D783" s="82" t="n"/>
      <c r="E783" s="82" t="n"/>
      <c r="F783" s="82" t="n"/>
      <c r="G783" s="82" t="n"/>
      <c r="H783" s="82" t="n"/>
      <c r="I783" s="83" t="n"/>
      <c r="J783" s="82" t="n"/>
      <c r="K783" s="84" t="n"/>
      <c r="L783" s="85" t="n"/>
      <c r="M783" s="82" t="n"/>
      <c r="N783" s="86" t="n"/>
      <c r="O783" s="81" t="n"/>
      <c r="P783" s="82" t="n"/>
      <c r="Q783" s="83" t="n"/>
      <c r="R783" s="82" t="n"/>
      <c r="S783" s="84" t="n"/>
      <c r="T783" s="84" t="n"/>
      <c r="U783" s="82" t="n"/>
      <c r="V783" s="86" t="n"/>
      <c r="W783" s="86" t="n"/>
      <c r="X783" s="86" t="n"/>
      <c r="Y783" s="81" t="n"/>
      <c r="Z783" s="82" t="n"/>
      <c r="AA783" s="81" t="n"/>
      <c r="AB783" s="82" t="n"/>
      <c r="AC783" s="87">
        <f>IF(OR($D783="",$M783="Rejected",$M783="Withdrawn",$M783="Accepted"),"",IF(ISNUMBER($O783),IF(INT($O783)&lt;TODAY(),"FOLLOW UP REQUIRED",IF(INT($O783)=TODAY(),"ACTION DUE TODAY",IF(INT($O783)-TODAY()&lt;=Set_DueSoonDays,"DUE SOON",""))),IF(AND($M783="Applied",$AA783=""),IF(ISNUMBER($C783),IF(TODAY()-$C783&gt;=Set_FollowUpDays,"NO RESPONSE",""),""),"")))</f>
        <v/>
      </c>
      <c r="AD783" s="87">
        <f>IF(ISNUMBER($L783),IF($L783&gt;=90,"Excellent Match",IF($L783&gt;=75,"Strong Match",IF($L783&gt;=60,"Moderate Match","Low Match"))),"")</f>
        <v/>
      </c>
      <c r="AE783" s="87">
        <f>IF($D783="","",IF(OR($M783="Rejected",$M783="Withdrawn"),IF($AB783&lt;&gt;"",$AB783,IF(OR($M783="Rejected",ISNUMBER($C783)),"Applied","Wishlist")),IF($M783="",IF(ISNUMBER($C783),"Applied","Wishlist"),$M783)))</f>
        <v/>
      </c>
      <c r="AF783" s="88">
        <f>IF(AND(ISNUMBER($C783),ISNUMBER($AA783)),$AA783-$C783,"")</f>
        <v/>
      </c>
      <c r="AG783" s="87">
        <f>IF($AE783="","",IFERROR(MATCH($AE783,{"Wishlist","Applied","Screening","Interview 1","Interview 2","Final","Offer","Accepted"},0)-1,""))</f>
        <v/>
      </c>
      <c r="AH783" s="87">
        <f>IF($AC783="","",MATCH($AC783,{"FOLLOW UP REQUIRED","ACTION DUE TODAY","NO RESPONSE","DUE SOON"},0)*100000+IF(ISNUMBER($O783),$O783,IF(ISNUMBER($C783),$C783,0))+ROW()/10000)</f>
        <v/>
      </c>
      <c r="AI783" s="87">
        <f>IF(AND(ISNUMBER($AG783),$AG783&gt;=1,$AG783&lt;=6,$M783&lt;&gt;"Rejected",$M783&lt;&gt;"Withdrawn"),(10-$AG783)*100000+IF(ISNUMBER($C783),$C783,0)+ROW()/10000,"")</f>
        <v/>
      </c>
    </row>
    <row r="784">
      <c r="A784" s="80" t="n"/>
      <c r="B784" s="81" t="n"/>
      <c r="C784" s="81" t="n"/>
      <c r="D784" s="82" t="n"/>
      <c r="E784" s="82" t="n"/>
      <c r="F784" s="82" t="n"/>
      <c r="G784" s="82" t="n"/>
      <c r="H784" s="82" t="n"/>
      <c r="I784" s="83" t="n"/>
      <c r="J784" s="82" t="n"/>
      <c r="K784" s="84" t="n"/>
      <c r="L784" s="85" t="n"/>
      <c r="M784" s="82" t="n"/>
      <c r="N784" s="86" t="n"/>
      <c r="O784" s="81" t="n"/>
      <c r="P784" s="82" t="n"/>
      <c r="Q784" s="83" t="n"/>
      <c r="R784" s="82" t="n"/>
      <c r="S784" s="84" t="n"/>
      <c r="T784" s="84" t="n"/>
      <c r="U784" s="82" t="n"/>
      <c r="V784" s="86" t="n"/>
      <c r="W784" s="86" t="n"/>
      <c r="X784" s="86" t="n"/>
      <c r="Y784" s="81" t="n"/>
      <c r="Z784" s="82" t="n"/>
      <c r="AA784" s="81" t="n"/>
      <c r="AB784" s="82" t="n"/>
      <c r="AC784" s="87">
        <f>IF(OR($D784="",$M784="Rejected",$M784="Withdrawn",$M784="Accepted"),"",IF(ISNUMBER($O784),IF(INT($O784)&lt;TODAY(),"FOLLOW UP REQUIRED",IF(INT($O784)=TODAY(),"ACTION DUE TODAY",IF(INT($O784)-TODAY()&lt;=Set_DueSoonDays,"DUE SOON",""))),IF(AND($M784="Applied",$AA784=""),IF(ISNUMBER($C784),IF(TODAY()-$C784&gt;=Set_FollowUpDays,"NO RESPONSE",""),""),"")))</f>
        <v/>
      </c>
      <c r="AD784" s="87">
        <f>IF(ISNUMBER($L784),IF($L784&gt;=90,"Excellent Match",IF($L784&gt;=75,"Strong Match",IF($L784&gt;=60,"Moderate Match","Low Match"))),"")</f>
        <v/>
      </c>
      <c r="AE784" s="87">
        <f>IF($D784="","",IF(OR($M784="Rejected",$M784="Withdrawn"),IF($AB784&lt;&gt;"",$AB784,IF(OR($M784="Rejected",ISNUMBER($C784)),"Applied","Wishlist")),IF($M784="",IF(ISNUMBER($C784),"Applied","Wishlist"),$M784)))</f>
        <v/>
      </c>
      <c r="AF784" s="88">
        <f>IF(AND(ISNUMBER($C784),ISNUMBER($AA784)),$AA784-$C784,"")</f>
        <v/>
      </c>
      <c r="AG784" s="87">
        <f>IF($AE784="","",IFERROR(MATCH($AE784,{"Wishlist","Applied","Screening","Interview 1","Interview 2","Final","Offer","Accepted"},0)-1,""))</f>
        <v/>
      </c>
      <c r="AH784" s="87">
        <f>IF($AC784="","",MATCH($AC784,{"FOLLOW UP REQUIRED","ACTION DUE TODAY","NO RESPONSE","DUE SOON"},0)*100000+IF(ISNUMBER($O784),$O784,IF(ISNUMBER($C784),$C784,0))+ROW()/10000)</f>
        <v/>
      </c>
      <c r="AI784" s="87">
        <f>IF(AND(ISNUMBER($AG784),$AG784&gt;=1,$AG784&lt;=6,$M784&lt;&gt;"Rejected",$M784&lt;&gt;"Withdrawn"),(10-$AG784)*100000+IF(ISNUMBER($C784),$C784,0)+ROW()/10000,"")</f>
        <v/>
      </c>
    </row>
    <row r="785">
      <c r="A785" s="80" t="n"/>
      <c r="B785" s="81" t="n"/>
      <c r="C785" s="81" t="n"/>
      <c r="D785" s="82" t="n"/>
      <c r="E785" s="82" t="n"/>
      <c r="F785" s="82" t="n"/>
      <c r="G785" s="82" t="n"/>
      <c r="H785" s="82" t="n"/>
      <c r="I785" s="83" t="n"/>
      <c r="J785" s="82" t="n"/>
      <c r="K785" s="84" t="n"/>
      <c r="L785" s="85" t="n"/>
      <c r="M785" s="82" t="n"/>
      <c r="N785" s="86" t="n"/>
      <c r="O785" s="81" t="n"/>
      <c r="P785" s="82" t="n"/>
      <c r="Q785" s="83" t="n"/>
      <c r="R785" s="82" t="n"/>
      <c r="S785" s="84" t="n"/>
      <c r="T785" s="84" t="n"/>
      <c r="U785" s="82" t="n"/>
      <c r="V785" s="86" t="n"/>
      <c r="W785" s="86" t="n"/>
      <c r="X785" s="86" t="n"/>
      <c r="Y785" s="81" t="n"/>
      <c r="Z785" s="82" t="n"/>
      <c r="AA785" s="81" t="n"/>
      <c r="AB785" s="82" t="n"/>
      <c r="AC785" s="87">
        <f>IF(OR($D785="",$M785="Rejected",$M785="Withdrawn",$M785="Accepted"),"",IF(ISNUMBER($O785),IF(INT($O785)&lt;TODAY(),"FOLLOW UP REQUIRED",IF(INT($O785)=TODAY(),"ACTION DUE TODAY",IF(INT($O785)-TODAY()&lt;=Set_DueSoonDays,"DUE SOON",""))),IF(AND($M785="Applied",$AA785=""),IF(ISNUMBER($C785),IF(TODAY()-$C785&gt;=Set_FollowUpDays,"NO RESPONSE",""),""),"")))</f>
        <v/>
      </c>
      <c r="AD785" s="87">
        <f>IF(ISNUMBER($L785),IF($L785&gt;=90,"Excellent Match",IF($L785&gt;=75,"Strong Match",IF($L785&gt;=60,"Moderate Match","Low Match"))),"")</f>
        <v/>
      </c>
      <c r="AE785" s="87">
        <f>IF($D785="","",IF(OR($M785="Rejected",$M785="Withdrawn"),IF($AB785&lt;&gt;"",$AB785,IF(OR($M785="Rejected",ISNUMBER($C785)),"Applied","Wishlist")),IF($M785="",IF(ISNUMBER($C785),"Applied","Wishlist"),$M785)))</f>
        <v/>
      </c>
      <c r="AF785" s="88">
        <f>IF(AND(ISNUMBER($C785),ISNUMBER($AA785)),$AA785-$C785,"")</f>
        <v/>
      </c>
      <c r="AG785" s="87">
        <f>IF($AE785="","",IFERROR(MATCH($AE785,{"Wishlist","Applied","Screening","Interview 1","Interview 2","Final","Offer","Accepted"},0)-1,""))</f>
        <v/>
      </c>
      <c r="AH785" s="87">
        <f>IF($AC785="","",MATCH($AC785,{"FOLLOW UP REQUIRED","ACTION DUE TODAY","NO RESPONSE","DUE SOON"},0)*100000+IF(ISNUMBER($O785),$O785,IF(ISNUMBER($C785),$C785,0))+ROW()/10000)</f>
        <v/>
      </c>
      <c r="AI785" s="87">
        <f>IF(AND(ISNUMBER($AG785),$AG785&gt;=1,$AG785&lt;=6,$M785&lt;&gt;"Rejected",$M785&lt;&gt;"Withdrawn"),(10-$AG785)*100000+IF(ISNUMBER($C785),$C785,0)+ROW()/10000,"")</f>
        <v/>
      </c>
    </row>
    <row r="786">
      <c r="A786" s="80" t="n"/>
      <c r="B786" s="81" t="n"/>
      <c r="C786" s="81" t="n"/>
      <c r="D786" s="82" t="n"/>
      <c r="E786" s="82" t="n"/>
      <c r="F786" s="82" t="n"/>
      <c r="G786" s="82" t="n"/>
      <c r="H786" s="82" t="n"/>
      <c r="I786" s="83" t="n"/>
      <c r="J786" s="82" t="n"/>
      <c r="K786" s="84" t="n"/>
      <c r="L786" s="85" t="n"/>
      <c r="M786" s="82" t="n"/>
      <c r="N786" s="86" t="n"/>
      <c r="O786" s="81" t="n"/>
      <c r="P786" s="82" t="n"/>
      <c r="Q786" s="83" t="n"/>
      <c r="R786" s="82" t="n"/>
      <c r="S786" s="84" t="n"/>
      <c r="T786" s="84" t="n"/>
      <c r="U786" s="82" t="n"/>
      <c r="V786" s="86" t="n"/>
      <c r="W786" s="86" t="n"/>
      <c r="X786" s="86" t="n"/>
      <c r="Y786" s="81" t="n"/>
      <c r="Z786" s="82" t="n"/>
      <c r="AA786" s="81" t="n"/>
      <c r="AB786" s="82" t="n"/>
      <c r="AC786" s="87">
        <f>IF(OR($D786="",$M786="Rejected",$M786="Withdrawn",$M786="Accepted"),"",IF(ISNUMBER($O786),IF(INT($O786)&lt;TODAY(),"FOLLOW UP REQUIRED",IF(INT($O786)=TODAY(),"ACTION DUE TODAY",IF(INT($O786)-TODAY()&lt;=Set_DueSoonDays,"DUE SOON",""))),IF(AND($M786="Applied",$AA786=""),IF(ISNUMBER($C786),IF(TODAY()-$C786&gt;=Set_FollowUpDays,"NO RESPONSE",""),""),"")))</f>
        <v/>
      </c>
      <c r="AD786" s="87">
        <f>IF(ISNUMBER($L786),IF($L786&gt;=90,"Excellent Match",IF($L786&gt;=75,"Strong Match",IF($L786&gt;=60,"Moderate Match","Low Match"))),"")</f>
        <v/>
      </c>
      <c r="AE786" s="87">
        <f>IF($D786="","",IF(OR($M786="Rejected",$M786="Withdrawn"),IF($AB786&lt;&gt;"",$AB786,IF(OR($M786="Rejected",ISNUMBER($C786)),"Applied","Wishlist")),IF($M786="",IF(ISNUMBER($C786),"Applied","Wishlist"),$M786)))</f>
        <v/>
      </c>
      <c r="AF786" s="88">
        <f>IF(AND(ISNUMBER($C786),ISNUMBER($AA786)),$AA786-$C786,"")</f>
        <v/>
      </c>
      <c r="AG786" s="87">
        <f>IF($AE786="","",IFERROR(MATCH($AE786,{"Wishlist","Applied","Screening","Interview 1","Interview 2","Final","Offer","Accepted"},0)-1,""))</f>
        <v/>
      </c>
      <c r="AH786" s="87">
        <f>IF($AC786="","",MATCH($AC786,{"FOLLOW UP REQUIRED","ACTION DUE TODAY","NO RESPONSE","DUE SOON"},0)*100000+IF(ISNUMBER($O786),$O786,IF(ISNUMBER($C786),$C786,0))+ROW()/10000)</f>
        <v/>
      </c>
      <c r="AI786" s="87">
        <f>IF(AND(ISNUMBER($AG786),$AG786&gt;=1,$AG786&lt;=6,$M786&lt;&gt;"Rejected",$M786&lt;&gt;"Withdrawn"),(10-$AG786)*100000+IF(ISNUMBER($C786),$C786,0)+ROW()/10000,"")</f>
        <v/>
      </c>
    </row>
    <row r="787">
      <c r="A787" s="80" t="n"/>
      <c r="B787" s="81" t="n"/>
      <c r="C787" s="81" t="n"/>
      <c r="D787" s="82" t="n"/>
      <c r="E787" s="82" t="n"/>
      <c r="F787" s="82" t="n"/>
      <c r="G787" s="82" t="n"/>
      <c r="H787" s="82" t="n"/>
      <c r="I787" s="83" t="n"/>
      <c r="J787" s="82" t="n"/>
      <c r="K787" s="84" t="n"/>
      <c r="L787" s="85" t="n"/>
      <c r="M787" s="82" t="n"/>
      <c r="N787" s="86" t="n"/>
      <c r="O787" s="81" t="n"/>
      <c r="P787" s="82" t="n"/>
      <c r="Q787" s="83" t="n"/>
      <c r="R787" s="82" t="n"/>
      <c r="S787" s="84" t="n"/>
      <c r="T787" s="84" t="n"/>
      <c r="U787" s="82" t="n"/>
      <c r="V787" s="86" t="n"/>
      <c r="W787" s="86" t="n"/>
      <c r="X787" s="86" t="n"/>
      <c r="Y787" s="81" t="n"/>
      <c r="Z787" s="82" t="n"/>
      <c r="AA787" s="81" t="n"/>
      <c r="AB787" s="82" t="n"/>
      <c r="AC787" s="87">
        <f>IF(OR($D787="",$M787="Rejected",$M787="Withdrawn",$M787="Accepted"),"",IF(ISNUMBER($O787),IF(INT($O787)&lt;TODAY(),"FOLLOW UP REQUIRED",IF(INT($O787)=TODAY(),"ACTION DUE TODAY",IF(INT($O787)-TODAY()&lt;=Set_DueSoonDays,"DUE SOON",""))),IF(AND($M787="Applied",$AA787=""),IF(ISNUMBER($C787),IF(TODAY()-$C787&gt;=Set_FollowUpDays,"NO RESPONSE",""),""),"")))</f>
        <v/>
      </c>
      <c r="AD787" s="87">
        <f>IF(ISNUMBER($L787),IF($L787&gt;=90,"Excellent Match",IF($L787&gt;=75,"Strong Match",IF($L787&gt;=60,"Moderate Match","Low Match"))),"")</f>
        <v/>
      </c>
      <c r="AE787" s="87">
        <f>IF($D787="","",IF(OR($M787="Rejected",$M787="Withdrawn"),IF($AB787&lt;&gt;"",$AB787,IF(OR($M787="Rejected",ISNUMBER($C787)),"Applied","Wishlist")),IF($M787="",IF(ISNUMBER($C787),"Applied","Wishlist"),$M787)))</f>
        <v/>
      </c>
      <c r="AF787" s="88">
        <f>IF(AND(ISNUMBER($C787),ISNUMBER($AA787)),$AA787-$C787,"")</f>
        <v/>
      </c>
      <c r="AG787" s="87">
        <f>IF($AE787="","",IFERROR(MATCH($AE787,{"Wishlist","Applied","Screening","Interview 1","Interview 2","Final","Offer","Accepted"},0)-1,""))</f>
        <v/>
      </c>
      <c r="AH787" s="87">
        <f>IF($AC787="","",MATCH($AC787,{"FOLLOW UP REQUIRED","ACTION DUE TODAY","NO RESPONSE","DUE SOON"},0)*100000+IF(ISNUMBER($O787),$O787,IF(ISNUMBER($C787),$C787,0))+ROW()/10000)</f>
        <v/>
      </c>
      <c r="AI787" s="87">
        <f>IF(AND(ISNUMBER($AG787),$AG787&gt;=1,$AG787&lt;=6,$M787&lt;&gt;"Rejected",$M787&lt;&gt;"Withdrawn"),(10-$AG787)*100000+IF(ISNUMBER($C787),$C787,0)+ROW()/10000,"")</f>
        <v/>
      </c>
    </row>
    <row r="788">
      <c r="A788" s="80" t="n"/>
      <c r="B788" s="81" t="n"/>
      <c r="C788" s="81" t="n"/>
      <c r="D788" s="82" t="n"/>
      <c r="E788" s="82" t="n"/>
      <c r="F788" s="82" t="n"/>
      <c r="G788" s="82" t="n"/>
      <c r="H788" s="82" t="n"/>
      <c r="I788" s="83" t="n"/>
      <c r="J788" s="82" t="n"/>
      <c r="K788" s="84" t="n"/>
      <c r="L788" s="85" t="n"/>
      <c r="M788" s="82" t="n"/>
      <c r="N788" s="86" t="n"/>
      <c r="O788" s="81" t="n"/>
      <c r="P788" s="82" t="n"/>
      <c r="Q788" s="83" t="n"/>
      <c r="R788" s="82" t="n"/>
      <c r="S788" s="84" t="n"/>
      <c r="T788" s="84" t="n"/>
      <c r="U788" s="82" t="n"/>
      <c r="V788" s="86" t="n"/>
      <c r="W788" s="86" t="n"/>
      <c r="X788" s="86" t="n"/>
      <c r="Y788" s="81" t="n"/>
      <c r="Z788" s="82" t="n"/>
      <c r="AA788" s="81" t="n"/>
      <c r="AB788" s="82" t="n"/>
      <c r="AC788" s="87">
        <f>IF(OR($D788="",$M788="Rejected",$M788="Withdrawn",$M788="Accepted"),"",IF(ISNUMBER($O788),IF(INT($O788)&lt;TODAY(),"FOLLOW UP REQUIRED",IF(INT($O788)=TODAY(),"ACTION DUE TODAY",IF(INT($O788)-TODAY()&lt;=Set_DueSoonDays,"DUE SOON",""))),IF(AND($M788="Applied",$AA788=""),IF(ISNUMBER($C788),IF(TODAY()-$C788&gt;=Set_FollowUpDays,"NO RESPONSE",""),""),"")))</f>
        <v/>
      </c>
      <c r="AD788" s="87">
        <f>IF(ISNUMBER($L788),IF($L788&gt;=90,"Excellent Match",IF($L788&gt;=75,"Strong Match",IF($L788&gt;=60,"Moderate Match","Low Match"))),"")</f>
        <v/>
      </c>
      <c r="AE788" s="87">
        <f>IF($D788="","",IF(OR($M788="Rejected",$M788="Withdrawn"),IF($AB788&lt;&gt;"",$AB788,IF(OR($M788="Rejected",ISNUMBER($C788)),"Applied","Wishlist")),IF($M788="",IF(ISNUMBER($C788),"Applied","Wishlist"),$M788)))</f>
        <v/>
      </c>
      <c r="AF788" s="88">
        <f>IF(AND(ISNUMBER($C788),ISNUMBER($AA788)),$AA788-$C788,"")</f>
        <v/>
      </c>
      <c r="AG788" s="87">
        <f>IF($AE788="","",IFERROR(MATCH($AE788,{"Wishlist","Applied","Screening","Interview 1","Interview 2","Final","Offer","Accepted"},0)-1,""))</f>
        <v/>
      </c>
      <c r="AH788" s="87">
        <f>IF($AC788="","",MATCH($AC788,{"FOLLOW UP REQUIRED","ACTION DUE TODAY","NO RESPONSE","DUE SOON"},0)*100000+IF(ISNUMBER($O788),$O788,IF(ISNUMBER($C788),$C788,0))+ROW()/10000)</f>
        <v/>
      </c>
      <c r="AI788" s="87">
        <f>IF(AND(ISNUMBER($AG788),$AG788&gt;=1,$AG788&lt;=6,$M788&lt;&gt;"Rejected",$M788&lt;&gt;"Withdrawn"),(10-$AG788)*100000+IF(ISNUMBER($C788),$C788,0)+ROW()/10000,"")</f>
        <v/>
      </c>
    </row>
    <row r="789">
      <c r="A789" s="80" t="n"/>
      <c r="B789" s="81" t="n"/>
      <c r="C789" s="81" t="n"/>
      <c r="D789" s="82" t="n"/>
      <c r="E789" s="82" t="n"/>
      <c r="F789" s="82" t="n"/>
      <c r="G789" s="82" t="n"/>
      <c r="H789" s="82" t="n"/>
      <c r="I789" s="83" t="n"/>
      <c r="J789" s="82" t="n"/>
      <c r="K789" s="84" t="n"/>
      <c r="L789" s="85" t="n"/>
      <c r="M789" s="82" t="n"/>
      <c r="N789" s="86" t="n"/>
      <c r="O789" s="81" t="n"/>
      <c r="P789" s="82" t="n"/>
      <c r="Q789" s="83" t="n"/>
      <c r="R789" s="82" t="n"/>
      <c r="S789" s="84" t="n"/>
      <c r="T789" s="84" t="n"/>
      <c r="U789" s="82" t="n"/>
      <c r="V789" s="86" t="n"/>
      <c r="W789" s="86" t="n"/>
      <c r="X789" s="86" t="n"/>
      <c r="Y789" s="81" t="n"/>
      <c r="Z789" s="82" t="n"/>
      <c r="AA789" s="81" t="n"/>
      <c r="AB789" s="82" t="n"/>
      <c r="AC789" s="87">
        <f>IF(OR($D789="",$M789="Rejected",$M789="Withdrawn",$M789="Accepted"),"",IF(ISNUMBER($O789),IF(INT($O789)&lt;TODAY(),"FOLLOW UP REQUIRED",IF(INT($O789)=TODAY(),"ACTION DUE TODAY",IF(INT($O789)-TODAY()&lt;=Set_DueSoonDays,"DUE SOON",""))),IF(AND($M789="Applied",$AA789=""),IF(ISNUMBER($C789),IF(TODAY()-$C789&gt;=Set_FollowUpDays,"NO RESPONSE",""),""),"")))</f>
        <v/>
      </c>
      <c r="AD789" s="87">
        <f>IF(ISNUMBER($L789),IF($L789&gt;=90,"Excellent Match",IF($L789&gt;=75,"Strong Match",IF($L789&gt;=60,"Moderate Match","Low Match"))),"")</f>
        <v/>
      </c>
      <c r="AE789" s="87">
        <f>IF($D789="","",IF(OR($M789="Rejected",$M789="Withdrawn"),IF($AB789&lt;&gt;"",$AB789,IF(OR($M789="Rejected",ISNUMBER($C789)),"Applied","Wishlist")),IF($M789="",IF(ISNUMBER($C789),"Applied","Wishlist"),$M789)))</f>
        <v/>
      </c>
      <c r="AF789" s="88">
        <f>IF(AND(ISNUMBER($C789),ISNUMBER($AA789)),$AA789-$C789,"")</f>
        <v/>
      </c>
      <c r="AG789" s="87">
        <f>IF($AE789="","",IFERROR(MATCH($AE789,{"Wishlist","Applied","Screening","Interview 1","Interview 2","Final","Offer","Accepted"},0)-1,""))</f>
        <v/>
      </c>
      <c r="AH789" s="87">
        <f>IF($AC789="","",MATCH($AC789,{"FOLLOW UP REQUIRED","ACTION DUE TODAY","NO RESPONSE","DUE SOON"},0)*100000+IF(ISNUMBER($O789),$O789,IF(ISNUMBER($C789),$C789,0))+ROW()/10000)</f>
        <v/>
      </c>
      <c r="AI789" s="87">
        <f>IF(AND(ISNUMBER($AG789),$AG789&gt;=1,$AG789&lt;=6,$M789&lt;&gt;"Rejected",$M789&lt;&gt;"Withdrawn"),(10-$AG789)*100000+IF(ISNUMBER($C789),$C789,0)+ROW()/10000,"")</f>
        <v/>
      </c>
    </row>
    <row r="790">
      <c r="A790" s="80" t="n"/>
      <c r="B790" s="81" t="n"/>
      <c r="C790" s="81" t="n"/>
      <c r="D790" s="82" t="n"/>
      <c r="E790" s="82" t="n"/>
      <c r="F790" s="82" t="n"/>
      <c r="G790" s="82" t="n"/>
      <c r="H790" s="82" t="n"/>
      <c r="I790" s="83" t="n"/>
      <c r="J790" s="82" t="n"/>
      <c r="K790" s="84" t="n"/>
      <c r="L790" s="85" t="n"/>
      <c r="M790" s="82" t="n"/>
      <c r="N790" s="86" t="n"/>
      <c r="O790" s="81" t="n"/>
      <c r="P790" s="82" t="n"/>
      <c r="Q790" s="83" t="n"/>
      <c r="R790" s="82" t="n"/>
      <c r="S790" s="84" t="n"/>
      <c r="T790" s="84" t="n"/>
      <c r="U790" s="82" t="n"/>
      <c r="V790" s="86" t="n"/>
      <c r="W790" s="86" t="n"/>
      <c r="X790" s="86" t="n"/>
      <c r="Y790" s="81" t="n"/>
      <c r="Z790" s="82" t="n"/>
      <c r="AA790" s="81" t="n"/>
      <c r="AB790" s="82" t="n"/>
      <c r="AC790" s="87">
        <f>IF(OR($D790="",$M790="Rejected",$M790="Withdrawn",$M790="Accepted"),"",IF(ISNUMBER($O790),IF(INT($O790)&lt;TODAY(),"FOLLOW UP REQUIRED",IF(INT($O790)=TODAY(),"ACTION DUE TODAY",IF(INT($O790)-TODAY()&lt;=Set_DueSoonDays,"DUE SOON",""))),IF(AND($M790="Applied",$AA790=""),IF(ISNUMBER($C790),IF(TODAY()-$C790&gt;=Set_FollowUpDays,"NO RESPONSE",""),""),"")))</f>
        <v/>
      </c>
      <c r="AD790" s="87">
        <f>IF(ISNUMBER($L790),IF($L790&gt;=90,"Excellent Match",IF($L790&gt;=75,"Strong Match",IF($L790&gt;=60,"Moderate Match","Low Match"))),"")</f>
        <v/>
      </c>
      <c r="AE790" s="87">
        <f>IF($D790="","",IF(OR($M790="Rejected",$M790="Withdrawn"),IF($AB790&lt;&gt;"",$AB790,IF(OR($M790="Rejected",ISNUMBER($C790)),"Applied","Wishlist")),IF($M790="",IF(ISNUMBER($C790),"Applied","Wishlist"),$M790)))</f>
        <v/>
      </c>
      <c r="AF790" s="88">
        <f>IF(AND(ISNUMBER($C790),ISNUMBER($AA790)),$AA790-$C790,"")</f>
        <v/>
      </c>
      <c r="AG790" s="87">
        <f>IF($AE790="","",IFERROR(MATCH($AE790,{"Wishlist","Applied","Screening","Interview 1","Interview 2","Final","Offer","Accepted"},0)-1,""))</f>
        <v/>
      </c>
      <c r="AH790" s="87">
        <f>IF($AC790="","",MATCH($AC790,{"FOLLOW UP REQUIRED","ACTION DUE TODAY","NO RESPONSE","DUE SOON"},0)*100000+IF(ISNUMBER($O790),$O790,IF(ISNUMBER($C790),$C790,0))+ROW()/10000)</f>
        <v/>
      </c>
      <c r="AI790" s="87">
        <f>IF(AND(ISNUMBER($AG790),$AG790&gt;=1,$AG790&lt;=6,$M790&lt;&gt;"Rejected",$M790&lt;&gt;"Withdrawn"),(10-$AG790)*100000+IF(ISNUMBER($C790),$C790,0)+ROW()/10000,"")</f>
        <v/>
      </c>
    </row>
    <row r="791">
      <c r="A791" s="80" t="n"/>
      <c r="B791" s="81" t="n"/>
      <c r="C791" s="81" t="n"/>
      <c r="D791" s="82" t="n"/>
      <c r="E791" s="82" t="n"/>
      <c r="F791" s="82" t="n"/>
      <c r="G791" s="82" t="n"/>
      <c r="H791" s="82" t="n"/>
      <c r="I791" s="83" t="n"/>
      <c r="J791" s="82" t="n"/>
      <c r="K791" s="84" t="n"/>
      <c r="L791" s="85" t="n"/>
      <c r="M791" s="82" t="n"/>
      <c r="N791" s="86" t="n"/>
      <c r="O791" s="81" t="n"/>
      <c r="P791" s="82" t="n"/>
      <c r="Q791" s="83" t="n"/>
      <c r="R791" s="82" t="n"/>
      <c r="S791" s="84" t="n"/>
      <c r="T791" s="84" t="n"/>
      <c r="U791" s="82" t="n"/>
      <c r="V791" s="86" t="n"/>
      <c r="W791" s="86" t="n"/>
      <c r="X791" s="86" t="n"/>
      <c r="Y791" s="81" t="n"/>
      <c r="Z791" s="82" t="n"/>
      <c r="AA791" s="81" t="n"/>
      <c r="AB791" s="82" t="n"/>
      <c r="AC791" s="87">
        <f>IF(OR($D791="",$M791="Rejected",$M791="Withdrawn",$M791="Accepted"),"",IF(ISNUMBER($O791),IF(INT($O791)&lt;TODAY(),"FOLLOW UP REQUIRED",IF(INT($O791)=TODAY(),"ACTION DUE TODAY",IF(INT($O791)-TODAY()&lt;=Set_DueSoonDays,"DUE SOON",""))),IF(AND($M791="Applied",$AA791=""),IF(ISNUMBER($C791),IF(TODAY()-$C791&gt;=Set_FollowUpDays,"NO RESPONSE",""),""),"")))</f>
        <v/>
      </c>
      <c r="AD791" s="87">
        <f>IF(ISNUMBER($L791),IF($L791&gt;=90,"Excellent Match",IF($L791&gt;=75,"Strong Match",IF($L791&gt;=60,"Moderate Match","Low Match"))),"")</f>
        <v/>
      </c>
      <c r="AE791" s="87">
        <f>IF($D791="","",IF(OR($M791="Rejected",$M791="Withdrawn"),IF($AB791&lt;&gt;"",$AB791,IF(OR($M791="Rejected",ISNUMBER($C791)),"Applied","Wishlist")),IF($M791="",IF(ISNUMBER($C791),"Applied","Wishlist"),$M791)))</f>
        <v/>
      </c>
      <c r="AF791" s="88">
        <f>IF(AND(ISNUMBER($C791),ISNUMBER($AA791)),$AA791-$C791,"")</f>
        <v/>
      </c>
      <c r="AG791" s="87">
        <f>IF($AE791="","",IFERROR(MATCH($AE791,{"Wishlist","Applied","Screening","Interview 1","Interview 2","Final","Offer","Accepted"},0)-1,""))</f>
        <v/>
      </c>
      <c r="AH791" s="87">
        <f>IF($AC791="","",MATCH($AC791,{"FOLLOW UP REQUIRED","ACTION DUE TODAY","NO RESPONSE","DUE SOON"},0)*100000+IF(ISNUMBER($O791),$O791,IF(ISNUMBER($C791),$C791,0))+ROW()/10000)</f>
        <v/>
      </c>
      <c r="AI791" s="87">
        <f>IF(AND(ISNUMBER($AG791),$AG791&gt;=1,$AG791&lt;=6,$M791&lt;&gt;"Rejected",$M791&lt;&gt;"Withdrawn"),(10-$AG791)*100000+IF(ISNUMBER($C791),$C791,0)+ROW()/10000,"")</f>
        <v/>
      </c>
    </row>
    <row r="792">
      <c r="A792" s="80" t="n"/>
      <c r="B792" s="81" t="n"/>
      <c r="C792" s="81" t="n"/>
      <c r="D792" s="82" t="n"/>
      <c r="E792" s="82" t="n"/>
      <c r="F792" s="82" t="n"/>
      <c r="G792" s="82" t="n"/>
      <c r="H792" s="82" t="n"/>
      <c r="I792" s="83" t="n"/>
      <c r="J792" s="82" t="n"/>
      <c r="K792" s="84" t="n"/>
      <c r="L792" s="85" t="n"/>
      <c r="M792" s="82" t="n"/>
      <c r="N792" s="86" t="n"/>
      <c r="O792" s="81" t="n"/>
      <c r="P792" s="82" t="n"/>
      <c r="Q792" s="83" t="n"/>
      <c r="R792" s="82" t="n"/>
      <c r="S792" s="84" t="n"/>
      <c r="T792" s="84" t="n"/>
      <c r="U792" s="82" t="n"/>
      <c r="V792" s="86" t="n"/>
      <c r="W792" s="86" t="n"/>
      <c r="X792" s="86" t="n"/>
      <c r="Y792" s="81" t="n"/>
      <c r="Z792" s="82" t="n"/>
      <c r="AA792" s="81" t="n"/>
      <c r="AB792" s="82" t="n"/>
      <c r="AC792" s="87">
        <f>IF(OR($D792="",$M792="Rejected",$M792="Withdrawn",$M792="Accepted"),"",IF(ISNUMBER($O792),IF(INT($O792)&lt;TODAY(),"FOLLOW UP REQUIRED",IF(INT($O792)=TODAY(),"ACTION DUE TODAY",IF(INT($O792)-TODAY()&lt;=Set_DueSoonDays,"DUE SOON",""))),IF(AND($M792="Applied",$AA792=""),IF(ISNUMBER($C792),IF(TODAY()-$C792&gt;=Set_FollowUpDays,"NO RESPONSE",""),""),"")))</f>
        <v/>
      </c>
      <c r="AD792" s="87">
        <f>IF(ISNUMBER($L792),IF($L792&gt;=90,"Excellent Match",IF($L792&gt;=75,"Strong Match",IF($L792&gt;=60,"Moderate Match","Low Match"))),"")</f>
        <v/>
      </c>
      <c r="AE792" s="87">
        <f>IF($D792="","",IF(OR($M792="Rejected",$M792="Withdrawn"),IF($AB792&lt;&gt;"",$AB792,IF(OR($M792="Rejected",ISNUMBER($C792)),"Applied","Wishlist")),IF($M792="",IF(ISNUMBER($C792),"Applied","Wishlist"),$M792)))</f>
        <v/>
      </c>
      <c r="AF792" s="88">
        <f>IF(AND(ISNUMBER($C792),ISNUMBER($AA792)),$AA792-$C792,"")</f>
        <v/>
      </c>
      <c r="AG792" s="87">
        <f>IF($AE792="","",IFERROR(MATCH($AE792,{"Wishlist","Applied","Screening","Interview 1","Interview 2","Final","Offer","Accepted"},0)-1,""))</f>
        <v/>
      </c>
      <c r="AH792" s="87">
        <f>IF($AC792="","",MATCH($AC792,{"FOLLOW UP REQUIRED","ACTION DUE TODAY","NO RESPONSE","DUE SOON"},0)*100000+IF(ISNUMBER($O792),$O792,IF(ISNUMBER($C792),$C792,0))+ROW()/10000)</f>
        <v/>
      </c>
      <c r="AI792" s="87">
        <f>IF(AND(ISNUMBER($AG792),$AG792&gt;=1,$AG792&lt;=6,$M792&lt;&gt;"Rejected",$M792&lt;&gt;"Withdrawn"),(10-$AG792)*100000+IF(ISNUMBER($C792),$C792,0)+ROW()/10000,"")</f>
        <v/>
      </c>
    </row>
    <row r="793">
      <c r="A793" s="80" t="n"/>
      <c r="B793" s="81" t="n"/>
      <c r="C793" s="81" t="n"/>
      <c r="D793" s="82" t="n"/>
      <c r="E793" s="82" t="n"/>
      <c r="F793" s="82" t="n"/>
      <c r="G793" s="82" t="n"/>
      <c r="H793" s="82" t="n"/>
      <c r="I793" s="83" t="n"/>
      <c r="J793" s="82" t="n"/>
      <c r="K793" s="84" t="n"/>
      <c r="L793" s="85" t="n"/>
      <c r="M793" s="82" t="n"/>
      <c r="N793" s="86" t="n"/>
      <c r="O793" s="81" t="n"/>
      <c r="P793" s="82" t="n"/>
      <c r="Q793" s="83" t="n"/>
      <c r="R793" s="82" t="n"/>
      <c r="S793" s="84" t="n"/>
      <c r="T793" s="84" t="n"/>
      <c r="U793" s="82" t="n"/>
      <c r="V793" s="86" t="n"/>
      <c r="W793" s="86" t="n"/>
      <c r="X793" s="86" t="n"/>
      <c r="Y793" s="81" t="n"/>
      <c r="Z793" s="82" t="n"/>
      <c r="AA793" s="81" t="n"/>
      <c r="AB793" s="82" t="n"/>
      <c r="AC793" s="87">
        <f>IF(OR($D793="",$M793="Rejected",$M793="Withdrawn",$M793="Accepted"),"",IF(ISNUMBER($O793),IF(INT($O793)&lt;TODAY(),"FOLLOW UP REQUIRED",IF(INT($O793)=TODAY(),"ACTION DUE TODAY",IF(INT($O793)-TODAY()&lt;=Set_DueSoonDays,"DUE SOON",""))),IF(AND($M793="Applied",$AA793=""),IF(ISNUMBER($C793),IF(TODAY()-$C793&gt;=Set_FollowUpDays,"NO RESPONSE",""),""),"")))</f>
        <v/>
      </c>
      <c r="AD793" s="87">
        <f>IF(ISNUMBER($L793),IF($L793&gt;=90,"Excellent Match",IF($L793&gt;=75,"Strong Match",IF($L793&gt;=60,"Moderate Match","Low Match"))),"")</f>
        <v/>
      </c>
      <c r="AE793" s="87">
        <f>IF($D793="","",IF(OR($M793="Rejected",$M793="Withdrawn"),IF($AB793&lt;&gt;"",$AB793,IF(OR($M793="Rejected",ISNUMBER($C793)),"Applied","Wishlist")),IF($M793="",IF(ISNUMBER($C793),"Applied","Wishlist"),$M793)))</f>
        <v/>
      </c>
      <c r="AF793" s="88">
        <f>IF(AND(ISNUMBER($C793),ISNUMBER($AA793)),$AA793-$C793,"")</f>
        <v/>
      </c>
      <c r="AG793" s="87">
        <f>IF($AE793="","",IFERROR(MATCH($AE793,{"Wishlist","Applied","Screening","Interview 1","Interview 2","Final","Offer","Accepted"},0)-1,""))</f>
        <v/>
      </c>
      <c r="AH793" s="87">
        <f>IF($AC793="","",MATCH($AC793,{"FOLLOW UP REQUIRED","ACTION DUE TODAY","NO RESPONSE","DUE SOON"},0)*100000+IF(ISNUMBER($O793),$O793,IF(ISNUMBER($C793),$C793,0))+ROW()/10000)</f>
        <v/>
      </c>
      <c r="AI793" s="87">
        <f>IF(AND(ISNUMBER($AG793),$AG793&gt;=1,$AG793&lt;=6,$M793&lt;&gt;"Rejected",$M793&lt;&gt;"Withdrawn"),(10-$AG793)*100000+IF(ISNUMBER($C793),$C793,0)+ROW()/10000,"")</f>
        <v/>
      </c>
    </row>
    <row r="794">
      <c r="A794" s="80" t="n"/>
      <c r="B794" s="81" t="n"/>
      <c r="C794" s="81" t="n"/>
      <c r="D794" s="82" t="n"/>
      <c r="E794" s="82" t="n"/>
      <c r="F794" s="82" t="n"/>
      <c r="G794" s="82" t="n"/>
      <c r="H794" s="82" t="n"/>
      <c r="I794" s="83" t="n"/>
      <c r="J794" s="82" t="n"/>
      <c r="K794" s="84" t="n"/>
      <c r="L794" s="85" t="n"/>
      <c r="M794" s="82" t="n"/>
      <c r="N794" s="86" t="n"/>
      <c r="O794" s="81" t="n"/>
      <c r="P794" s="82" t="n"/>
      <c r="Q794" s="83" t="n"/>
      <c r="R794" s="82" t="n"/>
      <c r="S794" s="84" t="n"/>
      <c r="T794" s="84" t="n"/>
      <c r="U794" s="82" t="n"/>
      <c r="V794" s="86" t="n"/>
      <c r="W794" s="86" t="n"/>
      <c r="X794" s="86" t="n"/>
      <c r="Y794" s="81" t="n"/>
      <c r="Z794" s="82" t="n"/>
      <c r="AA794" s="81" t="n"/>
      <c r="AB794" s="82" t="n"/>
      <c r="AC794" s="87">
        <f>IF(OR($D794="",$M794="Rejected",$M794="Withdrawn",$M794="Accepted"),"",IF(ISNUMBER($O794),IF(INT($O794)&lt;TODAY(),"FOLLOW UP REQUIRED",IF(INT($O794)=TODAY(),"ACTION DUE TODAY",IF(INT($O794)-TODAY()&lt;=Set_DueSoonDays,"DUE SOON",""))),IF(AND($M794="Applied",$AA794=""),IF(ISNUMBER($C794),IF(TODAY()-$C794&gt;=Set_FollowUpDays,"NO RESPONSE",""),""),"")))</f>
        <v/>
      </c>
      <c r="AD794" s="87">
        <f>IF(ISNUMBER($L794),IF($L794&gt;=90,"Excellent Match",IF($L794&gt;=75,"Strong Match",IF($L794&gt;=60,"Moderate Match","Low Match"))),"")</f>
        <v/>
      </c>
      <c r="AE794" s="87">
        <f>IF($D794="","",IF(OR($M794="Rejected",$M794="Withdrawn"),IF($AB794&lt;&gt;"",$AB794,IF(OR($M794="Rejected",ISNUMBER($C794)),"Applied","Wishlist")),IF($M794="",IF(ISNUMBER($C794),"Applied","Wishlist"),$M794)))</f>
        <v/>
      </c>
      <c r="AF794" s="88">
        <f>IF(AND(ISNUMBER($C794),ISNUMBER($AA794)),$AA794-$C794,"")</f>
        <v/>
      </c>
      <c r="AG794" s="87">
        <f>IF($AE794="","",IFERROR(MATCH($AE794,{"Wishlist","Applied","Screening","Interview 1","Interview 2","Final","Offer","Accepted"},0)-1,""))</f>
        <v/>
      </c>
      <c r="AH794" s="87">
        <f>IF($AC794="","",MATCH($AC794,{"FOLLOW UP REQUIRED","ACTION DUE TODAY","NO RESPONSE","DUE SOON"},0)*100000+IF(ISNUMBER($O794),$O794,IF(ISNUMBER($C794),$C794,0))+ROW()/10000)</f>
        <v/>
      </c>
      <c r="AI794" s="87">
        <f>IF(AND(ISNUMBER($AG794),$AG794&gt;=1,$AG794&lt;=6,$M794&lt;&gt;"Rejected",$M794&lt;&gt;"Withdrawn"),(10-$AG794)*100000+IF(ISNUMBER($C794),$C794,0)+ROW()/10000,"")</f>
        <v/>
      </c>
    </row>
    <row r="795">
      <c r="A795" s="80" t="n"/>
      <c r="B795" s="81" t="n"/>
      <c r="C795" s="81" t="n"/>
      <c r="D795" s="82" t="n"/>
      <c r="E795" s="82" t="n"/>
      <c r="F795" s="82" t="n"/>
      <c r="G795" s="82" t="n"/>
      <c r="H795" s="82" t="n"/>
      <c r="I795" s="83" t="n"/>
      <c r="J795" s="82" t="n"/>
      <c r="K795" s="84" t="n"/>
      <c r="L795" s="85" t="n"/>
      <c r="M795" s="82" t="n"/>
      <c r="N795" s="86" t="n"/>
      <c r="O795" s="81" t="n"/>
      <c r="P795" s="82" t="n"/>
      <c r="Q795" s="83" t="n"/>
      <c r="R795" s="82" t="n"/>
      <c r="S795" s="84" t="n"/>
      <c r="T795" s="84" t="n"/>
      <c r="U795" s="82" t="n"/>
      <c r="V795" s="86" t="n"/>
      <c r="W795" s="86" t="n"/>
      <c r="X795" s="86" t="n"/>
      <c r="Y795" s="81" t="n"/>
      <c r="Z795" s="82" t="n"/>
      <c r="AA795" s="81" t="n"/>
      <c r="AB795" s="82" t="n"/>
      <c r="AC795" s="87">
        <f>IF(OR($D795="",$M795="Rejected",$M795="Withdrawn",$M795="Accepted"),"",IF(ISNUMBER($O795),IF(INT($O795)&lt;TODAY(),"FOLLOW UP REQUIRED",IF(INT($O795)=TODAY(),"ACTION DUE TODAY",IF(INT($O795)-TODAY()&lt;=Set_DueSoonDays,"DUE SOON",""))),IF(AND($M795="Applied",$AA795=""),IF(ISNUMBER($C795),IF(TODAY()-$C795&gt;=Set_FollowUpDays,"NO RESPONSE",""),""),"")))</f>
        <v/>
      </c>
      <c r="AD795" s="87">
        <f>IF(ISNUMBER($L795),IF($L795&gt;=90,"Excellent Match",IF($L795&gt;=75,"Strong Match",IF($L795&gt;=60,"Moderate Match","Low Match"))),"")</f>
        <v/>
      </c>
      <c r="AE795" s="87">
        <f>IF($D795="","",IF(OR($M795="Rejected",$M795="Withdrawn"),IF($AB795&lt;&gt;"",$AB795,IF(OR($M795="Rejected",ISNUMBER($C795)),"Applied","Wishlist")),IF($M795="",IF(ISNUMBER($C795),"Applied","Wishlist"),$M795)))</f>
        <v/>
      </c>
      <c r="AF795" s="88">
        <f>IF(AND(ISNUMBER($C795),ISNUMBER($AA795)),$AA795-$C795,"")</f>
        <v/>
      </c>
      <c r="AG795" s="87">
        <f>IF($AE795="","",IFERROR(MATCH($AE795,{"Wishlist","Applied","Screening","Interview 1","Interview 2","Final","Offer","Accepted"},0)-1,""))</f>
        <v/>
      </c>
      <c r="AH795" s="87">
        <f>IF($AC795="","",MATCH($AC795,{"FOLLOW UP REQUIRED","ACTION DUE TODAY","NO RESPONSE","DUE SOON"},0)*100000+IF(ISNUMBER($O795),$O795,IF(ISNUMBER($C795),$C795,0))+ROW()/10000)</f>
        <v/>
      </c>
      <c r="AI795" s="87">
        <f>IF(AND(ISNUMBER($AG795),$AG795&gt;=1,$AG795&lt;=6,$M795&lt;&gt;"Rejected",$M795&lt;&gt;"Withdrawn"),(10-$AG795)*100000+IF(ISNUMBER($C795),$C795,0)+ROW()/10000,"")</f>
        <v/>
      </c>
    </row>
    <row r="796">
      <c r="A796" s="80" t="n"/>
      <c r="B796" s="81" t="n"/>
      <c r="C796" s="81" t="n"/>
      <c r="D796" s="82" t="n"/>
      <c r="E796" s="82" t="n"/>
      <c r="F796" s="82" t="n"/>
      <c r="G796" s="82" t="n"/>
      <c r="H796" s="82" t="n"/>
      <c r="I796" s="83" t="n"/>
      <c r="J796" s="82" t="n"/>
      <c r="K796" s="84" t="n"/>
      <c r="L796" s="85" t="n"/>
      <c r="M796" s="82" t="n"/>
      <c r="N796" s="86" t="n"/>
      <c r="O796" s="81" t="n"/>
      <c r="P796" s="82" t="n"/>
      <c r="Q796" s="83" t="n"/>
      <c r="R796" s="82" t="n"/>
      <c r="S796" s="84" t="n"/>
      <c r="T796" s="84" t="n"/>
      <c r="U796" s="82" t="n"/>
      <c r="V796" s="86" t="n"/>
      <c r="W796" s="86" t="n"/>
      <c r="X796" s="86" t="n"/>
      <c r="Y796" s="81" t="n"/>
      <c r="Z796" s="82" t="n"/>
      <c r="AA796" s="81" t="n"/>
      <c r="AB796" s="82" t="n"/>
      <c r="AC796" s="87">
        <f>IF(OR($D796="",$M796="Rejected",$M796="Withdrawn",$M796="Accepted"),"",IF(ISNUMBER($O796),IF(INT($O796)&lt;TODAY(),"FOLLOW UP REQUIRED",IF(INT($O796)=TODAY(),"ACTION DUE TODAY",IF(INT($O796)-TODAY()&lt;=Set_DueSoonDays,"DUE SOON",""))),IF(AND($M796="Applied",$AA796=""),IF(ISNUMBER($C796),IF(TODAY()-$C796&gt;=Set_FollowUpDays,"NO RESPONSE",""),""),"")))</f>
        <v/>
      </c>
      <c r="AD796" s="87">
        <f>IF(ISNUMBER($L796),IF($L796&gt;=90,"Excellent Match",IF($L796&gt;=75,"Strong Match",IF($L796&gt;=60,"Moderate Match","Low Match"))),"")</f>
        <v/>
      </c>
      <c r="AE796" s="87">
        <f>IF($D796="","",IF(OR($M796="Rejected",$M796="Withdrawn"),IF($AB796&lt;&gt;"",$AB796,IF(OR($M796="Rejected",ISNUMBER($C796)),"Applied","Wishlist")),IF($M796="",IF(ISNUMBER($C796),"Applied","Wishlist"),$M796)))</f>
        <v/>
      </c>
      <c r="AF796" s="88">
        <f>IF(AND(ISNUMBER($C796),ISNUMBER($AA796)),$AA796-$C796,"")</f>
        <v/>
      </c>
      <c r="AG796" s="87">
        <f>IF($AE796="","",IFERROR(MATCH($AE796,{"Wishlist","Applied","Screening","Interview 1","Interview 2","Final","Offer","Accepted"},0)-1,""))</f>
        <v/>
      </c>
      <c r="AH796" s="87">
        <f>IF($AC796="","",MATCH($AC796,{"FOLLOW UP REQUIRED","ACTION DUE TODAY","NO RESPONSE","DUE SOON"},0)*100000+IF(ISNUMBER($O796),$O796,IF(ISNUMBER($C796),$C796,0))+ROW()/10000)</f>
        <v/>
      </c>
      <c r="AI796" s="87">
        <f>IF(AND(ISNUMBER($AG796),$AG796&gt;=1,$AG796&lt;=6,$M796&lt;&gt;"Rejected",$M796&lt;&gt;"Withdrawn"),(10-$AG796)*100000+IF(ISNUMBER($C796),$C796,0)+ROW()/10000,"")</f>
        <v/>
      </c>
    </row>
    <row r="797">
      <c r="A797" s="80" t="n"/>
      <c r="B797" s="81" t="n"/>
      <c r="C797" s="81" t="n"/>
      <c r="D797" s="82" t="n"/>
      <c r="E797" s="82" t="n"/>
      <c r="F797" s="82" t="n"/>
      <c r="G797" s="82" t="n"/>
      <c r="H797" s="82" t="n"/>
      <c r="I797" s="83" t="n"/>
      <c r="J797" s="82" t="n"/>
      <c r="K797" s="84" t="n"/>
      <c r="L797" s="85" t="n"/>
      <c r="M797" s="82" t="n"/>
      <c r="N797" s="86" t="n"/>
      <c r="O797" s="81" t="n"/>
      <c r="P797" s="82" t="n"/>
      <c r="Q797" s="83" t="n"/>
      <c r="R797" s="82" t="n"/>
      <c r="S797" s="84" t="n"/>
      <c r="T797" s="84" t="n"/>
      <c r="U797" s="82" t="n"/>
      <c r="V797" s="86" t="n"/>
      <c r="W797" s="86" t="n"/>
      <c r="X797" s="86" t="n"/>
      <c r="Y797" s="81" t="n"/>
      <c r="Z797" s="82" t="n"/>
      <c r="AA797" s="81" t="n"/>
      <c r="AB797" s="82" t="n"/>
      <c r="AC797" s="87">
        <f>IF(OR($D797="",$M797="Rejected",$M797="Withdrawn",$M797="Accepted"),"",IF(ISNUMBER($O797),IF(INT($O797)&lt;TODAY(),"FOLLOW UP REQUIRED",IF(INT($O797)=TODAY(),"ACTION DUE TODAY",IF(INT($O797)-TODAY()&lt;=Set_DueSoonDays,"DUE SOON",""))),IF(AND($M797="Applied",$AA797=""),IF(ISNUMBER($C797),IF(TODAY()-$C797&gt;=Set_FollowUpDays,"NO RESPONSE",""),""),"")))</f>
        <v/>
      </c>
      <c r="AD797" s="87">
        <f>IF(ISNUMBER($L797),IF($L797&gt;=90,"Excellent Match",IF($L797&gt;=75,"Strong Match",IF($L797&gt;=60,"Moderate Match","Low Match"))),"")</f>
        <v/>
      </c>
      <c r="AE797" s="87">
        <f>IF($D797="","",IF(OR($M797="Rejected",$M797="Withdrawn"),IF($AB797&lt;&gt;"",$AB797,IF(OR($M797="Rejected",ISNUMBER($C797)),"Applied","Wishlist")),IF($M797="",IF(ISNUMBER($C797),"Applied","Wishlist"),$M797)))</f>
        <v/>
      </c>
      <c r="AF797" s="88">
        <f>IF(AND(ISNUMBER($C797),ISNUMBER($AA797)),$AA797-$C797,"")</f>
        <v/>
      </c>
      <c r="AG797" s="87">
        <f>IF($AE797="","",IFERROR(MATCH($AE797,{"Wishlist","Applied","Screening","Interview 1","Interview 2","Final","Offer","Accepted"},0)-1,""))</f>
        <v/>
      </c>
      <c r="AH797" s="87">
        <f>IF($AC797="","",MATCH($AC797,{"FOLLOW UP REQUIRED","ACTION DUE TODAY","NO RESPONSE","DUE SOON"},0)*100000+IF(ISNUMBER($O797),$O797,IF(ISNUMBER($C797),$C797,0))+ROW()/10000)</f>
        <v/>
      </c>
      <c r="AI797" s="87">
        <f>IF(AND(ISNUMBER($AG797),$AG797&gt;=1,$AG797&lt;=6,$M797&lt;&gt;"Rejected",$M797&lt;&gt;"Withdrawn"),(10-$AG797)*100000+IF(ISNUMBER($C797),$C797,0)+ROW()/10000,"")</f>
        <v/>
      </c>
    </row>
    <row r="798">
      <c r="A798" s="80" t="n"/>
      <c r="B798" s="81" t="n"/>
      <c r="C798" s="81" t="n"/>
      <c r="D798" s="82" t="n"/>
      <c r="E798" s="82" t="n"/>
      <c r="F798" s="82" t="n"/>
      <c r="G798" s="82" t="n"/>
      <c r="H798" s="82" t="n"/>
      <c r="I798" s="83" t="n"/>
      <c r="J798" s="82" t="n"/>
      <c r="K798" s="84" t="n"/>
      <c r="L798" s="85" t="n"/>
      <c r="M798" s="82" t="n"/>
      <c r="N798" s="86" t="n"/>
      <c r="O798" s="81" t="n"/>
      <c r="P798" s="82" t="n"/>
      <c r="Q798" s="83" t="n"/>
      <c r="R798" s="82" t="n"/>
      <c r="S798" s="84" t="n"/>
      <c r="T798" s="84" t="n"/>
      <c r="U798" s="82" t="n"/>
      <c r="V798" s="86" t="n"/>
      <c r="W798" s="86" t="n"/>
      <c r="X798" s="86" t="n"/>
      <c r="Y798" s="81" t="n"/>
      <c r="Z798" s="82" t="n"/>
      <c r="AA798" s="81" t="n"/>
      <c r="AB798" s="82" t="n"/>
      <c r="AC798" s="87">
        <f>IF(OR($D798="",$M798="Rejected",$M798="Withdrawn",$M798="Accepted"),"",IF(ISNUMBER($O798),IF(INT($O798)&lt;TODAY(),"FOLLOW UP REQUIRED",IF(INT($O798)=TODAY(),"ACTION DUE TODAY",IF(INT($O798)-TODAY()&lt;=Set_DueSoonDays,"DUE SOON",""))),IF(AND($M798="Applied",$AA798=""),IF(ISNUMBER($C798),IF(TODAY()-$C798&gt;=Set_FollowUpDays,"NO RESPONSE",""),""),"")))</f>
        <v/>
      </c>
      <c r="AD798" s="87">
        <f>IF(ISNUMBER($L798),IF($L798&gt;=90,"Excellent Match",IF($L798&gt;=75,"Strong Match",IF($L798&gt;=60,"Moderate Match","Low Match"))),"")</f>
        <v/>
      </c>
      <c r="AE798" s="87">
        <f>IF($D798="","",IF(OR($M798="Rejected",$M798="Withdrawn"),IF($AB798&lt;&gt;"",$AB798,IF(OR($M798="Rejected",ISNUMBER($C798)),"Applied","Wishlist")),IF($M798="",IF(ISNUMBER($C798),"Applied","Wishlist"),$M798)))</f>
        <v/>
      </c>
      <c r="AF798" s="88">
        <f>IF(AND(ISNUMBER($C798),ISNUMBER($AA798)),$AA798-$C798,"")</f>
        <v/>
      </c>
      <c r="AG798" s="87">
        <f>IF($AE798="","",IFERROR(MATCH($AE798,{"Wishlist","Applied","Screening","Interview 1","Interview 2","Final","Offer","Accepted"},0)-1,""))</f>
        <v/>
      </c>
      <c r="AH798" s="87">
        <f>IF($AC798="","",MATCH($AC798,{"FOLLOW UP REQUIRED","ACTION DUE TODAY","NO RESPONSE","DUE SOON"},0)*100000+IF(ISNUMBER($O798),$O798,IF(ISNUMBER($C798),$C798,0))+ROW()/10000)</f>
        <v/>
      </c>
      <c r="AI798" s="87">
        <f>IF(AND(ISNUMBER($AG798),$AG798&gt;=1,$AG798&lt;=6,$M798&lt;&gt;"Rejected",$M798&lt;&gt;"Withdrawn"),(10-$AG798)*100000+IF(ISNUMBER($C798),$C798,0)+ROW()/10000,"")</f>
        <v/>
      </c>
    </row>
    <row r="799">
      <c r="A799" s="80" t="n"/>
      <c r="B799" s="81" t="n"/>
      <c r="C799" s="81" t="n"/>
      <c r="D799" s="82" t="n"/>
      <c r="E799" s="82" t="n"/>
      <c r="F799" s="82" t="n"/>
      <c r="G799" s="82" t="n"/>
      <c r="H799" s="82" t="n"/>
      <c r="I799" s="83" t="n"/>
      <c r="J799" s="82" t="n"/>
      <c r="K799" s="84" t="n"/>
      <c r="L799" s="85" t="n"/>
      <c r="M799" s="82" t="n"/>
      <c r="N799" s="86" t="n"/>
      <c r="O799" s="81" t="n"/>
      <c r="P799" s="82" t="n"/>
      <c r="Q799" s="83" t="n"/>
      <c r="R799" s="82" t="n"/>
      <c r="S799" s="84" t="n"/>
      <c r="T799" s="84" t="n"/>
      <c r="U799" s="82" t="n"/>
      <c r="V799" s="86" t="n"/>
      <c r="W799" s="86" t="n"/>
      <c r="X799" s="86" t="n"/>
      <c r="Y799" s="81" t="n"/>
      <c r="Z799" s="82" t="n"/>
      <c r="AA799" s="81" t="n"/>
      <c r="AB799" s="82" t="n"/>
      <c r="AC799" s="87">
        <f>IF(OR($D799="",$M799="Rejected",$M799="Withdrawn",$M799="Accepted"),"",IF(ISNUMBER($O799),IF(INT($O799)&lt;TODAY(),"FOLLOW UP REQUIRED",IF(INT($O799)=TODAY(),"ACTION DUE TODAY",IF(INT($O799)-TODAY()&lt;=Set_DueSoonDays,"DUE SOON",""))),IF(AND($M799="Applied",$AA799=""),IF(ISNUMBER($C799),IF(TODAY()-$C799&gt;=Set_FollowUpDays,"NO RESPONSE",""),""),"")))</f>
        <v/>
      </c>
      <c r="AD799" s="87">
        <f>IF(ISNUMBER($L799),IF($L799&gt;=90,"Excellent Match",IF($L799&gt;=75,"Strong Match",IF($L799&gt;=60,"Moderate Match","Low Match"))),"")</f>
        <v/>
      </c>
      <c r="AE799" s="87">
        <f>IF($D799="","",IF(OR($M799="Rejected",$M799="Withdrawn"),IF($AB799&lt;&gt;"",$AB799,IF(OR($M799="Rejected",ISNUMBER($C799)),"Applied","Wishlist")),IF($M799="",IF(ISNUMBER($C799),"Applied","Wishlist"),$M799)))</f>
        <v/>
      </c>
      <c r="AF799" s="88">
        <f>IF(AND(ISNUMBER($C799),ISNUMBER($AA799)),$AA799-$C799,"")</f>
        <v/>
      </c>
      <c r="AG799" s="87">
        <f>IF($AE799="","",IFERROR(MATCH($AE799,{"Wishlist","Applied","Screening","Interview 1","Interview 2","Final","Offer","Accepted"},0)-1,""))</f>
        <v/>
      </c>
      <c r="AH799" s="87">
        <f>IF($AC799="","",MATCH($AC799,{"FOLLOW UP REQUIRED","ACTION DUE TODAY","NO RESPONSE","DUE SOON"},0)*100000+IF(ISNUMBER($O799),$O799,IF(ISNUMBER($C799),$C799,0))+ROW()/10000)</f>
        <v/>
      </c>
      <c r="AI799" s="87">
        <f>IF(AND(ISNUMBER($AG799),$AG799&gt;=1,$AG799&lt;=6,$M799&lt;&gt;"Rejected",$M799&lt;&gt;"Withdrawn"),(10-$AG799)*100000+IF(ISNUMBER($C799),$C799,0)+ROW()/10000,"")</f>
        <v/>
      </c>
    </row>
    <row r="800">
      <c r="A800" s="80" t="n"/>
      <c r="B800" s="81" t="n"/>
      <c r="C800" s="81" t="n"/>
      <c r="D800" s="82" t="n"/>
      <c r="E800" s="82" t="n"/>
      <c r="F800" s="82" t="n"/>
      <c r="G800" s="82" t="n"/>
      <c r="H800" s="82" t="n"/>
      <c r="I800" s="83" t="n"/>
      <c r="J800" s="82" t="n"/>
      <c r="K800" s="84" t="n"/>
      <c r="L800" s="85" t="n"/>
      <c r="M800" s="82" t="n"/>
      <c r="N800" s="86" t="n"/>
      <c r="O800" s="81" t="n"/>
      <c r="P800" s="82" t="n"/>
      <c r="Q800" s="83" t="n"/>
      <c r="R800" s="82" t="n"/>
      <c r="S800" s="84" t="n"/>
      <c r="T800" s="84" t="n"/>
      <c r="U800" s="82" t="n"/>
      <c r="V800" s="86" t="n"/>
      <c r="W800" s="86" t="n"/>
      <c r="X800" s="86" t="n"/>
      <c r="Y800" s="81" t="n"/>
      <c r="Z800" s="82" t="n"/>
      <c r="AA800" s="81" t="n"/>
      <c r="AB800" s="82" t="n"/>
      <c r="AC800" s="87">
        <f>IF(OR($D800="",$M800="Rejected",$M800="Withdrawn",$M800="Accepted"),"",IF(ISNUMBER($O800),IF(INT($O800)&lt;TODAY(),"FOLLOW UP REQUIRED",IF(INT($O800)=TODAY(),"ACTION DUE TODAY",IF(INT($O800)-TODAY()&lt;=Set_DueSoonDays,"DUE SOON",""))),IF(AND($M800="Applied",$AA800=""),IF(ISNUMBER($C800),IF(TODAY()-$C800&gt;=Set_FollowUpDays,"NO RESPONSE",""),""),"")))</f>
        <v/>
      </c>
      <c r="AD800" s="87">
        <f>IF(ISNUMBER($L800),IF($L800&gt;=90,"Excellent Match",IF($L800&gt;=75,"Strong Match",IF($L800&gt;=60,"Moderate Match","Low Match"))),"")</f>
        <v/>
      </c>
      <c r="AE800" s="87">
        <f>IF($D800="","",IF(OR($M800="Rejected",$M800="Withdrawn"),IF($AB800&lt;&gt;"",$AB800,IF(OR($M800="Rejected",ISNUMBER($C800)),"Applied","Wishlist")),IF($M800="",IF(ISNUMBER($C800),"Applied","Wishlist"),$M800)))</f>
        <v/>
      </c>
      <c r="AF800" s="88">
        <f>IF(AND(ISNUMBER($C800),ISNUMBER($AA800)),$AA800-$C800,"")</f>
        <v/>
      </c>
      <c r="AG800" s="87">
        <f>IF($AE800="","",IFERROR(MATCH($AE800,{"Wishlist","Applied","Screening","Interview 1","Interview 2","Final","Offer","Accepted"},0)-1,""))</f>
        <v/>
      </c>
      <c r="AH800" s="87">
        <f>IF($AC800="","",MATCH($AC800,{"FOLLOW UP REQUIRED","ACTION DUE TODAY","NO RESPONSE","DUE SOON"},0)*100000+IF(ISNUMBER($O800),$O800,IF(ISNUMBER($C800),$C800,0))+ROW()/10000)</f>
        <v/>
      </c>
      <c r="AI800" s="87">
        <f>IF(AND(ISNUMBER($AG800),$AG800&gt;=1,$AG800&lt;=6,$M800&lt;&gt;"Rejected",$M800&lt;&gt;"Withdrawn"),(10-$AG800)*100000+IF(ISNUMBER($C800),$C800,0)+ROW()/10000,"")</f>
        <v/>
      </c>
    </row>
    <row r="801">
      <c r="A801" s="80" t="n"/>
      <c r="B801" s="81" t="n"/>
      <c r="C801" s="81" t="n"/>
      <c r="D801" s="82" t="n"/>
      <c r="E801" s="82" t="n"/>
      <c r="F801" s="82" t="n"/>
      <c r="G801" s="82" t="n"/>
      <c r="H801" s="82" t="n"/>
      <c r="I801" s="83" t="n"/>
      <c r="J801" s="82" t="n"/>
      <c r="K801" s="84" t="n"/>
      <c r="L801" s="85" t="n"/>
      <c r="M801" s="82" t="n"/>
      <c r="N801" s="86" t="n"/>
      <c r="O801" s="81" t="n"/>
      <c r="P801" s="82" t="n"/>
      <c r="Q801" s="83" t="n"/>
      <c r="R801" s="82" t="n"/>
      <c r="S801" s="84" t="n"/>
      <c r="T801" s="84" t="n"/>
      <c r="U801" s="82" t="n"/>
      <c r="V801" s="86" t="n"/>
      <c r="W801" s="86" t="n"/>
      <c r="X801" s="86" t="n"/>
      <c r="Y801" s="81" t="n"/>
      <c r="Z801" s="82" t="n"/>
      <c r="AA801" s="81" t="n"/>
      <c r="AB801" s="82" t="n"/>
      <c r="AC801" s="87">
        <f>IF(OR($D801="",$M801="Rejected",$M801="Withdrawn",$M801="Accepted"),"",IF(ISNUMBER($O801),IF(INT($O801)&lt;TODAY(),"FOLLOW UP REQUIRED",IF(INT($O801)=TODAY(),"ACTION DUE TODAY",IF(INT($O801)-TODAY()&lt;=Set_DueSoonDays,"DUE SOON",""))),IF(AND($M801="Applied",$AA801=""),IF(ISNUMBER($C801),IF(TODAY()-$C801&gt;=Set_FollowUpDays,"NO RESPONSE",""),""),"")))</f>
        <v/>
      </c>
      <c r="AD801" s="87">
        <f>IF(ISNUMBER($L801),IF($L801&gt;=90,"Excellent Match",IF($L801&gt;=75,"Strong Match",IF($L801&gt;=60,"Moderate Match","Low Match"))),"")</f>
        <v/>
      </c>
      <c r="AE801" s="87">
        <f>IF($D801="","",IF(OR($M801="Rejected",$M801="Withdrawn"),IF($AB801&lt;&gt;"",$AB801,IF(OR($M801="Rejected",ISNUMBER($C801)),"Applied","Wishlist")),IF($M801="",IF(ISNUMBER($C801),"Applied","Wishlist"),$M801)))</f>
        <v/>
      </c>
      <c r="AF801" s="88">
        <f>IF(AND(ISNUMBER($C801),ISNUMBER($AA801)),$AA801-$C801,"")</f>
        <v/>
      </c>
      <c r="AG801" s="87">
        <f>IF($AE801="","",IFERROR(MATCH($AE801,{"Wishlist","Applied","Screening","Interview 1","Interview 2","Final","Offer","Accepted"},0)-1,""))</f>
        <v/>
      </c>
      <c r="AH801" s="87">
        <f>IF($AC801="","",MATCH($AC801,{"FOLLOW UP REQUIRED","ACTION DUE TODAY","NO RESPONSE","DUE SOON"},0)*100000+IF(ISNUMBER($O801),$O801,IF(ISNUMBER($C801),$C801,0))+ROW()/10000)</f>
        <v/>
      </c>
      <c r="AI801" s="87">
        <f>IF(AND(ISNUMBER($AG801),$AG801&gt;=1,$AG801&lt;=6,$M801&lt;&gt;"Rejected",$M801&lt;&gt;"Withdrawn"),(10-$AG801)*100000+IF(ISNUMBER($C801),$C801,0)+ROW()/10000,"")</f>
        <v/>
      </c>
    </row>
    <row r="802">
      <c r="A802" s="80" t="n"/>
      <c r="B802" s="81" t="n"/>
      <c r="C802" s="81" t="n"/>
      <c r="D802" s="82" t="n"/>
      <c r="E802" s="82" t="n"/>
      <c r="F802" s="82" t="n"/>
      <c r="G802" s="82" t="n"/>
      <c r="H802" s="82" t="n"/>
      <c r="I802" s="83" t="n"/>
      <c r="J802" s="82" t="n"/>
      <c r="K802" s="84" t="n"/>
      <c r="L802" s="85" t="n"/>
      <c r="M802" s="82" t="n"/>
      <c r="N802" s="86" t="n"/>
      <c r="O802" s="81" t="n"/>
      <c r="P802" s="82" t="n"/>
      <c r="Q802" s="83" t="n"/>
      <c r="R802" s="82" t="n"/>
      <c r="S802" s="84" t="n"/>
      <c r="T802" s="84" t="n"/>
      <c r="U802" s="82" t="n"/>
      <c r="V802" s="86" t="n"/>
      <c r="W802" s="86" t="n"/>
      <c r="X802" s="86" t="n"/>
      <c r="Y802" s="81" t="n"/>
      <c r="Z802" s="82" t="n"/>
      <c r="AA802" s="81" t="n"/>
      <c r="AB802" s="82" t="n"/>
      <c r="AC802" s="87">
        <f>IF(OR($D802="",$M802="Rejected",$M802="Withdrawn",$M802="Accepted"),"",IF(ISNUMBER($O802),IF(INT($O802)&lt;TODAY(),"FOLLOW UP REQUIRED",IF(INT($O802)=TODAY(),"ACTION DUE TODAY",IF(INT($O802)-TODAY()&lt;=Set_DueSoonDays,"DUE SOON",""))),IF(AND($M802="Applied",$AA802=""),IF(ISNUMBER($C802),IF(TODAY()-$C802&gt;=Set_FollowUpDays,"NO RESPONSE",""),""),"")))</f>
        <v/>
      </c>
      <c r="AD802" s="87">
        <f>IF(ISNUMBER($L802),IF($L802&gt;=90,"Excellent Match",IF($L802&gt;=75,"Strong Match",IF($L802&gt;=60,"Moderate Match","Low Match"))),"")</f>
        <v/>
      </c>
      <c r="AE802" s="87">
        <f>IF($D802="","",IF(OR($M802="Rejected",$M802="Withdrawn"),IF($AB802&lt;&gt;"",$AB802,IF(OR($M802="Rejected",ISNUMBER($C802)),"Applied","Wishlist")),IF($M802="",IF(ISNUMBER($C802),"Applied","Wishlist"),$M802)))</f>
        <v/>
      </c>
      <c r="AF802" s="88">
        <f>IF(AND(ISNUMBER($C802),ISNUMBER($AA802)),$AA802-$C802,"")</f>
        <v/>
      </c>
      <c r="AG802" s="87">
        <f>IF($AE802="","",IFERROR(MATCH($AE802,{"Wishlist","Applied","Screening","Interview 1","Interview 2","Final","Offer","Accepted"},0)-1,""))</f>
        <v/>
      </c>
      <c r="AH802" s="87">
        <f>IF($AC802="","",MATCH($AC802,{"FOLLOW UP REQUIRED","ACTION DUE TODAY","NO RESPONSE","DUE SOON"},0)*100000+IF(ISNUMBER($O802),$O802,IF(ISNUMBER($C802),$C802,0))+ROW()/10000)</f>
        <v/>
      </c>
      <c r="AI802" s="87">
        <f>IF(AND(ISNUMBER($AG802),$AG802&gt;=1,$AG802&lt;=6,$M802&lt;&gt;"Rejected",$M802&lt;&gt;"Withdrawn"),(10-$AG802)*100000+IF(ISNUMBER($C802),$C802,0)+ROW()/10000,"")</f>
        <v/>
      </c>
    </row>
    <row r="803">
      <c r="A803" s="80" t="n"/>
      <c r="B803" s="81" t="n"/>
      <c r="C803" s="81" t="n"/>
      <c r="D803" s="82" t="n"/>
      <c r="E803" s="82" t="n"/>
      <c r="F803" s="82" t="n"/>
      <c r="G803" s="82" t="n"/>
      <c r="H803" s="82" t="n"/>
      <c r="I803" s="83" t="n"/>
      <c r="J803" s="82" t="n"/>
      <c r="K803" s="84" t="n"/>
      <c r="L803" s="85" t="n"/>
      <c r="M803" s="82" t="n"/>
      <c r="N803" s="86" t="n"/>
      <c r="O803" s="81" t="n"/>
      <c r="P803" s="82" t="n"/>
      <c r="Q803" s="83" t="n"/>
      <c r="R803" s="82" t="n"/>
      <c r="S803" s="84" t="n"/>
      <c r="T803" s="84" t="n"/>
      <c r="U803" s="82" t="n"/>
      <c r="V803" s="86" t="n"/>
      <c r="W803" s="86" t="n"/>
      <c r="X803" s="86" t="n"/>
      <c r="Y803" s="81" t="n"/>
      <c r="Z803" s="82" t="n"/>
      <c r="AA803" s="81" t="n"/>
      <c r="AB803" s="82" t="n"/>
      <c r="AC803" s="87">
        <f>IF(OR($D803="",$M803="Rejected",$M803="Withdrawn",$M803="Accepted"),"",IF(ISNUMBER($O803),IF(INT($O803)&lt;TODAY(),"FOLLOW UP REQUIRED",IF(INT($O803)=TODAY(),"ACTION DUE TODAY",IF(INT($O803)-TODAY()&lt;=Set_DueSoonDays,"DUE SOON",""))),IF(AND($M803="Applied",$AA803=""),IF(ISNUMBER($C803),IF(TODAY()-$C803&gt;=Set_FollowUpDays,"NO RESPONSE",""),""),"")))</f>
        <v/>
      </c>
      <c r="AD803" s="87">
        <f>IF(ISNUMBER($L803),IF($L803&gt;=90,"Excellent Match",IF($L803&gt;=75,"Strong Match",IF($L803&gt;=60,"Moderate Match","Low Match"))),"")</f>
        <v/>
      </c>
      <c r="AE803" s="87">
        <f>IF($D803="","",IF(OR($M803="Rejected",$M803="Withdrawn"),IF($AB803&lt;&gt;"",$AB803,IF(OR($M803="Rejected",ISNUMBER($C803)),"Applied","Wishlist")),IF($M803="",IF(ISNUMBER($C803),"Applied","Wishlist"),$M803)))</f>
        <v/>
      </c>
      <c r="AF803" s="88">
        <f>IF(AND(ISNUMBER($C803),ISNUMBER($AA803)),$AA803-$C803,"")</f>
        <v/>
      </c>
      <c r="AG803" s="87">
        <f>IF($AE803="","",IFERROR(MATCH($AE803,{"Wishlist","Applied","Screening","Interview 1","Interview 2","Final","Offer","Accepted"},0)-1,""))</f>
        <v/>
      </c>
      <c r="AH803" s="87">
        <f>IF($AC803="","",MATCH($AC803,{"FOLLOW UP REQUIRED","ACTION DUE TODAY","NO RESPONSE","DUE SOON"},0)*100000+IF(ISNUMBER($O803),$O803,IF(ISNUMBER($C803),$C803,0))+ROW()/10000)</f>
        <v/>
      </c>
      <c r="AI803" s="87">
        <f>IF(AND(ISNUMBER($AG803),$AG803&gt;=1,$AG803&lt;=6,$M803&lt;&gt;"Rejected",$M803&lt;&gt;"Withdrawn"),(10-$AG803)*100000+IF(ISNUMBER($C803),$C803,0)+ROW()/10000,"")</f>
        <v/>
      </c>
    </row>
    <row r="804">
      <c r="A804" s="80" t="n"/>
      <c r="B804" s="81" t="n"/>
      <c r="C804" s="81" t="n"/>
      <c r="D804" s="82" t="n"/>
      <c r="E804" s="82" t="n"/>
      <c r="F804" s="82" t="n"/>
      <c r="G804" s="82" t="n"/>
      <c r="H804" s="82" t="n"/>
      <c r="I804" s="83" t="n"/>
      <c r="J804" s="82" t="n"/>
      <c r="K804" s="84" t="n"/>
      <c r="L804" s="85" t="n"/>
      <c r="M804" s="82" t="n"/>
      <c r="N804" s="86" t="n"/>
      <c r="O804" s="81" t="n"/>
      <c r="P804" s="82" t="n"/>
      <c r="Q804" s="83" t="n"/>
      <c r="R804" s="82" t="n"/>
      <c r="S804" s="84" t="n"/>
      <c r="T804" s="84" t="n"/>
      <c r="U804" s="82" t="n"/>
      <c r="V804" s="86" t="n"/>
      <c r="W804" s="86" t="n"/>
      <c r="X804" s="86" t="n"/>
      <c r="Y804" s="81" t="n"/>
      <c r="Z804" s="82" t="n"/>
      <c r="AA804" s="81" t="n"/>
      <c r="AB804" s="82" t="n"/>
      <c r="AC804" s="87">
        <f>IF(OR($D804="",$M804="Rejected",$M804="Withdrawn",$M804="Accepted"),"",IF(ISNUMBER($O804),IF(INT($O804)&lt;TODAY(),"FOLLOW UP REQUIRED",IF(INT($O804)=TODAY(),"ACTION DUE TODAY",IF(INT($O804)-TODAY()&lt;=Set_DueSoonDays,"DUE SOON",""))),IF(AND($M804="Applied",$AA804=""),IF(ISNUMBER($C804),IF(TODAY()-$C804&gt;=Set_FollowUpDays,"NO RESPONSE",""),""),"")))</f>
        <v/>
      </c>
      <c r="AD804" s="87">
        <f>IF(ISNUMBER($L804),IF($L804&gt;=90,"Excellent Match",IF($L804&gt;=75,"Strong Match",IF($L804&gt;=60,"Moderate Match","Low Match"))),"")</f>
        <v/>
      </c>
      <c r="AE804" s="87">
        <f>IF($D804="","",IF(OR($M804="Rejected",$M804="Withdrawn"),IF($AB804&lt;&gt;"",$AB804,IF(OR($M804="Rejected",ISNUMBER($C804)),"Applied","Wishlist")),IF($M804="",IF(ISNUMBER($C804),"Applied","Wishlist"),$M804)))</f>
        <v/>
      </c>
      <c r="AF804" s="88">
        <f>IF(AND(ISNUMBER($C804),ISNUMBER($AA804)),$AA804-$C804,"")</f>
        <v/>
      </c>
      <c r="AG804" s="87">
        <f>IF($AE804="","",IFERROR(MATCH($AE804,{"Wishlist","Applied","Screening","Interview 1","Interview 2","Final","Offer","Accepted"},0)-1,""))</f>
        <v/>
      </c>
      <c r="AH804" s="87">
        <f>IF($AC804="","",MATCH($AC804,{"FOLLOW UP REQUIRED","ACTION DUE TODAY","NO RESPONSE","DUE SOON"},0)*100000+IF(ISNUMBER($O804),$O804,IF(ISNUMBER($C804),$C804,0))+ROW()/10000)</f>
        <v/>
      </c>
      <c r="AI804" s="87">
        <f>IF(AND(ISNUMBER($AG804),$AG804&gt;=1,$AG804&lt;=6,$M804&lt;&gt;"Rejected",$M804&lt;&gt;"Withdrawn"),(10-$AG804)*100000+IF(ISNUMBER($C804),$C804,0)+ROW()/10000,"")</f>
        <v/>
      </c>
    </row>
    <row r="805">
      <c r="A805" s="80" t="n"/>
      <c r="B805" s="81" t="n"/>
      <c r="C805" s="81" t="n"/>
      <c r="D805" s="82" t="n"/>
      <c r="E805" s="82" t="n"/>
      <c r="F805" s="82" t="n"/>
      <c r="G805" s="82" t="n"/>
      <c r="H805" s="82" t="n"/>
      <c r="I805" s="83" t="n"/>
      <c r="J805" s="82" t="n"/>
      <c r="K805" s="84" t="n"/>
      <c r="L805" s="85" t="n"/>
      <c r="M805" s="82" t="n"/>
      <c r="N805" s="86" t="n"/>
      <c r="O805" s="81" t="n"/>
      <c r="P805" s="82" t="n"/>
      <c r="Q805" s="83" t="n"/>
      <c r="R805" s="82" t="n"/>
      <c r="S805" s="84" t="n"/>
      <c r="T805" s="84" t="n"/>
      <c r="U805" s="82" t="n"/>
      <c r="V805" s="86" t="n"/>
      <c r="W805" s="86" t="n"/>
      <c r="X805" s="86" t="n"/>
      <c r="Y805" s="81" t="n"/>
      <c r="Z805" s="82" t="n"/>
      <c r="AA805" s="81" t="n"/>
      <c r="AB805" s="82" t="n"/>
      <c r="AC805" s="87">
        <f>IF(OR($D805="",$M805="Rejected",$M805="Withdrawn",$M805="Accepted"),"",IF(ISNUMBER($O805),IF(INT($O805)&lt;TODAY(),"FOLLOW UP REQUIRED",IF(INT($O805)=TODAY(),"ACTION DUE TODAY",IF(INT($O805)-TODAY()&lt;=Set_DueSoonDays,"DUE SOON",""))),IF(AND($M805="Applied",$AA805=""),IF(ISNUMBER($C805),IF(TODAY()-$C805&gt;=Set_FollowUpDays,"NO RESPONSE",""),""),"")))</f>
        <v/>
      </c>
      <c r="AD805" s="87">
        <f>IF(ISNUMBER($L805),IF($L805&gt;=90,"Excellent Match",IF($L805&gt;=75,"Strong Match",IF($L805&gt;=60,"Moderate Match","Low Match"))),"")</f>
        <v/>
      </c>
      <c r="AE805" s="87">
        <f>IF($D805="","",IF(OR($M805="Rejected",$M805="Withdrawn"),IF($AB805&lt;&gt;"",$AB805,IF(OR($M805="Rejected",ISNUMBER($C805)),"Applied","Wishlist")),IF($M805="",IF(ISNUMBER($C805),"Applied","Wishlist"),$M805)))</f>
        <v/>
      </c>
      <c r="AF805" s="88">
        <f>IF(AND(ISNUMBER($C805),ISNUMBER($AA805)),$AA805-$C805,"")</f>
        <v/>
      </c>
      <c r="AG805" s="87">
        <f>IF($AE805="","",IFERROR(MATCH($AE805,{"Wishlist","Applied","Screening","Interview 1","Interview 2","Final","Offer","Accepted"},0)-1,""))</f>
        <v/>
      </c>
      <c r="AH805" s="87">
        <f>IF($AC805="","",MATCH($AC805,{"FOLLOW UP REQUIRED","ACTION DUE TODAY","NO RESPONSE","DUE SOON"},0)*100000+IF(ISNUMBER($O805),$O805,IF(ISNUMBER($C805),$C805,0))+ROW()/10000)</f>
        <v/>
      </c>
      <c r="AI805" s="87">
        <f>IF(AND(ISNUMBER($AG805),$AG805&gt;=1,$AG805&lt;=6,$M805&lt;&gt;"Rejected",$M805&lt;&gt;"Withdrawn"),(10-$AG805)*100000+IF(ISNUMBER($C805),$C805,0)+ROW()/10000,"")</f>
        <v/>
      </c>
    </row>
    <row r="806">
      <c r="A806" s="80" t="n"/>
      <c r="B806" s="81" t="n"/>
      <c r="C806" s="81" t="n"/>
      <c r="D806" s="82" t="n"/>
      <c r="E806" s="82" t="n"/>
      <c r="F806" s="82" t="n"/>
      <c r="G806" s="82" t="n"/>
      <c r="H806" s="82" t="n"/>
      <c r="I806" s="83" t="n"/>
      <c r="J806" s="82" t="n"/>
      <c r="K806" s="84" t="n"/>
      <c r="L806" s="85" t="n"/>
      <c r="M806" s="82" t="n"/>
      <c r="N806" s="86" t="n"/>
      <c r="O806" s="81" t="n"/>
      <c r="P806" s="82" t="n"/>
      <c r="Q806" s="83" t="n"/>
      <c r="R806" s="82" t="n"/>
      <c r="S806" s="84" t="n"/>
      <c r="T806" s="84" t="n"/>
      <c r="U806" s="82" t="n"/>
      <c r="V806" s="86" t="n"/>
      <c r="W806" s="86" t="n"/>
      <c r="X806" s="86" t="n"/>
      <c r="Y806" s="81" t="n"/>
      <c r="Z806" s="82" t="n"/>
      <c r="AA806" s="81" t="n"/>
      <c r="AB806" s="82" t="n"/>
      <c r="AC806" s="87">
        <f>IF(OR($D806="",$M806="Rejected",$M806="Withdrawn",$M806="Accepted"),"",IF(ISNUMBER($O806),IF(INT($O806)&lt;TODAY(),"FOLLOW UP REQUIRED",IF(INT($O806)=TODAY(),"ACTION DUE TODAY",IF(INT($O806)-TODAY()&lt;=Set_DueSoonDays,"DUE SOON",""))),IF(AND($M806="Applied",$AA806=""),IF(ISNUMBER($C806),IF(TODAY()-$C806&gt;=Set_FollowUpDays,"NO RESPONSE",""),""),"")))</f>
        <v/>
      </c>
      <c r="AD806" s="87">
        <f>IF(ISNUMBER($L806),IF($L806&gt;=90,"Excellent Match",IF($L806&gt;=75,"Strong Match",IF($L806&gt;=60,"Moderate Match","Low Match"))),"")</f>
        <v/>
      </c>
      <c r="AE806" s="87">
        <f>IF($D806="","",IF(OR($M806="Rejected",$M806="Withdrawn"),IF($AB806&lt;&gt;"",$AB806,IF(OR($M806="Rejected",ISNUMBER($C806)),"Applied","Wishlist")),IF($M806="",IF(ISNUMBER($C806),"Applied","Wishlist"),$M806)))</f>
        <v/>
      </c>
      <c r="AF806" s="88">
        <f>IF(AND(ISNUMBER($C806),ISNUMBER($AA806)),$AA806-$C806,"")</f>
        <v/>
      </c>
      <c r="AG806" s="87">
        <f>IF($AE806="","",IFERROR(MATCH($AE806,{"Wishlist","Applied","Screening","Interview 1","Interview 2","Final","Offer","Accepted"},0)-1,""))</f>
        <v/>
      </c>
      <c r="AH806" s="87">
        <f>IF($AC806="","",MATCH($AC806,{"FOLLOW UP REQUIRED","ACTION DUE TODAY","NO RESPONSE","DUE SOON"},0)*100000+IF(ISNUMBER($O806),$O806,IF(ISNUMBER($C806),$C806,0))+ROW()/10000)</f>
        <v/>
      </c>
      <c r="AI806" s="87">
        <f>IF(AND(ISNUMBER($AG806),$AG806&gt;=1,$AG806&lt;=6,$M806&lt;&gt;"Rejected",$M806&lt;&gt;"Withdrawn"),(10-$AG806)*100000+IF(ISNUMBER($C806),$C806,0)+ROW()/10000,"")</f>
        <v/>
      </c>
    </row>
    <row r="807">
      <c r="A807" s="80" t="n"/>
      <c r="B807" s="81" t="n"/>
      <c r="C807" s="81" t="n"/>
      <c r="D807" s="82" t="n"/>
      <c r="E807" s="82" t="n"/>
      <c r="F807" s="82" t="n"/>
      <c r="G807" s="82" t="n"/>
      <c r="H807" s="82" t="n"/>
      <c r="I807" s="83" t="n"/>
      <c r="J807" s="82" t="n"/>
      <c r="K807" s="84" t="n"/>
      <c r="L807" s="85" t="n"/>
      <c r="M807" s="82" t="n"/>
      <c r="N807" s="86" t="n"/>
      <c r="O807" s="81" t="n"/>
      <c r="P807" s="82" t="n"/>
      <c r="Q807" s="83" t="n"/>
      <c r="R807" s="82" t="n"/>
      <c r="S807" s="84" t="n"/>
      <c r="T807" s="84" t="n"/>
      <c r="U807" s="82" t="n"/>
      <c r="V807" s="86" t="n"/>
      <c r="W807" s="86" t="n"/>
      <c r="X807" s="86" t="n"/>
      <c r="Y807" s="81" t="n"/>
      <c r="Z807" s="82" t="n"/>
      <c r="AA807" s="81" t="n"/>
      <c r="AB807" s="82" t="n"/>
      <c r="AC807" s="87">
        <f>IF(OR($D807="",$M807="Rejected",$M807="Withdrawn",$M807="Accepted"),"",IF(ISNUMBER($O807),IF(INT($O807)&lt;TODAY(),"FOLLOW UP REQUIRED",IF(INT($O807)=TODAY(),"ACTION DUE TODAY",IF(INT($O807)-TODAY()&lt;=Set_DueSoonDays,"DUE SOON",""))),IF(AND($M807="Applied",$AA807=""),IF(ISNUMBER($C807),IF(TODAY()-$C807&gt;=Set_FollowUpDays,"NO RESPONSE",""),""),"")))</f>
        <v/>
      </c>
      <c r="AD807" s="87">
        <f>IF(ISNUMBER($L807),IF($L807&gt;=90,"Excellent Match",IF($L807&gt;=75,"Strong Match",IF($L807&gt;=60,"Moderate Match","Low Match"))),"")</f>
        <v/>
      </c>
      <c r="AE807" s="87">
        <f>IF($D807="","",IF(OR($M807="Rejected",$M807="Withdrawn"),IF($AB807&lt;&gt;"",$AB807,IF(OR($M807="Rejected",ISNUMBER($C807)),"Applied","Wishlist")),IF($M807="",IF(ISNUMBER($C807),"Applied","Wishlist"),$M807)))</f>
        <v/>
      </c>
      <c r="AF807" s="88">
        <f>IF(AND(ISNUMBER($C807),ISNUMBER($AA807)),$AA807-$C807,"")</f>
        <v/>
      </c>
      <c r="AG807" s="87">
        <f>IF($AE807="","",IFERROR(MATCH($AE807,{"Wishlist","Applied","Screening","Interview 1","Interview 2","Final","Offer","Accepted"},0)-1,""))</f>
        <v/>
      </c>
      <c r="AH807" s="87">
        <f>IF($AC807="","",MATCH($AC807,{"FOLLOW UP REQUIRED","ACTION DUE TODAY","NO RESPONSE","DUE SOON"},0)*100000+IF(ISNUMBER($O807),$O807,IF(ISNUMBER($C807),$C807,0))+ROW()/10000)</f>
        <v/>
      </c>
      <c r="AI807" s="87">
        <f>IF(AND(ISNUMBER($AG807),$AG807&gt;=1,$AG807&lt;=6,$M807&lt;&gt;"Rejected",$M807&lt;&gt;"Withdrawn"),(10-$AG807)*100000+IF(ISNUMBER($C807),$C807,0)+ROW()/10000,"")</f>
        <v/>
      </c>
    </row>
    <row r="808">
      <c r="A808" s="80" t="n"/>
      <c r="B808" s="81" t="n"/>
      <c r="C808" s="81" t="n"/>
      <c r="D808" s="82" t="n"/>
      <c r="E808" s="82" t="n"/>
      <c r="F808" s="82" t="n"/>
      <c r="G808" s="82" t="n"/>
      <c r="H808" s="82" t="n"/>
      <c r="I808" s="83" t="n"/>
      <c r="J808" s="82" t="n"/>
      <c r="K808" s="84" t="n"/>
      <c r="L808" s="85" t="n"/>
      <c r="M808" s="82" t="n"/>
      <c r="N808" s="86" t="n"/>
      <c r="O808" s="81" t="n"/>
      <c r="P808" s="82" t="n"/>
      <c r="Q808" s="83" t="n"/>
      <c r="R808" s="82" t="n"/>
      <c r="S808" s="84" t="n"/>
      <c r="T808" s="84" t="n"/>
      <c r="U808" s="82" t="n"/>
      <c r="V808" s="86" t="n"/>
      <c r="W808" s="86" t="n"/>
      <c r="X808" s="86" t="n"/>
      <c r="Y808" s="81" t="n"/>
      <c r="Z808" s="82" t="n"/>
      <c r="AA808" s="81" t="n"/>
      <c r="AB808" s="82" t="n"/>
      <c r="AC808" s="87">
        <f>IF(OR($D808="",$M808="Rejected",$M808="Withdrawn",$M808="Accepted"),"",IF(ISNUMBER($O808),IF(INT($O808)&lt;TODAY(),"FOLLOW UP REQUIRED",IF(INT($O808)=TODAY(),"ACTION DUE TODAY",IF(INT($O808)-TODAY()&lt;=Set_DueSoonDays,"DUE SOON",""))),IF(AND($M808="Applied",$AA808=""),IF(ISNUMBER($C808),IF(TODAY()-$C808&gt;=Set_FollowUpDays,"NO RESPONSE",""),""),"")))</f>
        <v/>
      </c>
      <c r="AD808" s="87">
        <f>IF(ISNUMBER($L808),IF($L808&gt;=90,"Excellent Match",IF($L808&gt;=75,"Strong Match",IF($L808&gt;=60,"Moderate Match","Low Match"))),"")</f>
        <v/>
      </c>
      <c r="AE808" s="87">
        <f>IF($D808="","",IF(OR($M808="Rejected",$M808="Withdrawn"),IF($AB808&lt;&gt;"",$AB808,IF(OR($M808="Rejected",ISNUMBER($C808)),"Applied","Wishlist")),IF($M808="",IF(ISNUMBER($C808),"Applied","Wishlist"),$M808)))</f>
        <v/>
      </c>
      <c r="AF808" s="88">
        <f>IF(AND(ISNUMBER($C808),ISNUMBER($AA808)),$AA808-$C808,"")</f>
        <v/>
      </c>
      <c r="AG808" s="87">
        <f>IF($AE808="","",IFERROR(MATCH($AE808,{"Wishlist","Applied","Screening","Interview 1","Interview 2","Final","Offer","Accepted"},0)-1,""))</f>
        <v/>
      </c>
      <c r="AH808" s="87">
        <f>IF($AC808="","",MATCH($AC808,{"FOLLOW UP REQUIRED","ACTION DUE TODAY","NO RESPONSE","DUE SOON"},0)*100000+IF(ISNUMBER($O808),$O808,IF(ISNUMBER($C808),$C808,0))+ROW()/10000)</f>
        <v/>
      </c>
      <c r="AI808" s="87">
        <f>IF(AND(ISNUMBER($AG808),$AG808&gt;=1,$AG808&lt;=6,$M808&lt;&gt;"Rejected",$M808&lt;&gt;"Withdrawn"),(10-$AG808)*100000+IF(ISNUMBER($C808),$C808,0)+ROW()/10000,"")</f>
        <v/>
      </c>
    </row>
    <row r="809">
      <c r="A809" s="80" t="n"/>
      <c r="B809" s="81" t="n"/>
      <c r="C809" s="81" t="n"/>
      <c r="D809" s="82" t="n"/>
      <c r="E809" s="82" t="n"/>
      <c r="F809" s="82" t="n"/>
      <c r="G809" s="82" t="n"/>
      <c r="H809" s="82" t="n"/>
      <c r="I809" s="83" t="n"/>
      <c r="J809" s="82" t="n"/>
      <c r="K809" s="84" t="n"/>
      <c r="L809" s="85" t="n"/>
      <c r="M809" s="82" t="n"/>
      <c r="N809" s="86" t="n"/>
      <c r="O809" s="81" t="n"/>
      <c r="P809" s="82" t="n"/>
      <c r="Q809" s="83" t="n"/>
      <c r="R809" s="82" t="n"/>
      <c r="S809" s="84" t="n"/>
      <c r="T809" s="84" t="n"/>
      <c r="U809" s="82" t="n"/>
      <c r="V809" s="86" t="n"/>
      <c r="W809" s="86" t="n"/>
      <c r="X809" s="86" t="n"/>
      <c r="Y809" s="81" t="n"/>
      <c r="Z809" s="82" t="n"/>
      <c r="AA809" s="81" t="n"/>
      <c r="AB809" s="82" t="n"/>
      <c r="AC809" s="87">
        <f>IF(OR($D809="",$M809="Rejected",$M809="Withdrawn",$M809="Accepted"),"",IF(ISNUMBER($O809),IF(INT($O809)&lt;TODAY(),"FOLLOW UP REQUIRED",IF(INT($O809)=TODAY(),"ACTION DUE TODAY",IF(INT($O809)-TODAY()&lt;=Set_DueSoonDays,"DUE SOON",""))),IF(AND($M809="Applied",$AA809=""),IF(ISNUMBER($C809),IF(TODAY()-$C809&gt;=Set_FollowUpDays,"NO RESPONSE",""),""),"")))</f>
        <v/>
      </c>
      <c r="AD809" s="87">
        <f>IF(ISNUMBER($L809),IF($L809&gt;=90,"Excellent Match",IF($L809&gt;=75,"Strong Match",IF($L809&gt;=60,"Moderate Match","Low Match"))),"")</f>
        <v/>
      </c>
      <c r="AE809" s="87">
        <f>IF($D809="","",IF(OR($M809="Rejected",$M809="Withdrawn"),IF($AB809&lt;&gt;"",$AB809,IF(OR($M809="Rejected",ISNUMBER($C809)),"Applied","Wishlist")),IF($M809="",IF(ISNUMBER($C809),"Applied","Wishlist"),$M809)))</f>
        <v/>
      </c>
      <c r="AF809" s="88">
        <f>IF(AND(ISNUMBER($C809),ISNUMBER($AA809)),$AA809-$C809,"")</f>
        <v/>
      </c>
      <c r="AG809" s="87">
        <f>IF($AE809="","",IFERROR(MATCH($AE809,{"Wishlist","Applied","Screening","Interview 1","Interview 2","Final","Offer","Accepted"},0)-1,""))</f>
        <v/>
      </c>
      <c r="AH809" s="87">
        <f>IF($AC809="","",MATCH($AC809,{"FOLLOW UP REQUIRED","ACTION DUE TODAY","NO RESPONSE","DUE SOON"},0)*100000+IF(ISNUMBER($O809),$O809,IF(ISNUMBER($C809),$C809,0))+ROW()/10000)</f>
        <v/>
      </c>
      <c r="AI809" s="87">
        <f>IF(AND(ISNUMBER($AG809),$AG809&gt;=1,$AG809&lt;=6,$M809&lt;&gt;"Rejected",$M809&lt;&gt;"Withdrawn"),(10-$AG809)*100000+IF(ISNUMBER($C809),$C809,0)+ROW()/10000,"")</f>
        <v/>
      </c>
    </row>
    <row r="810">
      <c r="A810" s="80" t="n"/>
      <c r="B810" s="81" t="n"/>
      <c r="C810" s="81" t="n"/>
      <c r="D810" s="82" t="n"/>
      <c r="E810" s="82" t="n"/>
      <c r="F810" s="82" t="n"/>
      <c r="G810" s="82" t="n"/>
      <c r="H810" s="82" t="n"/>
      <c r="I810" s="83" t="n"/>
      <c r="J810" s="82" t="n"/>
      <c r="K810" s="84" t="n"/>
      <c r="L810" s="85" t="n"/>
      <c r="M810" s="82" t="n"/>
      <c r="N810" s="86" t="n"/>
      <c r="O810" s="81" t="n"/>
      <c r="P810" s="82" t="n"/>
      <c r="Q810" s="83" t="n"/>
      <c r="R810" s="82" t="n"/>
      <c r="S810" s="84" t="n"/>
      <c r="T810" s="84" t="n"/>
      <c r="U810" s="82" t="n"/>
      <c r="V810" s="86" t="n"/>
      <c r="W810" s="86" t="n"/>
      <c r="X810" s="86" t="n"/>
      <c r="Y810" s="81" t="n"/>
      <c r="Z810" s="82" t="n"/>
      <c r="AA810" s="81" t="n"/>
      <c r="AB810" s="82" t="n"/>
      <c r="AC810" s="87">
        <f>IF(OR($D810="",$M810="Rejected",$M810="Withdrawn",$M810="Accepted"),"",IF(ISNUMBER($O810),IF(INT($O810)&lt;TODAY(),"FOLLOW UP REQUIRED",IF(INT($O810)=TODAY(),"ACTION DUE TODAY",IF(INT($O810)-TODAY()&lt;=Set_DueSoonDays,"DUE SOON",""))),IF(AND($M810="Applied",$AA810=""),IF(ISNUMBER($C810),IF(TODAY()-$C810&gt;=Set_FollowUpDays,"NO RESPONSE",""),""),"")))</f>
        <v/>
      </c>
      <c r="AD810" s="87">
        <f>IF(ISNUMBER($L810),IF($L810&gt;=90,"Excellent Match",IF($L810&gt;=75,"Strong Match",IF($L810&gt;=60,"Moderate Match","Low Match"))),"")</f>
        <v/>
      </c>
      <c r="AE810" s="87">
        <f>IF($D810="","",IF(OR($M810="Rejected",$M810="Withdrawn"),IF($AB810&lt;&gt;"",$AB810,IF(OR($M810="Rejected",ISNUMBER($C810)),"Applied","Wishlist")),IF($M810="",IF(ISNUMBER($C810),"Applied","Wishlist"),$M810)))</f>
        <v/>
      </c>
      <c r="AF810" s="88">
        <f>IF(AND(ISNUMBER($C810),ISNUMBER($AA810)),$AA810-$C810,"")</f>
        <v/>
      </c>
      <c r="AG810" s="87">
        <f>IF($AE810="","",IFERROR(MATCH($AE810,{"Wishlist","Applied","Screening","Interview 1","Interview 2","Final","Offer","Accepted"},0)-1,""))</f>
        <v/>
      </c>
      <c r="AH810" s="87">
        <f>IF($AC810="","",MATCH($AC810,{"FOLLOW UP REQUIRED","ACTION DUE TODAY","NO RESPONSE","DUE SOON"},0)*100000+IF(ISNUMBER($O810),$O810,IF(ISNUMBER($C810),$C810,0))+ROW()/10000)</f>
        <v/>
      </c>
      <c r="AI810" s="87">
        <f>IF(AND(ISNUMBER($AG810),$AG810&gt;=1,$AG810&lt;=6,$M810&lt;&gt;"Rejected",$M810&lt;&gt;"Withdrawn"),(10-$AG810)*100000+IF(ISNUMBER($C810),$C810,0)+ROW()/10000,"")</f>
        <v/>
      </c>
    </row>
    <row r="811">
      <c r="A811" s="80" t="n"/>
      <c r="B811" s="81" t="n"/>
      <c r="C811" s="81" t="n"/>
      <c r="D811" s="82" t="n"/>
      <c r="E811" s="82" t="n"/>
      <c r="F811" s="82" t="n"/>
      <c r="G811" s="82" t="n"/>
      <c r="H811" s="82" t="n"/>
      <c r="I811" s="83" t="n"/>
      <c r="J811" s="82" t="n"/>
      <c r="K811" s="84" t="n"/>
      <c r="L811" s="85" t="n"/>
      <c r="M811" s="82" t="n"/>
      <c r="N811" s="86" t="n"/>
      <c r="O811" s="81" t="n"/>
      <c r="P811" s="82" t="n"/>
      <c r="Q811" s="83" t="n"/>
      <c r="R811" s="82" t="n"/>
      <c r="S811" s="84" t="n"/>
      <c r="T811" s="84" t="n"/>
      <c r="U811" s="82" t="n"/>
      <c r="V811" s="86" t="n"/>
      <c r="W811" s="86" t="n"/>
      <c r="X811" s="86" t="n"/>
      <c r="Y811" s="81" t="n"/>
      <c r="Z811" s="82" t="n"/>
      <c r="AA811" s="81" t="n"/>
      <c r="AB811" s="82" t="n"/>
      <c r="AC811" s="87">
        <f>IF(OR($D811="",$M811="Rejected",$M811="Withdrawn",$M811="Accepted"),"",IF(ISNUMBER($O811),IF(INT($O811)&lt;TODAY(),"FOLLOW UP REQUIRED",IF(INT($O811)=TODAY(),"ACTION DUE TODAY",IF(INT($O811)-TODAY()&lt;=Set_DueSoonDays,"DUE SOON",""))),IF(AND($M811="Applied",$AA811=""),IF(ISNUMBER($C811),IF(TODAY()-$C811&gt;=Set_FollowUpDays,"NO RESPONSE",""),""),"")))</f>
        <v/>
      </c>
      <c r="AD811" s="87">
        <f>IF(ISNUMBER($L811),IF($L811&gt;=90,"Excellent Match",IF($L811&gt;=75,"Strong Match",IF($L811&gt;=60,"Moderate Match","Low Match"))),"")</f>
        <v/>
      </c>
      <c r="AE811" s="87">
        <f>IF($D811="","",IF(OR($M811="Rejected",$M811="Withdrawn"),IF($AB811&lt;&gt;"",$AB811,IF(OR($M811="Rejected",ISNUMBER($C811)),"Applied","Wishlist")),IF($M811="",IF(ISNUMBER($C811),"Applied","Wishlist"),$M811)))</f>
        <v/>
      </c>
      <c r="AF811" s="88">
        <f>IF(AND(ISNUMBER($C811),ISNUMBER($AA811)),$AA811-$C811,"")</f>
        <v/>
      </c>
      <c r="AG811" s="87">
        <f>IF($AE811="","",IFERROR(MATCH($AE811,{"Wishlist","Applied","Screening","Interview 1","Interview 2","Final","Offer","Accepted"},0)-1,""))</f>
        <v/>
      </c>
      <c r="AH811" s="87">
        <f>IF($AC811="","",MATCH($AC811,{"FOLLOW UP REQUIRED","ACTION DUE TODAY","NO RESPONSE","DUE SOON"},0)*100000+IF(ISNUMBER($O811),$O811,IF(ISNUMBER($C811),$C811,0))+ROW()/10000)</f>
        <v/>
      </c>
      <c r="AI811" s="87">
        <f>IF(AND(ISNUMBER($AG811),$AG811&gt;=1,$AG811&lt;=6,$M811&lt;&gt;"Rejected",$M811&lt;&gt;"Withdrawn"),(10-$AG811)*100000+IF(ISNUMBER($C811),$C811,0)+ROW()/10000,"")</f>
        <v/>
      </c>
    </row>
    <row r="812">
      <c r="A812" s="80" t="n"/>
      <c r="B812" s="81" t="n"/>
      <c r="C812" s="81" t="n"/>
      <c r="D812" s="82" t="n"/>
      <c r="E812" s="82" t="n"/>
      <c r="F812" s="82" t="n"/>
      <c r="G812" s="82" t="n"/>
      <c r="H812" s="82" t="n"/>
      <c r="I812" s="83" t="n"/>
      <c r="J812" s="82" t="n"/>
      <c r="K812" s="84" t="n"/>
      <c r="L812" s="85" t="n"/>
      <c r="M812" s="82" t="n"/>
      <c r="N812" s="86" t="n"/>
      <c r="O812" s="81" t="n"/>
      <c r="P812" s="82" t="n"/>
      <c r="Q812" s="83" t="n"/>
      <c r="R812" s="82" t="n"/>
      <c r="S812" s="84" t="n"/>
      <c r="T812" s="84" t="n"/>
      <c r="U812" s="82" t="n"/>
      <c r="V812" s="86" t="n"/>
      <c r="W812" s="86" t="n"/>
      <c r="X812" s="86" t="n"/>
      <c r="Y812" s="81" t="n"/>
      <c r="Z812" s="82" t="n"/>
      <c r="AA812" s="81" t="n"/>
      <c r="AB812" s="82" t="n"/>
      <c r="AC812" s="87">
        <f>IF(OR($D812="",$M812="Rejected",$M812="Withdrawn",$M812="Accepted"),"",IF(ISNUMBER($O812),IF(INT($O812)&lt;TODAY(),"FOLLOW UP REQUIRED",IF(INT($O812)=TODAY(),"ACTION DUE TODAY",IF(INT($O812)-TODAY()&lt;=Set_DueSoonDays,"DUE SOON",""))),IF(AND($M812="Applied",$AA812=""),IF(ISNUMBER($C812),IF(TODAY()-$C812&gt;=Set_FollowUpDays,"NO RESPONSE",""),""),"")))</f>
        <v/>
      </c>
      <c r="AD812" s="87">
        <f>IF(ISNUMBER($L812),IF($L812&gt;=90,"Excellent Match",IF($L812&gt;=75,"Strong Match",IF($L812&gt;=60,"Moderate Match","Low Match"))),"")</f>
        <v/>
      </c>
      <c r="AE812" s="87">
        <f>IF($D812="","",IF(OR($M812="Rejected",$M812="Withdrawn"),IF($AB812&lt;&gt;"",$AB812,IF(OR($M812="Rejected",ISNUMBER($C812)),"Applied","Wishlist")),IF($M812="",IF(ISNUMBER($C812),"Applied","Wishlist"),$M812)))</f>
        <v/>
      </c>
      <c r="AF812" s="88">
        <f>IF(AND(ISNUMBER($C812),ISNUMBER($AA812)),$AA812-$C812,"")</f>
        <v/>
      </c>
      <c r="AG812" s="87">
        <f>IF($AE812="","",IFERROR(MATCH($AE812,{"Wishlist","Applied","Screening","Interview 1","Interview 2","Final","Offer","Accepted"},0)-1,""))</f>
        <v/>
      </c>
      <c r="AH812" s="87">
        <f>IF($AC812="","",MATCH($AC812,{"FOLLOW UP REQUIRED","ACTION DUE TODAY","NO RESPONSE","DUE SOON"},0)*100000+IF(ISNUMBER($O812),$O812,IF(ISNUMBER($C812),$C812,0))+ROW()/10000)</f>
        <v/>
      </c>
      <c r="AI812" s="87">
        <f>IF(AND(ISNUMBER($AG812),$AG812&gt;=1,$AG812&lt;=6,$M812&lt;&gt;"Rejected",$M812&lt;&gt;"Withdrawn"),(10-$AG812)*100000+IF(ISNUMBER($C812),$C812,0)+ROW()/10000,"")</f>
        <v/>
      </c>
    </row>
    <row r="813">
      <c r="A813" s="80" t="n"/>
      <c r="B813" s="81" t="n"/>
      <c r="C813" s="81" t="n"/>
      <c r="D813" s="82" t="n"/>
      <c r="E813" s="82" t="n"/>
      <c r="F813" s="82" t="n"/>
      <c r="G813" s="82" t="n"/>
      <c r="H813" s="82" t="n"/>
      <c r="I813" s="83" t="n"/>
      <c r="J813" s="82" t="n"/>
      <c r="K813" s="84" t="n"/>
      <c r="L813" s="85" t="n"/>
      <c r="M813" s="82" t="n"/>
      <c r="N813" s="86" t="n"/>
      <c r="O813" s="81" t="n"/>
      <c r="P813" s="82" t="n"/>
      <c r="Q813" s="83" t="n"/>
      <c r="R813" s="82" t="n"/>
      <c r="S813" s="84" t="n"/>
      <c r="T813" s="84" t="n"/>
      <c r="U813" s="82" t="n"/>
      <c r="V813" s="86" t="n"/>
      <c r="W813" s="86" t="n"/>
      <c r="X813" s="86" t="n"/>
      <c r="Y813" s="81" t="n"/>
      <c r="Z813" s="82" t="n"/>
      <c r="AA813" s="81" t="n"/>
      <c r="AB813" s="82" t="n"/>
      <c r="AC813" s="87">
        <f>IF(OR($D813="",$M813="Rejected",$M813="Withdrawn",$M813="Accepted"),"",IF(ISNUMBER($O813),IF(INT($O813)&lt;TODAY(),"FOLLOW UP REQUIRED",IF(INT($O813)=TODAY(),"ACTION DUE TODAY",IF(INT($O813)-TODAY()&lt;=Set_DueSoonDays,"DUE SOON",""))),IF(AND($M813="Applied",$AA813=""),IF(ISNUMBER($C813),IF(TODAY()-$C813&gt;=Set_FollowUpDays,"NO RESPONSE",""),""),"")))</f>
        <v/>
      </c>
      <c r="AD813" s="87">
        <f>IF(ISNUMBER($L813),IF($L813&gt;=90,"Excellent Match",IF($L813&gt;=75,"Strong Match",IF($L813&gt;=60,"Moderate Match","Low Match"))),"")</f>
        <v/>
      </c>
      <c r="AE813" s="87">
        <f>IF($D813="","",IF(OR($M813="Rejected",$M813="Withdrawn"),IF($AB813&lt;&gt;"",$AB813,IF(OR($M813="Rejected",ISNUMBER($C813)),"Applied","Wishlist")),IF($M813="",IF(ISNUMBER($C813),"Applied","Wishlist"),$M813)))</f>
        <v/>
      </c>
      <c r="AF813" s="88">
        <f>IF(AND(ISNUMBER($C813),ISNUMBER($AA813)),$AA813-$C813,"")</f>
        <v/>
      </c>
      <c r="AG813" s="87">
        <f>IF($AE813="","",IFERROR(MATCH($AE813,{"Wishlist","Applied","Screening","Interview 1","Interview 2","Final","Offer","Accepted"},0)-1,""))</f>
        <v/>
      </c>
      <c r="AH813" s="87">
        <f>IF($AC813="","",MATCH($AC813,{"FOLLOW UP REQUIRED","ACTION DUE TODAY","NO RESPONSE","DUE SOON"},0)*100000+IF(ISNUMBER($O813),$O813,IF(ISNUMBER($C813),$C813,0))+ROW()/10000)</f>
        <v/>
      </c>
      <c r="AI813" s="87">
        <f>IF(AND(ISNUMBER($AG813),$AG813&gt;=1,$AG813&lt;=6,$M813&lt;&gt;"Rejected",$M813&lt;&gt;"Withdrawn"),(10-$AG813)*100000+IF(ISNUMBER($C813),$C813,0)+ROW()/10000,"")</f>
        <v/>
      </c>
    </row>
    <row r="814">
      <c r="A814" s="80" t="n"/>
      <c r="B814" s="81" t="n"/>
      <c r="C814" s="81" t="n"/>
      <c r="D814" s="82" t="n"/>
      <c r="E814" s="82" t="n"/>
      <c r="F814" s="82" t="n"/>
      <c r="G814" s="82" t="n"/>
      <c r="H814" s="82" t="n"/>
      <c r="I814" s="83" t="n"/>
      <c r="J814" s="82" t="n"/>
      <c r="K814" s="84" t="n"/>
      <c r="L814" s="85" t="n"/>
      <c r="M814" s="82" t="n"/>
      <c r="N814" s="86" t="n"/>
      <c r="O814" s="81" t="n"/>
      <c r="P814" s="82" t="n"/>
      <c r="Q814" s="83" t="n"/>
      <c r="R814" s="82" t="n"/>
      <c r="S814" s="84" t="n"/>
      <c r="T814" s="84" t="n"/>
      <c r="U814" s="82" t="n"/>
      <c r="V814" s="86" t="n"/>
      <c r="W814" s="86" t="n"/>
      <c r="X814" s="86" t="n"/>
      <c r="Y814" s="81" t="n"/>
      <c r="Z814" s="82" t="n"/>
      <c r="AA814" s="81" t="n"/>
      <c r="AB814" s="82" t="n"/>
      <c r="AC814" s="87">
        <f>IF(OR($D814="",$M814="Rejected",$M814="Withdrawn",$M814="Accepted"),"",IF(ISNUMBER($O814),IF(INT($O814)&lt;TODAY(),"FOLLOW UP REQUIRED",IF(INT($O814)=TODAY(),"ACTION DUE TODAY",IF(INT($O814)-TODAY()&lt;=Set_DueSoonDays,"DUE SOON",""))),IF(AND($M814="Applied",$AA814=""),IF(ISNUMBER($C814),IF(TODAY()-$C814&gt;=Set_FollowUpDays,"NO RESPONSE",""),""),"")))</f>
        <v/>
      </c>
      <c r="AD814" s="87">
        <f>IF(ISNUMBER($L814),IF($L814&gt;=90,"Excellent Match",IF($L814&gt;=75,"Strong Match",IF($L814&gt;=60,"Moderate Match","Low Match"))),"")</f>
        <v/>
      </c>
      <c r="AE814" s="87">
        <f>IF($D814="","",IF(OR($M814="Rejected",$M814="Withdrawn"),IF($AB814&lt;&gt;"",$AB814,IF(OR($M814="Rejected",ISNUMBER($C814)),"Applied","Wishlist")),IF($M814="",IF(ISNUMBER($C814),"Applied","Wishlist"),$M814)))</f>
        <v/>
      </c>
      <c r="AF814" s="88">
        <f>IF(AND(ISNUMBER($C814),ISNUMBER($AA814)),$AA814-$C814,"")</f>
        <v/>
      </c>
      <c r="AG814" s="87">
        <f>IF($AE814="","",IFERROR(MATCH($AE814,{"Wishlist","Applied","Screening","Interview 1","Interview 2","Final","Offer","Accepted"},0)-1,""))</f>
        <v/>
      </c>
      <c r="AH814" s="87">
        <f>IF($AC814="","",MATCH($AC814,{"FOLLOW UP REQUIRED","ACTION DUE TODAY","NO RESPONSE","DUE SOON"},0)*100000+IF(ISNUMBER($O814),$O814,IF(ISNUMBER($C814),$C814,0))+ROW()/10000)</f>
        <v/>
      </c>
      <c r="AI814" s="87">
        <f>IF(AND(ISNUMBER($AG814),$AG814&gt;=1,$AG814&lt;=6,$M814&lt;&gt;"Rejected",$M814&lt;&gt;"Withdrawn"),(10-$AG814)*100000+IF(ISNUMBER($C814),$C814,0)+ROW()/10000,"")</f>
        <v/>
      </c>
    </row>
    <row r="815">
      <c r="A815" s="80" t="n"/>
      <c r="B815" s="81" t="n"/>
      <c r="C815" s="81" t="n"/>
      <c r="D815" s="82" t="n"/>
      <c r="E815" s="82" t="n"/>
      <c r="F815" s="82" t="n"/>
      <c r="G815" s="82" t="n"/>
      <c r="H815" s="82" t="n"/>
      <c r="I815" s="83" t="n"/>
      <c r="J815" s="82" t="n"/>
      <c r="K815" s="84" t="n"/>
      <c r="L815" s="85" t="n"/>
      <c r="M815" s="82" t="n"/>
      <c r="N815" s="86" t="n"/>
      <c r="O815" s="81" t="n"/>
      <c r="P815" s="82" t="n"/>
      <c r="Q815" s="83" t="n"/>
      <c r="R815" s="82" t="n"/>
      <c r="S815" s="84" t="n"/>
      <c r="T815" s="84" t="n"/>
      <c r="U815" s="82" t="n"/>
      <c r="V815" s="86" t="n"/>
      <c r="W815" s="86" t="n"/>
      <c r="X815" s="86" t="n"/>
      <c r="Y815" s="81" t="n"/>
      <c r="Z815" s="82" t="n"/>
      <c r="AA815" s="81" t="n"/>
      <c r="AB815" s="82" t="n"/>
      <c r="AC815" s="87">
        <f>IF(OR($D815="",$M815="Rejected",$M815="Withdrawn",$M815="Accepted"),"",IF(ISNUMBER($O815),IF(INT($O815)&lt;TODAY(),"FOLLOW UP REQUIRED",IF(INT($O815)=TODAY(),"ACTION DUE TODAY",IF(INT($O815)-TODAY()&lt;=Set_DueSoonDays,"DUE SOON",""))),IF(AND($M815="Applied",$AA815=""),IF(ISNUMBER($C815),IF(TODAY()-$C815&gt;=Set_FollowUpDays,"NO RESPONSE",""),""),"")))</f>
        <v/>
      </c>
      <c r="AD815" s="87">
        <f>IF(ISNUMBER($L815),IF($L815&gt;=90,"Excellent Match",IF($L815&gt;=75,"Strong Match",IF($L815&gt;=60,"Moderate Match","Low Match"))),"")</f>
        <v/>
      </c>
      <c r="AE815" s="87">
        <f>IF($D815="","",IF(OR($M815="Rejected",$M815="Withdrawn"),IF($AB815&lt;&gt;"",$AB815,IF(OR($M815="Rejected",ISNUMBER($C815)),"Applied","Wishlist")),IF($M815="",IF(ISNUMBER($C815),"Applied","Wishlist"),$M815)))</f>
        <v/>
      </c>
      <c r="AF815" s="88">
        <f>IF(AND(ISNUMBER($C815),ISNUMBER($AA815)),$AA815-$C815,"")</f>
        <v/>
      </c>
      <c r="AG815" s="87">
        <f>IF($AE815="","",IFERROR(MATCH($AE815,{"Wishlist","Applied","Screening","Interview 1","Interview 2","Final","Offer","Accepted"},0)-1,""))</f>
        <v/>
      </c>
      <c r="AH815" s="87">
        <f>IF($AC815="","",MATCH($AC815,{"FOLLOW UP REQUIRED","ACTION DUE TODAY","NO RESPONSE","DUE SOON"},0)*100000+IF(ISNUMBER($O815),$O815,IF(ISNUMBER($C815),$C815,0))+ROW()/10000)</f>
        <v/>
      </c>
      <c r="AI815" s="87">
        <f>IF(AND(ISNUMBER($AG815),$AG815&gt;=1,$AG815&lt;=6,$M815&lt;&gt;"Rejected",$M815&lt;&gt;"Withdrawn"),(10-$AG815)*100000+IF(ISNUMBER($C815),$C815,0)+ROW()/10000,"")</f>
        <v/>
      </c>
    </row>
    <row r="816">
      <c r="A816" s="80" t="n"/>
      <c r="B816" s="81" t="n"/>
      <c r="C816" s="81" t="n"/>
      <c r="D816" s="82" t="n"/>
      <c r="E816" s="82" t="n"/>
      <c r="F816" s="82" t="n"/>
      <c r="G816" s="82" t="n"/>
      <c r="H816" s="82" t="n"/>
      <c r="I816" s="83" t="n"/>
      <c r="J816" s="82" t="n"/>
      <c r="K816" s="84" t="n"/>
      <c r="L816" s="85" t="n"/>
      <c r="M816" s="82" t="n"/>
      <c r="N816" s="86" t="n"/>
      <c r="O816" s="81" t="n"/>
      <c r="P816" s="82" t="n"/>
      <c r="Q816" s="83" t="n"/>
      <c r="R816" s="82" t="n"/>
      <c r="S816" s="84" t="n"/>
      <c r="T816" s="84" t="n"/>
      <c r="U816" s="82" t="n"/>
      <c r="V816" s="86" t="n"/>
      <c r="W816" s="86" t="n"/>
      <c r="X816" s="86" t="n"/>
      <c r="Y816" s="81" t="n"/>
      <c r="Z816" s="82" t="n"/>
      <c r="AA816" s="81" t="n"/>
      <c r="AB816" s="82" t="n"/>
      <c r="AC816" s="87">
        <f>IF(OR($D816="",$M816="Rejected",$M816="Withdrawn",$M816="Accepted"),"",IF(ISNUMBER($O816),IF(INT($O816)&lt;TODAY(),"FOLLOW UP REQUIRED",IF(INT($O816)=TODAY(),"ACTION DUE TODAY",IF(INT($O816)-TODAY()&lt;=Set_DueSoonDays,"DUE SOON",""))),IF(AND($M816="Applied",$AA816=""),IF(ISNUMBER($C816),IF(TODAY()-$C816&gt;=Set_FollowUpDays,"NO RESPONSE",""),""),"")))</f>
        <v/>
      </c>
      <c r="AD816" s="87">
        <f>IF(ISNUMBER($L816),IF($L816&gt;=90,"Excellent Match",IF($L816&gt;=75,"Strong Match",IF($L816&gt;=60,"Moderate Match","Low Match"))),"")</f>
        <v/>
      </c>
      <c r="AE816" s="87">
        <f>IF($D816="","",IF(OR($M816="Rejected",$M816="Withdrawn"),IF($AB816&lt;&gt;"",$AB816,IF(OR($M816="Rejected",ISNUMBER($C816)),"Applied","Wishlist")),IF($M816="",IF(ISNUMBER($C816),"Applied","Wishlist"),$M816)))</f>
        <v/>
      </c>
      <c r="AF816" s="88">
        <f>IF(AND(ISNUMBER($C816),ISNUMBER($AA816)),$AA816-$C816,"")</f>
        <v/>
      </c>
      <c r="AG816" s="87">
        <f>IF($AE816="","",IFERROR(MATCH($AE816,{"Wishlist","Applied","Screening","Interview 1","Interview 2","Final","Offer","Accepted"},0)-1,""))</f>
        <v/>
      </c>
      <c r="AH816" s="87">
        <f>IF($AC816="","",MATCH($AC816,{"FOLLOW UP REQUIRED","ACTION DUE TODAY","NO RESPONSE","DUE SOON"},0)*100000+IF(ISNUMBER($O816),$O816,IF(ISNUMBER($C816),$C816,0))+ROW()/10000)</f>
        <v/>
      </c>
      <c r="AI816" s="87">
        <f>IF(AND(ISNUMBER($AG816),$AG816&gt;=1,$AG816&lt;=6,$M816&lt;&gt;"Rejected",$M816&lt;&gt;"Withdrawn"),(10-$AG816)*100000+IF(ISNUMBER($C816),$C816,0)+ROW()/10000,"")</f>
        <v/>
      </c>
    </row>
    <row r="817">
      <c r="A817" s="80" t="n"/>
      <c r="B817" s="81" t="n"/>
      <c r="C817" s="81" t="n"/>
      <c r="D817" s="82" t="n"/>
      <c r="E817" s="82" t="n"/>
      <c r="F817" s="82" t="n"/>
      <c r="G817" s="82" t="n"/>
      <c r="H817" s="82" t="n"/>
      <c r="I817" s="83" t="n"/>
      <c r="J817" s="82" t="n"/>
      <c r="K817" s="84" t="n"/>
      <c r="L817" s="85" t="n"/>
      <c r="M817" s="82" t="n"/>
      <c r="N817" s="86" t="n"/>
      <c r="O817" s="81" t="n"/>
      <c r="P817" s="82" t="n"/>
      <c r="Q817" s="83" t="n"/>
      <c r="R817" s="82" t="n"/>
      <c r="S817" s="84" t="n"/>
      <c r="T817" s="84" t="n"/>
      <c r="U817" s="82" t="n"/>
      <c r="V817" s="86" t="n"/>
      <c r="W817" s="86" t="n"/>
      <c r="X817" s="86" t="n"/>
      <c r="Y817" s="81" t="n"/>
      <c r="Z817" s="82" t="n"/>
      <c r="AA817" s="81" t="n"/>
      <c r="AB817" s="82" t="n"/>
      <c r="AC817" s="87">
        <f>IF(OR($D817="",$M817="Rejected",$M817="Withdrawn",$M817="Accepted"),"",IF(ISNUMBER($O817),IF(INT($O817)&lt;TODAY(),"FOLLOW UP REQUIRED",IF(INT($O817)=TODAY(),"ACTION DUE TODAY",IF(INT($O817)-TODAY()&lt;=Set_DueSoonDays,"DUE SOON",""))),IF(AND($M817="Applied",$AA817=""),IF(ISNUMBER($C817),IF(TODAY()-$C817&gt;=Set_FollowUpDays,"NO RESPONSE",""),""),"")))</f>
        <v/>
      </c>
      <c r="AD817" s="87">
        <f>IF(ISNUMBER($L817),IF($L817&gt;=90,"Excellent Match",IF($L817&gt;=75,"Strong Match",IF($L817&gt;=60,"Moderate Match","Low Match"))),"")</f>
        <v/>
      </c>
      <c r="AE817" s="87">
        <f>IF($D817="","",IF(OR($M817="Rejected",$M817="Withdrawn"),IF($AB817&lt;&gt;"",$AB817,IF(OR($M817="Rejected",ISNUMBER($C817)),"Applied","Wishlist")),IF($M817="",IF(ISNUMBER($C817),"Applied","Wishlist"),$M817)))</f>
        <v/>
      </c>
      <c r="AF817" s="88">
        <f>IF(AND(ISNUMBER($C817),ISNUMBER($AA817)),$AA817-$C817,"")</f>
        <v/>
      </c>
      <c r="AG817" s="87">
        <f>IF($AE817="","",IFERROR(MATCH($AE817,{"Wishlist","Applied","Screening","Interview 1","Interview 2","Final","Offer","Accepted"},0)-1,""))</f>
        <v/>
      </c>
      <c r="AH817" s="87">
        <f>IF($AC817="","",MATCH($AC817,{"FOLLOW UP REQUIRED","ACTION DUE TODAY","NO RESPONSE","DUE SOON"},0)*100000+IF(ISNUMBER($O817),$O817,IF(ISNUMBER($C817),$C817,0))+ROW()/10000)</f>
        <v/>
      </c>
      <c r="AI817" s="87">
        <f>IF(AND(ISNUMBER($AG817),$AG817&gt;=1,$AG817&lt;=6,$M817&lt;&gt;"Rejected",$M817&lt;&gt;"Withdrawn"),(10-$AG817)*100000+IF(ISNUMBER($C817),$C817,0)+ROW()/10000,"")</f>
        <v/>
      </c>
    </row>
    <row r="818">
      <c r="A818" s="80" t="n"/>
      <c r="B818" s="81" t="n"/>
      <c r="C818" s="81" t="n"/>
      <c r="D818" s="82" t="n"/>
      <c r="E818" s="82" t="n"/>
      <c r="F818" s="82" t="n"/>
      <c r="G818" s="82" t="n"/>
      <c r="H818" s="82" t="n"/>
      <c r="I818" s="83" t="n"/>
      <c r="J818" s="82" t="n"/>
      <c r="K818" s="84" t="n"/>
      <c r="L818" s="85" t="n"/>
      <c r="M818" s="82" t="n"/>
      <c r="N818" s="86" t="n"/>
      <c r="O818" s="81" t="n"/>
      <c r="P818" s="82" t="n"/>
      <c r="Q818" s="83" t="n"/>
      <c r="R818" s="82" t="n"/>
      <c r="S818" s="84" t="n"/>
      <c r="T818" s="84" t="n"/>
      <c r="U818" s="82" t="n"/>
      <c r="V818" s="86" t="n"/>
      <c r="W818" s="86" t="n"/>
      <c r="X818" s="86" t="n"/>
      <c r="Y818" s="81" t="n"/>
      <c r="Z818" s="82" t="n"/>
      <c r="AA818" s="81" t="n"/>
      <c r="AB818" s="82" t="n"/>
      <c r="AC818" s="87">
        <f>IF(OR($D818="",$M818="Rejected",$M818="Withdrawn",$M818="Accepted"),"",IF(ISNUMBER($O818),IF(INT($O818)&lt;TODAY(),"FOLLOW UP REQUIRED",IF(INT($O818)=TODAY(),"ACTION DUE TODAY",IF(INT($O818)-TODAY()&lt;=Set_DueSoonDays,"DUE SOON",""))),IF(AND($M818="Applied",$AA818=""),IF(ISNUMBER($C818),IF(TODAY()-$C818&gt;=Set_FollowUpDays,"NO RESPONSE",""),""),"")))</f>
        <v/>
      </c>
      <c r="AD818" s="87">
        <f>IF(ISNUMBER($L818),IF($L818&gt;=90,"Excellent Match",IF($L818&gt;=75,"Strong Match",IF($L818&gt;=60,"Moderate Match","Low Match"))),"")</f>
        <v/>
      </c>
      <c r="AE818" s="87">
        <f>IF($D818="","",IF(OR($M818="Rejected",$M818="Withdrawn"),IF($AB818&lt;&gt;"",$AB818,IF(OR($M818="Rejected",ISNUMBER($C818)),"Applied","Wishlist")),IF($M818="",IF(ISNUMBER($C818),"Applied","Wishlist"),$M818)))</f>
        <v/>
      </c>
      <c r="AF818" s="88">
        <f>IF(AND(ISNUMBER($C818),ISNUMBER($AA818)),$AA818-$C818,"")</f>
        <v/>
      </c>
      <c r="AG818" s="87">
        <f>IF($AE818="","",IFERROR(MATCH($AE818,{"Wishlist","Applied","Screening","Interview 1","Interview 2","Final","Offer","Accepted"},0)-1,""))</f>
        <v/>
      </c>
      <c r="AH818" s="87">
        <f>IF($AC818="","",MATCH($AC818,{"FOLLOW UP REQUIRED","ACTION DUE TODAY","NO RESPONSE","DUE SOON"},0)*100000+IF(ISNUMBER($O818),$O818,IF(ISNUMBER($C818),$C818,0))+ROW()/10000)</f>
        <v/>
      </c>
      <c r="AI818" s="87">
        <f>IF(AND(ISNUMBER($AG818),$AG818&gt;=1,$AG818&lt;=6,$M818&lt;&gt;"Rejected",$M818&lt;&gt;"Withdrawn"),(10-$AG818)*100000+IF(ISNUMBER($C818),$C818,0)+ROW()/10000,"")</f>
        <v/>
      </c>
    </row>
    <row r="819">
      <c r="A819" s="80" t="n"/>
      <c r="B819" s="81" t="n"/>
      <c r="C819" s="81" t="n"/>
      <c r="D819" s="82" t="n"/>
      <c r="E819" s="82" t="n"/>
      <c r="F819" s="82" t="n"/>
      <c r="G819" s="82" t="n"/>
      <c r="H819" s="82" t="n"/>
      <c r="I819" s="83" t="n"/>
      <c r="J819" s="82" t="n"/>
      <c r="K819" s="84" t="n"/>
      <c r="L819" s="85" t="n"/>
      <c r="M819" s="82" t="n"/>
      <c r="N819" s="86" t="n"/>
      <c r="O819" s="81" t="n"/>
      <c r="P819" s="82" t="n"/>
      <c r="Q819" s="83" t="n"/>
      <c r="R819" s="82" t="n"/>
      <c r="S819" s="84" t="n"/>
      <c r="T819" s="84" t="n"/>
      <c r="U819" s="82" t="n"/>
      <c r="V819" s="86" t="n"/>
      <c r="W819" s="86" t="n"/>
      <c r="X819" s="86" t="n"/>
      <c r="Y819" s="81" t="n"/>
      <c r="Z819" s="82" t="n"/>
      <c r="AA819" s="81" t="n"/>
      <c r="AB819" s="82" t="n"/>
      <c r="AC819" s="87">
        <f>IF(OR($D819="",$M819="Rejected",$M819="Withdrawn",$M819="Accepted"),"",IF(ISNUMBER($O819),IF(INT($O819)&lt;TODAY(),"FOLLOW UP REQUIRED",IF(INT($O819)=TODAY(),"ACTION DUE TODAY",IF(INT($O819)-TODAY()&lt;=Set_DueSoonDays,"DUE SOON",""))),IF(AND($M819="Applied",$AA819=""),IF(ISNUMBER($C819),IF(TODAY()-$C819&gt;=Set_FollowUpDays,"NO RESPONSE",""),""),"")))</f>
        <v/>
      </c>
      <c r="AD819" s="87">
        <f>IF(ISNUMBER($L819),IF($L819&gt;=90,"Excellent Match",IF($L819&gt;=75,"Strong Match",IF($L819&gt;=60,"Moderate Match","Low Match"))),"")</f>
        <v/>
      </c>
      <c r="AE819" s="87">
        <f>IF($D819="","",IF(OR($M819="Rejected",$M819="Withdrawn"),IF($AB819&lt;&gt;"",$AB819,IF(OR($M819="Rejected",ISNUMBER($C819)),"Applied","Wishlist")),IF($M819="",IF(ISNUMBER($C819),"Applied","Wishlist"),$M819)))</f>
        <v/>
      </c>
      <c r="AF819" s="88">
        <f>IF(AND(ISNUMBER($C819),ISNUMBER($AA819)),$AA819-$C819,"")</f>
        <v/>
      </c>
      <c r="AG819" s="87">
        <f>IF($AE819="","",IFERROR(MATCH($AE819,{"Wishlist","Applied","Screening","Interview 1","Interview 2","Final","Offer","Accepted"},0)-1,""))</f>
        <v/>
      </c>
      <c r="AH819" s="87">
        <f>IF($AC819="","",MATCH($AC819,{"FOLLOW UP REQUIRED","ACTION DUE TODAY","NO RESPONSE","DUE SOON"},0)*100000+IF(ISNUMBER($O819),$O819,IF(ISNUMBER($C819),$C819,0))+ROW()/10000)</f>
        <v/>
      </c>
      <c r="AI819" s="87">
        <f>IF(AND(ISNUMBER($AG819),$AG819&gt;=1,$AG819&lt;=6,$M819&lt;&gt;"Rejected",$M819&lt;&gt;"Withdrawn"),(10-$AG819)*100000+IF(ISNUMBER($C819),$C819,0)+ROW()/10000,"")</f>
        <v/>
      </c>
    </row>
    <row r="820">
      <c r="A820" s="80" t="n"/>
      <c r="B820" s="81" t="n"/>
      <c r="C820" s="81" t="n"/>
      <c r="D820" s="82" t="n"/>
      <c r="E820" s="82" t="n"/>
      <c r="F820" s="82" t="n"/>
      <c r="G820" s="82" t="n"/>
      <c r="H820" s="82" t="n"/>
      <c r="I820" s="83" t="n"/>
      <c r="J820" s="82" t="n"/>
      <c r="K820" s="84" t="n"/>
      <c r="L820" s="85" t="n"/>
      <c r="M820" s="82" t="n"/>
      <c r="N820" s="86" t="n"/>
      <c r="O820" s="81" t="n"/>
      <c r="P820" s="82" t="n"/>
      <c r="Q820" s="83" t="n"/>
      <c r="R820" s="82" t="n"/>
      <c r="S820" s="84" t="n"/>
      <c r="T820" s="84" t="n"/>
      <c r="U820" s="82" t="n"/>
      <c r="V820" s="86" t="n"/>
      <c r="W820" s="86" t="n"/>
      <c r="X820" s="86" t="n"/>
      <c r="Y820" s="81" t="n"/>
      <c r="Z820" s="82" t="n"/>
      <c r="AA820" s="81" t="n"/>
      <c r="AB820" s="82" t="n"/>
      <c r="AC820" s="87">
        <f>IF(OR($D820="",$M820="Rejected",$M820="Withdrawn",$M820="Accepted"),"",IF(ISNUMBER($O820),IF(INT($O820)&lt;TODAY(),"FOLLOW UP REQUIRED",IF(INT($O820)=TODAY(),"ACTION DUE TODAY",IF(INT($O820)-TODAY()&lt;=Set_DueSoonDays,"DUE SOON",""))),IF(AND($M820="Applied",$AA820=""),IF(ISNUMBER($C820),IF(TODAY()-$C820&gt;=Set_FollowUpDays,"NO RESPONSE",""),""),"")))</f>
        <v/>
      </c>
      <c r="AD820" s="87">
        <f>IF(ISNUMBER($L820),IF($L820&gt;=90,"Excellent Match",IF($L820&gt;=75,"Strong Match",IF($L820&gt;=60,"Moderate Match","Low Match"))),"")</f>
        <v/>
      </c>
      <c r="AE820" s="87">
        <f>IF($D820="","",IF(OR($M820="Rejected",$M820="Withdrawn"),IF($AB820&lt;&gt;"",$AB820,IF(OR($M820="Rejected",ISNUMBER($C820)),"Applied","Wishlist")),IF($M820="",IF(ISNUMBER($C820),"Applied","Wishlist"),$M820)))</f>
        <v/>
      </c>
      <c r="AF820" s="88">
        <f>IF(AND(ISNUMBER($C820),ISNUMBER($AA820)),$AA820-$C820,"")</f>
        <v/>
      </c>
      <c r="AG820" s="87">
        <f>IF($AE820="","",IFERROR(MATCH($AE820,{"Wishlist","Applied","Screening","Interview 1","Interview 2","Final","Offer","Accepted"},0)-1,""))</f>
        <v/>
      </c>
      <c r="AH820" s="87">
        <f>IF($AC820="","",MATCH($AC820,{"FOLLOW UP REQUIRED","ACTION DUE TODAY","NO RESPONSE","DUE SOON"},0)*100000+IF(ISNUMBER($O820),$O820,IF(ISNUMBER($C820),$C820,0))+ROW()/10000)</f>
        <v/>
      </c>
      <c r="AI820" s="87">
        <f>IF(AND(ISNUMBER($AG820),$AG820&gt;=1,$AG820&lt;=6,$M820&lt;&gt;"Rejected",$M820&lt;&gt;"Withdrawn"),(10-$AG820)*100000+IF(ISNUMBER($C820),$C820,0)+ROW()/10000,"")</f>
        <v/>
      </c>
    </row>
    <row r="821">
      <c r="A821" s="80" t="n"/>
      <c r="B821" s="81" t="n"/>
      <c r="C821" s="81" t="n"/>
      <c r="D821" s="82" t="n"/>
      <c r="E821" s="82" t="n"/>
      <c r="F821" s="82" t="n"/>
      <c r="G821" s="82" t="n"/>
      <c r="H821" s="82" t="n"/>
      <c r="I821" s="83" t="n"/>
      <c r="J821" s="82" t="n"/>
      <c r="K821" s="84" t="n"/>
      <c r="L821" s="85" t="n"/>
      <c r="M821" s="82" t="n"/>
      <c r="N821" s="86" t="n"/>
      <c r="O821" s="81" t="n"/>
      <c r="P821" s="82" t="n"/>
      <c r="Q821" s="83" t="n"/>
      <c r="R821" s="82" t="n"/>
      <c r="S821" s="84" t="n"/>
      <c r="T821" s="84" t="n"/>
      <c r="U821" s="82" t="n"/>
      <c r="V821" s="86" t="n"/>
      <c r="W821" s="86" t="n"/>
      <c r="X821" s="86" t="n"/>
      <c r="Y821" s="81" t="n"/>
      <c r="Z821" s="82" t="n"/>
      <c r="AA821" s="81" t="n"/>
      <c r="AB821" s="82" t="n"/>
      <c r="AC821" s="87">
        <f>IF(OR($D821="",$M821="Rejected",$M821="Withdrawn",$M821="Accepted"),"",IF(ISNUMBER($O821),IF(INT($O821)&lt;TODAY(),"FOLLOW UP REQUIRED",IF(INT($O821)=TODAY(),"ACTION DUE TODAY",IF(INT($O821)-TODAY()&lt;=Set_DueSoonDays,"DUE SOON",""))),IF(AND($M821="Applied",$AA821=""),IF(ISNUMBER($C821),IF(TODAY()-$C821&gt;=Set_FollowUpDays,"NO RESPONSE",""),""),"")))</f>
        <v/>
      </c>
      <c r="AD821" s="87">
        <f>IF(ISNUMBER($L821),IF($L821&gt;=90,"Excellent Match",IF($L821&gt;=75,"Strong Match",IF($L821&gt;=60,"Moderate Match","Low Match"))),"")</f>
        <v/>
      </c>
      <c r="AE821" s="87">
        <f>IF($D821="","",IF(OR($M821="Rejected",$M821="Withdrawn"),IF($AB821&lt;&gt;"",$AB821,IF(OR($M821="Rejected",ISNUMBER($C821)),"Applied","Wishlist")),IF($M821="",IF(ISNUMBER($C821),"Applied","Wishlist"),$M821)))</f>
        <v/>
      </c>
      <c r="AF821" s="88">
        <f>IF(AND(ISNUMBER($C821),ISNUMBER($AA821)),$AA821-$C821,"")</f>
        <v/>
      </c>
      <c r="AG821" s="87">
        <f>IF($AE821="","",IFERROR(MATCH($AE821,{"Wishlist","Applied","Screening","Interview 1","Interview 2","Final","Offer","Accepted"},0)-1,""))</f>
        <v/>
      </c>
      <c r="AH821" s="87">
        <f>IF($AC821="","",MATCH($AC821,{"FOLLOW UP REQUIRED","ACTION DUE TODAY","NO RESPONSE","DUE SOON"},0)*100000+IF(ISNUMBER($O821),$O821,IF(ISNUMBER($C821),$C821,0))+ROW()/10000)</f>
        <v/>
      </c>
      <c r="AI821" s="87">
        <f>IF(AND(ISNUMBER($AG821),$AG821&gt;=1,$AG821&lt;=6,$M821&lt;&gt;"Rejected",$M821&lt;&gt;"Withdrawn"),(10-$AG821)*100000+IF(ISNUMBER($C821),$C821,0)+ROW()/10000,"")</f>
        <v/>
      </c>
    </row>
    <row r="822">
      <c r="A822" s="80" t="n"/>
      <c r="B822" s="81" t="n"/>
      <c r="C822" s="81" t="n"/>
      <c r="D822" s="82" t="n"/>
      <c r="E822" s="82" t="n"/>
      <c r="F822" s="82" t="n"/>
      <c r="G822" s="82" t="n"/>
      <c r="H822" s="82" t="n"/>
      <c r="I822" s="83" t="n"/>
      <c r="J822" s="82" t="n"/>
      <c r="K822" s="84" t="n"/>
      <c r="L822" s="85" t="n"/>
      <c r="M822" s="82" t="n"/>
      <c r="N822" s="86" t="n"/>
      <c r="O822" s="81" t="n"/>
      <c r="P822" s="82" t="n"/>
      <c r="Q822" s="83" t="n"/>
      <c r="R822" s="82" t="n"/>
      <c r="S822" s="84" t="n"/>
      <c r="T822" s="84" t="n"/>
      <c r="U822" s="82" t="n"/>
      <c r="V822" s="86" t="n"/>
      <c r="W822" s="86" t="n"/>
      <c r="X822" s="86" t="n"/>
      <c r="Y822" s="81" t="n"/>
      <c r="Z822" s="82" t="n"/>
      <c r="AA822" s="81" t="n"/>
      <c r="AB822" s="82" t="n"/>
      <c r="AC822" s="87">
        <f>IF(OR($D822="",$M822="Rejected",$M822="Withdrawn",$M822="Accepted"),"",IF(ISNUMBER($O822),IF(INT($O822)&lt;TODAY(),"FOLLOW UP REQUIRED",IF(INT($O822)=TODAY(),"ACTION DUE TODAY",IF(INT($O822)-TODAY()&lt;=Set_DueSoonDays,"DUE SOON",""))),IF(AND($M822="Applied",$AA822=""),IF(ISNUMBER($C822),IF(TODAY()-$C822&gt;=Set_FollowUpDays,"NO RESPONSE",""),""),"")))</f>
        <v/>
      </c>
      <c r="AD822" s="87">
        <f>IF(ISNUMBER($L822),IF($L822&gt;=90,"Excellent Match",IF($L822&gt;=75,"Strong Match",IF($L822&gt;=60,"Moderate Match","Low Match"))),"")</f>
        <v/>
      </c>
      <c r="AE822" s="87">
        <f>IF($D822="","",IF(OR($M822="Rejected",$M822="Withdrawn"),IF($AB822&lt;&gt;"",$AB822,IF(OR($M822="Rejected",ISNUMBER($C822)),"Applied","Wishlist")),IF($M822="",IF(ISNUMBER($C822),"Applied","Wishlist"),$M822)))</f>
        <v/>
      </c>
      <c r="AF822" s="88">
        <f>IF(AND(ISNUMBER($C822),ISNUMBER($AA822)),$AA822-$C822,"")</f>
        <v/>
      </c>
      <c r="AG822" s="87">
        <f>IF($AE822="","",IFERROR(MATCH($AE822,{"Wishlist","Applied","Screening","Interview 1","Interview 2","Final","Offer","Accepted"},0)-1,""))</f>
        <v/>
      </c>
      <c r="AH822" s="87">
        <f>IF($AC822="","",MATCH($AC822,{"FOLLOW UP REQUIRED","ACTION DUE TODAY","NO RESPONSE","DUE SOON"},0)*100000+IF(ISNUMBER($O822),$O822,IF(ISNUMBER($C822),$C822,0))+ROW()/10000)</f>
        <v/>
      </c>
      <c r="AI822" s="87">
        <f>IF(AND(ISNUMBER($AG822),$AG822&gt;=1,$AG822&lt;=6,$M822&lt;&gt;"Rejected",$M822&lt;&gt;"Withdrawn"),(10-$AG822)*100000+IF(ISNUMBER($C822),$C822,0)+ROW()/10000,"")</f>
        <v/>
      </c>
    </row>
    <row r="823">
      <c r="A823" s="80" t="n"/>
      <c r="B823" s="81" t="n"/>
      <c r="C823" s="81" t="n"/>
      <c r="D823" s="82" t="n"/>
      <c r="E823" s="82" t="n"/>
      <c r="F823" s="82" t="n"/>
      <c r="G823" s="82" t="n"/>
      <c r="H823" s="82" t="n"/>
      <c r="I823" s="83" t="n"/>
      <c r="J823" s="82" t="n"/>
      <c r="K823" s="84" t="n"/>
      <c r="L823" s="85" t="n"/>
      <c r="M823" s="82" t="n"/>
      <c r="N823" s="86" t="n"/>
      <c r="O823" s="81" t="n"/>
      <c r="P823" s="82" t="n"/>
      <c r="Q823" s="83" t="n"/>
      <c r="R823" s="82" t="n"/>
      <c r="S823" s="84" t="n"/>
      <c r="T823" s="84" t="n"/>
      <c r="U823" s="82" t="n"/>
      <c r="V823" s="86" t="n"/>
      <c r="W823" s="86" t="n"/>
      <c r="X823" s="86" t="n"/>
      <c r="Y823" s="81" t="n"/>
      <c r="Z823" s="82" t="n"/>
      <c r="AA823" s="81" t="n"/>
      <c r="AB823" s="82" t="n"/>
      <c r="AC823" s="87">
        <f>IF(OR($D823="",$M823="Rejected",$M823="Withdrawn",$M823="Accepted"),"",IF(ISNUMBER($O823),IF(INT($O823)&lt;TODAY(),"FOLLOW UP REQUIRED",IF(INT($O823)=TODAY(),"ACTION DUE TODAY",IF(INT($O823)-TODAY()&lt;=Set_DueSoonDays,"DUE SOON",""))),IF(AND($M823="Applied",$AA823=""),IF(ISNUMBER($C823),IF(TODAY()-$C823&gt;=Set_FollowUpDays,"NO RESPONSE",""),""),"")))</f>
        <v/>
      </c>
      <c r="AD823" s="87">
        <f>IF(ISNUMBER($L823),IF($L823&gt;=90,"Excellent Match",IF($L823&gt;=75,"Strong Match",IF($L823&gt;=60,"Moderate Match","Low Match"))),"")</f>
        <v/>
      </c>
      <c r="AE823" s="87">
        <f>IF($D823="","",IF(OR($M823="Rejected",$M823="Withdrawn"),IF($AB823&lt;&gt;"",$AB823,IF(OR($M823="Rejected",ISNUMBER($C823)),"Applied","Wishlist")),IF($M823="",IF(ISNUMBER($C823),"Applied","Wishlist"),$M823)))</f>
        <v/>
      </c>
      <c r="AF823" s="88">
        <f>IF(AND(ISNUMBER($C823),ISNUMBER($AA823)),$AA823-$C823,"")</f>
        <v/>
      </c>
      <c r="AG823" s="87">
        <f>IF($AE823="","",IFERROR(MATCH($AE823,{"Wishlist","Applied","Screening","Interview 1","Interview 2","Final","Offer","Accepted"},0)-1,""))</f>
        <v/>
      </c>
      <c r="AH823" s="87">
        <f>IF($AC823="","",MATCH($AC823,{"FOLLOW UP REQUIRED","ACTION DUE TODAY","NO RESPONSE","DUE SOON"},0)*100000+IF(ISNUMBER($O823),$O823,IF(ISNUMBER($C823),$C823,0))+ROW()/10000)</f>
        <v/>
      </c>
      <c r="AI823" s="87">
        <f>IF(AND(ISNUMBER($AG823),$AG823&gt;=1,$AG823&lt;=6,$M823&lt;&gt;"Rejected",$M823&lt;&gt;"Withdrawn"),(10-$AG823)*100000+IF(ISNUMBER($C823),$C823,0)+ROW()/10000,"")</f>
        <v/>
      </c>
    </row>
    <row r="824">
      <c r="A824" s="80" t="n"/>
      <c r="B824" s="81" t="n"/>
      <c r="C824" s="81" t="n"/>
      <c r="D824" s="82" t="n"/>
      <c r="E824" s="82" t="n"/>
      <c r="F824" s="82" t="n"/>
      <c r="G824" s="82" t="n"/>
      <c r="H824" s="82" t="n"/>
      <c r="I824" s="83" t="n"/>
      <c r="J824" s="82" t="n"/>
      <c r="K824" s="84" t="n"/>
      <c r="L824" s="85" t="n"/>
      <c r="M824" s="82" t="n"/>
      <c r="N824" s="86" t="n"/>
      <c r="O824" s="81" t="n"/>
      <c r="P824" s="82" t="n"/>
      <c r="Q824" s="83" t="n"/>
      <c r="R824" s="82" t="n"/>
      <c r="S824" s="84" t="n"/>
      <c r="T824" s="84" t="n"/>
      <c r="U824" s="82" t="n"/>
      <c r="V824" s="86" t="n"/>
      <c r="W824" s="86" t="n"/>
      <c r="X824" s="86" t="n"/>
      <c r="Y824" s="81" t="n"/>
      <c r="Z824" s="82" t="n"/>
      <c r="AA824" s="81" t="n"/>
      <c r="AB824" s="82" t="n"/>
      <c r="AC824" s="87">
        <f>IF(OR($D824="",$M824="Rejected",$M824="Withdrawn",$M824="Accepted"),"",IF(ISNUMBER($O824),IF(INT($O824)&lt;TODAY(),"FOLLOW UP REQUIRED",IF(INT($O824)=TODAY(),"ACTION DUE TODAY",IF(INT($O824)-TODAY()&lt;=Set_DueSoonDays,"DUE SOON",""))),IF(AND($M824="Applied",$AA824=""),IF(ISNUMBER($C824),IF(TODAY()-$C824&gt;=Set_FollowUpDays,"NO RESPONSE",""),""),"")))</f>
        <v/>
      </c>
      <c r="AD824" s="87">
        <f>IF(ISNUMBER($L824),IF($L824&gt;=90,"Excellent Match",IF($L824&gt;=75,"Strong Match",IF($L824&gt;=60,"Moderate Match","Low Match"))),"")</f>
        <v/>
      </c>
      <c r="AE824" s="87">
        <f>IF($D824="","",IF(OR($M824="Rejected",$M824="Withdrawn"),IF($AB824&lt;&gt;"",$AB824,IF(OR($M824="Rejected",ISNUMBER($C824)),"Applied","Wishlist")),IF($M824="",IF(ISNUMBER($C824),"Applied","Wishlist"),$M824)))</f>
        <v/>
      </c>
      <c r="AF824" s="88">
        <f>IF(AND(ISNUMBER($C824),ISNUMBER($AA824)),$AA824-$C824,"")</f>
        <v/>
      </c>
      <c r="AG824" s="87">
        <f>IF($AE824="","",IFERROR(MATCH($AE824,{"Wishlist","Applied","Screening","Interview 1","Interview 2","Final","Offer","Accepted"},0)-1,""))</f>
        <v/>
      </c>
      <c r="AH824" s="87">
        <f>IF($AC824="","",MATCH($AC824,{"FOLLOW UP REQUIRED","ACTION DUE TODAY","NO RESPONSE","DUE SOON"},0)*100000+IF(ISNUMBER($O824),$O824,IF(ISNUMBER($C824),$C824,0))+ROW()/10000)</f>
        <v/>
      </c>
      <c r="AI824" s="87">
        <f>IF(AND(ISNUMBER($AG824),$AG824&gt;=1,$AG824&lt;=6,$M824&lt;&gt;"Rejected",$M824&lt;&gt;"Withdrawn"),(10-$AG824)*100000+IF(ISNUMBER($C824),$C824,0)+ROW()/10000,"")</f>
        <v/>
      </c>
    </row>
    <row r="825">
      <c r="A825" s="80" t="n"/>
      <c r="B825" s="81" t="n"/>
      <c r="C825" s="81" t="n"/>
      <c r="D825" s="82" t="n"/>
      <c r="E825" s="82" t="n"/>
      <c r="F825" s="82" t="n"/>
      <c r="G825" s="82" t="n"/>
      <c r="H825" s="82" t="n"/>
      <c r="I825" s="83" t="n"/>
      <c r="J825" s="82" t="n"/>
      <c r="K825" s="84" t="n"/>
      <c r="L825" s="85" t="n"/>
      <c r="M825" s="82" t="n"/>
      <c r="N825" s="86" t="n"/>
      <c r="O825" s="81" t="n"/>
      <c r="P825" s="82" t="n"/>
      <c r="Q825" s="83" t="n"/>
      <c r="R825" s="82" t="n"/>
      <c r="S825" s="84" t="n"/>
      <c r="T825" s="84" t="n"/>
      <c r="U825" s="82" t="n"/>
      <c r="V825" s="86" t="n"/>
      <c r="W825" s="86" t="n"/>
      <c r="X825" s="86" t="n"/>
      <c r="Y825" s="81" t="n"/>
      <c r="Z825" s="82" t="n"/>
      <c r="AA825" s="81" t="n"/>
      <c r="AB825" s="82" t="n"/>
      <c r="AC825" s="87">
        <f>IF(OR($D825="",$M825="Rejected",$M825="Withdrawn",$M825="Accepted"),"",IF(ISNUMBER($O825),IF(INT($O825)&lt;TODAY(),"FOLLOW UP REQUIRED",IF(INT($O825)=TODAY(),"ACTION DUE TODAY",IF(INT($O825)-TODAY()&lt;=Set_DueSoonDays,"DUE SOON",""))),IF(AND($M825="Applied",$AA825=""),IF(ISNUMBER($C825),IF(TODAY()-$C825&gt;=Set_FollowUpDays,"NO RESPONSE",""),""),"")))</f>
        <v/>
      </c>
      <c r="AD825" s="87">
        <f>IF(ISNUMBER($L825),IF($L825&gt;=90,"Excellent Match",IF($L825&gt;=75,"Strong Match",IF($L825&gt;=60,"Moderate Match","Low Match"))),"")</f>
        <v/>
      </c>
      <c r="AE825" s="87">
        <f>IF($D825="","",IF(OR($M825="Rejected",$M825="Withdrawn"),IF($AB825&lt;&gt;"",$AB825,IF(OR($M825="Rejected",ISNUMBER($C825)),"Applied","Wishlist")),IF($M825="",IF(ISNUMBER($C825),"Applied","Wishlist"),$M825)))</f>
        <v/>
      </c>
      <c r="AF825" s="88">
        <f>IF(AND(ISNUMBER($C825),ISNUMBER($AA825)),$AA825-$C825,"")</f>
        <v/>
      </c>
      <c r="AG825" s="87">
        <f>IF($AE825="","",IFERROR(MATCH($AE825,{"Wishlist","Applied","Screening","Interview 1","Interview 2","Final","Offer","Accepted"},0)-1,""))</f>
        <v/>
      </c>
      <c r="AH825" s="87">
        <f>IF($AC825="","",MATCH($AC825,{"FOLLOW UP REQUIRED","ACTION DUE TODAY","NO RESPONSE","DUE SOON"},0)*100000+IF(ISNUMBER($O825),$O825,IF(ISNUMBER($C825),$C825,0))+ROW()/10000)</f>
        <v/>
      </c>
      <c r="AI825" s="87">
        <f>IF(AND(ISNUMBER($AG825),$AG825&gt;=1,$AG825&lt;=6,$M825&lt;&gt;"Rejected",$M825&lt;&gt;"Withdrawn"),(10-$AG825)*100000+IF(ISNUMBER($C825),$C825,0)+ROW()/10000,"")</f>
        <v/>
      </c>
    </row>
    <row r="826">
      <c r="A826" s="80" t="n"/>
      <c r="B826" s="81" t="n"/>
      <c r="C826" s="81" t="n"/>
      <c r="D826" s="82" t="n"/>
      <c r="E826" s="82" t="n"/>
      <c r="F826" s="82" t="n"/>
      <c r="G826" s="82" t="n"/>
      <c r="H826" s="82" t="n"/>
      <c r="I826" s="83" t="n"/>
      <c r="J826" s="82" t="n"/>
      <c r="K826" s="84" t="n"/>
      <c r="L826" s="85" t="n"/>
      <c r="M826" s="82" t="n"/>
      <c r="N826" s="86" t="n"/>
      <c r="O826" s="81" t="n"/>
      <c r="P826" s="82" t="n"/>
      <c r="Q826" s="83" t="n"/>
      <c r="R826" s="82" t="n"/>
      <c r="S826" s="84" t="n"/>
      <c r="T826" s="84" t="n"/>
      <c r="U826" s="82" t="n"/>
      <c r="V826" s="86" t="n"/>
      <c r="W826" s="86" t="n"/>
      <c r="X826" s="86" t="n"/>
      <c r="Y826" s="81" t="n"/>
      <c r="Z826" s="82" t="n"/>
      <c r="AA826" s="81" t="n"/>
      <c r="AB826" s="82" t="n"/>
      <c r="AC826" s="87">
        <f>IF(OR($D826="",$M826="Rejected",$M826="Withdrawn",$M826="Accepted"),"",IF(ISNUMBER($O826),IF(INT($O826)&lt;TODAY(),"FOLLOW UP REQUIRED",IF(INT($O826)=TODAY(),"ACTION DUE TODAY",IF(INT($O826)-TODAY()&lt;=Set_DueSoonDays,"DUE SOON",""))),IF(AND($M826="Applied",$AA826=""),IF(ISNUMBER($C826),IF(TODAY()-$C826&gt;=Set_FollowUpDays,"NO RESPONSE",""),""),"")))</f>
        <v/>
      </c>
      <c r="AD826" s="87">
        <f>IF(ISNUMBER($L826),IF($L826&gt;=90,"Excellent Match",IF($L826&gt;=75,"Strong Match",IF($L826&gt;=60,"Moderate Match","Low Match"))),"")</f>
        <v/>
      </c>
      <c r="AE826" s="87">
        <f>IF($D826="","",IF(OR($M826="Rejected",$M826="Withdrawn"),IF($AB826&lt;&gt;"",$AB826,IF(OR($M826="Rejected",ISNUMBER($C826)),"Applied","Wishlist")),IF($M826="",IF(ISNUMBER($C826),"Applied","Wishlist"),$M826)))</f>
        <v/>
      </c>
      <c r="AF826" s="88">
        <f>IF(AND(ISNUMBER($C826),ISNUMBER($AA826)),$AA826-$C826,"")</f>
        <v/>
      </c>
      <c r="AG826" s="87">
        <f>IF($AE826="","",IFERROR(MATCH($AE826,{"Wishlist","Applied","Screening","Interview 1","Interview 2","Final","Offer","Accepted"},0)-1,""))</f>
        <v/>
      </c>
      <c r="AH826" s="87">
        <f>IF($AC826="","",MATCH($AC826,{"FOLLOW UP REQUIRED","ACTION DUE TODAY","NO RESPONSE","DUE SOON"},0)*100000+IF(ISNUMBER($O826),$O826,IF(ISNUMBER($C826),$C826,0))+ROW()/10000)</f>
        <v/>
      </c>
      <c r="AI826" s="87">
        <f>IF(AND(ISNUMBER($AG826),$AG826&gt;=1,$AG826&lt;=6,$M826&lt;&gt;"Rejected",$M826&lt;&gt;"Withdrawn"),(10-$AG826)*100000+IF(ISNUMBER($C826),$C826,0)+ROW()/10000,"")</f>
        <v/>
      </c>
    </row>
    <row r="827">
      <c r="A827" s="80" t="n"/>
      <c r="B827" s="81" t="n"/>
      <c r="C827" s="81" t="n"/>
      <c r="D827" s="82" t="n"/>
      <c r="E827" s="82" t="n"/>
      <c r="F827" s="82" t="n"/>
      <c r="G827" s="82" t="n"/>
      <c r="H827" s="82" t="n"/>
      <c r="I827" s="83" t="n"/>
      <c r="J827" s="82" t="n"/>
      <c r="K827" s="84" t="n"/>
      <c r="L827" s="85" t="n"/>
      <c r="M827" s="82" t="n"/>
      <c r="N827" s="86" t="n"/>
      <c r="O827" s="81" t="n"/>
      <c r="P827" s="82" t="n"/>
      <c r="Q827" s="83" t="n"/>
      <c r="R827" s="82" t="n"/>
      <c r="S827" s="84" t="n"/>
      <c r="T827" s="84" t="n"/>
      <c r="U827" s="82" t="n"/>
      <c r="V827" s="86" t="n"/>
      <c r="W827" s="86" t="n"/>
      <c r="X827" s="86" t="n"/>
      <c r="Y827" s="81" t="n"/>
      <c r="Z827" s="82" t="n"/>
      <c r="AA827" s="81" t="n"/>
      <c r="AB827" s="82" t="n"/>
      <c r="AC827" s="87">
        <f>IF(OR($D827="",$M827="Rejected",$M827="Withdrawn",$M827="Accepted"),"",IF(ISNUMBER($O827),IF(INT($O827)&lt;TODAY(),"FOLLOW UP REQUIRED",IF(INT($O827)=TODAY(),"ACTION DUE TODAY",IF(INT($O827)-TODAY()&lt;=Set_DueSoonDays,"DUE SOON",""))),IF(AND($M827="Applied",$AA827=""),IF(ISNUMBER($C827),IF(TODAY()-$C827&gt;=Set_FollowUpDays,"NO RESPONSE",""),""),"")))</f>
        <v/>
      </c>
      <c r="AD827" s="87">
        <f>IF(ISNUMBER($L827),IF($L827&gt;=90,"Excellent Match",IF($L827&gt;=75,"Strong Match",IF($L827&gt;=60,"Moderate Match","Low Match"))),"")</f>
        <v/>
      </c>
      <c r="AE827" s="87">
        <f>IF($D827="","",IF(OR($M827="Rejected",$M827="Withdrawn"),IF($AB827&lt;&gt;"",$AB827,IF(OR($M827="Rejected",ISNUMBER($C827)),"Applied","Wishlist")),IF($M827="",IF(ISNUMBER($C827),"Applied","Wishlist"),$M827)))</f>
        <v/>
      </c>
      <c r="AF827" s="88">
        <f>IF(AND(ISNUMBER($C827),ISNUMBER($AA827)),$AA827-$C827,"")</f>
        <v/>
      </c>
      <c r="AG827" s="87">
        <f>IF($AE827="","",IFERROR(MATCH($AE827,{"Wishlist","Applied","Screening","Interview 1","Interview 2","Final","Offer","Accepted"},0)-1,""))</f>
        <v/>
      </c>
      <c r="AH827" s="87">
        <f>IF($AC827="","",MATCH($AC827,{"FOLLOW UP REQUIRED","ACTION DUE TODAY","NO RESPONSE","DUE SOON"},0)*100000+IF(ISNUMBER($O827),$O827,IF(ISNUMBER($C827),$C827,0))+ROW()/10000)</f>
        <v/>
      </c>
      <c r="AI827" s="87">
        <f>IF(AND(ISNUMBER($AG827),$AG827&gt;=1,$AG827&lt;=6,$M827&lt;&gt;"Rejected",$M827&lt;&gt;"Withdrawn"),(10-$AG827)*100000+IF(ISNUMBER($C827),$C827,0)+ROW()/10000,"")</f>
        <v/>
      </c>
    </row>
    <row r="828">
      <c r="A828" s="80" t="n"/>
      <c r="B828" s="81" t="n"/>
      <c r="C828" s="81" t="n"/>
      <c r="D828" s="82" t="n"/>
      <c r="E828" s="82" t="n"/>
      <c r="F828" s="82" t="n"/>
      <c r="G828" s="82" t="n"/>
      <c r="H828" s="82" t="n"/>
      <c r="I828" s="83" t="n"/>
      <c r="J828" s="82" t="n"/>
      <c r="K828" s="84" t="n"/>
      <c r="L828" s="85" t="n"/>
      <c r="M828" s="82" t="n"/>
      <c r="N828" s="86" t="n"/>
      <c r="O828" s="81" t="n"/>
      <c r="P828" s="82" t="n"/>
      <c r="Q828" s="83" t="n"/>
      <c r="R828" s="82" t="n"/>
      <c r="S828" s="84" t="n"/>
      <c r="T828" s="84" t="n"/>
      <c r="U828" s="82" t="n"/>
      <c r="V828" s="86" t="n"/>
      <c r="W828" s="86" t="n"/>
      <c r="X828" s="86" t="n"/>
      <c r="Y828" s="81" t="n"/>
      <c r="Z828" s="82" t="n"/>
      <c r="AA828" s="81" t="n"/>
      <c r="AB828" s="82" t="n"/>
      <c r="AC828" s="87">
        <f>IF(OR($D828="",$M828="Rejected",$M828="Withdrawn",$M828="Accepted"),"",IF(ISNUMBER($O828),IF(INT($O828)&lt;TODAY(),"FOLLOW UP REQUIRED",IF(INT($O828)=TODAY(),"ACTION DUE TODAY",IF(INT($O828)-TODAY()&lt;=Set_DueSoonDays,"DUE SOON",""))),IF(AND($M828="Applied",$AA828=""),IF(ISNUMBER($C828),IF(TODAY()-$C828&gt;=Set_FollowUpDays,"NO RESPONSE",""),""),"")))</f>
        <v/>
      </c>
      <c r="AD828" s="87">
        <f>IF(ISNUMBER($L828),IF($L828&gt;=90,"Excellent Match",IF($L828&gt;=75,"Strong Match",IF($L828&gt;=60,"Moderate Match","Low Match"))),"")</f>
        <v/>
      </c>
      <c r="AE828" s="87">
        <f>IF($D828="","",IF(OR($M828="Rejected",$M828="Withdrawn"),IF($AB828&lt;&gt;"",$AB828,IF(OR($M828="Rejected",ISNUMBER($C828)),"Applied","Wishlist")),IF($M828="",IF(ISNUMBER($C828),"Applied","Wishlist"),$M828)))</f>
        <v/>
      </c>
      <c r="AF828" s="88">
        <f>IF(AND(ISNUMBER($C828),ISNUMBER($AA828)),$AA828-$C828,"")</f>
        <v/>
      </c>
      <c r="AG828" s="87">
        <f>IF($AE828="","",IFERROR(MATCH($AE828,{"Wishlist","Applied","Screening","Interview 1","Interview 2","Final","Offer","Accepted"},0)-1,""))</f>
        <v/>
      </c>
      <c r="AH828" s="87">
        <f>IF($AC828="","",MATCH($AC828,{"FOLLOW UP REQUIRED","ACTION DUE TODAY","NO RESPONSE","DUE SOON"},0)*100000+IF(ISNUMBER($O828),$O828,IF(ISNUMBER($C828),$C828,0))+ROW()/10000)</f>
        <v/>
      </c>
      <c r="AI828" s="87">
        <f>IF(AND(ISNUMBER($AG828),$AG828&gt;=1,$AG828&lt;=6,$M828&lt;&gt;"Rejected",$M828&lt;&gt;"Withdrawn"),(10-$AG828)*100000+IF(ISNUMBER($C828),$C828,0)+ROW()/10000,"")</f>
        <v/>
      </c>
    </row>
    <row r="829">
      <c r="A829" s="80" t="n"/>
      <c r="B829" s="81" t="n"/>
      <c r="C829" s="81" t="n"/>
      <c r="D829" s="82" t="n"/>
      <c r="E829" s="82" t="n"/>
      <c r="F829" s="82" t="n"/>
      <c r="G829" s="82" t="n"/>
      <c r="H829" s="82" t="n"/>
      <c r="I829" s="83" t="n"/>
      <c r="J829" s="82" t="n"/>
      <c r="K829" s="84" t="n"/>
      <c r="L829" s="85" t="n"/>
      <c r="M829" s="82" t="n"/>
      <c r="N829" s="86" t="n"/>
      <c r="O829" s="81" t="n"/>
      <c r="P829" s="82" t="n"/>
      <c r="Q829" s="83" t="n"/>
      <c r="R829" s="82" t="n"/>
      <c r="S829" s="84" t="n"/>
      <c r="T829" s="84" t="n"/>
      <c r="U829" s="82" t="n"/>
      <c r="V829" s="86" t="n"/>
      <c r="W829" s="86" t="n"/>
      <c r="X829" s="86" t="n"/>
      <c r="Y829" s="81" t="n"/>
      <c r="Z829" s="82" t="n"/>
      <c r="AA829" s="81" t="n"/>
      <c r="AB829" s="82" t="n"/>
      <c r="AC829" s="87">
        <f>IF(OR($D829="",$M829="Rejected",$M829="Withdrawn",$M829="Accepted"),"",IF(ISNUMBER($O829),IF(INT($O829)&lt;TODAY(),"FOLLOW UP REQUIRED",IF(INT($O829)=TODAY(),"ACTION DUE TODAY",IF(INT($O829)-TODAY()&lt;=Set_DueSoonDays,"DUE SOON",""))),IF(AND($M829="Applied",$AA829=""),IF(ISNUMBER($C829),IF(TODAY()-$C829&gt;=Set_FollowUpDays,"NO RESPONSE",""),""),"")))</f>
        <v/>
      </c>
      <c r="AD829" s="87">
        <f>IF(ISNUMBER($L829),IF($L829&gt;=90,"Excellent Match",IF($L829&gt;=75,"Strong Match",IF($L829&gt;=60,"Moderate Match","Low Match"))),"")</f>
        <v/>
      </c>
      <c r="AE829" s="87">
        <f>IF($D829="","",IF(OR($M829="Rejected",$M829="Withdrawn"),IF($AB829&lt;&gt;"",$AB829,IF(OR($M829="Rejected",ISNUMBER($C829)),"Applied","Wishlist")),IF($M829="",IF(ISNUMBER($C829),"Applied","Wishlist"),$M829)))</f>
        <v/>
      </c>
      <c r="AF829" s="88">
        <f>IF(AND(ISNUMBER($C829),ISNUMBER($AA829)),$AA829-$C829,"")</f>
        <v/>
      </c>
      <c r="AG829" s="87">
        <f>IF($AE829="","",IFERROR(MATCH($AE829,{"Wishlist","Applied","Screening","Interview 1","Interview 2","Final","Offer","Accepted"},0)-1,""))</f>
        <v/>
      </c>
      <c r="AH829" s="87">
        <f>IF($AC829="","",MATCH($AC829,{"FOLLOW UP REQUIRED","ACTION DUE TODAY","NO RESPONSE","DUE SOON"},0)*100000+IF(ISNUMBER($O829),$O829,IF(ISNUMBER($C829),$C829,0))+ROW()/10000)</f>
        <v/>
      </c>
      <c r="AI829" s="87">
        <f>IF(AND(ISNUMBER($AG829),$AG829&gt;=1,$AG829&lt;=6,$M829&lt;&gt;"Rejected",$M829&lt;&gt;"Withdrawn"),(10-$AG829)*100000+IF(ISNUMBER($C829),$C829,0)+ROW()/10000,"")</f>
        <v/>
      </c>
    </row>
    <row r="830">
      <c r="A830" s="80" t="n"/>
      <c r="B830" s="81" t="n"/>
      <c r="C830" s="81" t="n"/>
      <c r="D830" s="82" t="n"/>
      <c r="E830" s="82" t="n"/>
      <c r="F830" s="82" t="n"/>
      <c r="G830" s="82" t="n"/>
      <c r="H830" s="82" t="n"/>
      <c r="I830" s="83" t="n"/>
      <c r="J830" s="82" t="n"/>
      <c r="K830" s="84" t="n"/>
      <c r="L830" s="85" t="n"/>
      <c r="M830" s="82" t="n"/>
      <c r="N830" s="86" t="n"/>
      <c r="O830" s="81" t="n"/>
      <c r="P830" s="82" t="n"/>
      <c r="Q830" s="83" t="n"/>
      <c r="R830" s="82" t="n"/>
      <c r="S830" s="84" t="n"/>
      <c r="T830" s="84" t="n"/>
      <c r="U830" s="82" t="n"/>
      <c r="V830" s="86" t="n"/>
      <c r="W830" s="86" t="n"/>
      <c r="X830" s="86" t="n"/>
      <c r="Y830" s="81" t="n"/>
      <c r="Z830" s="82" t="n"/>
      <c r="AA830" s="81" t="n"/>
      <c r="AB830" s="82" t="n"/>
      <c r="AC830" s="87">
        <f>IF(OR($D830="",$M830="Rejected",$M830="Withdrawn",$M830="Accepted"),"",IF(ISNUMBER($O830),IF(INT($O830)&lt;TODAY(),"FOLLOW UP REQUIRED",IF(INT($O830)=TODAY(),"ACTION DUE TODAY",IF(INT($O830)-TODAY()&lt;=Set_DueSoonDays,"DUE SOON",""))),IF(AND($M830="Applied",$AA830=""),IF(ISNUMBER($C830),IF(TODAY()-$C830&gt;=Set_FollowUpDays,"NO RESPONSE",""),""),"")))</f>
        <v/>
      </c>
      <c r="AD830" s="87">
        <f>IF(ISNUMBER($L830),IF($L830&gt;=90,"Excellent Match",IF($L830&gt;=75,"Strong Match",IF($L830&gt;=60,"Moderate Match","Low Match"))),"")</f>
        <v/>
      </c>
      <c r="AE830" s="87">
        <f>IF($D830="","",IF(OR($M830="Rejected",$M830="Withdrawn"),IF($AB830&lt;&gt;"",$AB830,IF(OR($M830="Rejected",ISNUMBER($C830)),"Applied","Wishlist")),IF($M830="",IF(ISNUMBER($C830),"Applied","Wishlist"),$M830)))</f>
        <v/>
      </c>
      <c r="AF830" s="88">
        <f>IF(AND(ISNUMBER($C830),ISNUMBER($AA830)),$AA830-$C830,"")</f>
        <v/>
      </c>
      <c r="AG830" s="87">
        <f>IF($AE830="","",IFERROR(MATCH($AE830,{"Wishlist","Applied","Screening","Interview 1","Interview 2","Final","Offer","Accepted"},0)-1,""))</f>
        <v/>
      </c>
      <c r="AH830" s="87">
        <f>IF($AC830="","",MATCH($AC830,{"FOLLOW UP REQUIRED","ACTION DUE TODAY","NO RESPONSE","DUE SOON"},0)*100000+IF(ISNUMBER($O830),$O830,IF(ISNUMBER($C830),$C830,0))+ROW()/10000)</f>
        <v/>
      </c>
      <c r="AI830" s="87">
        <f>IF(AND(ISNUMBER($AG830),$AG830&gt;=1,$AG830&lt;=6,$M830&lt;&gt;"Rejected",$M830&lt;&gt;"Withdrawn"),(10-$AG830)*100000+IF(ISNUMBER($C830),$C830,0)+ROW()/10000,"")</f>
        <v/>
      </c>
    </row>
    <row r="831">
      <c r="A831" s="80" t="n"/>
      <c r="B831" s="81" t="n"/>
      <c r="C831" s="81" t="n"/>
      <c r="D831" s="82" t="n"/>
      <c r="E831" s="82" t="n"/>
      <c r="F831" s="82" t="n"/>
      <c r="G831" s="82" t="n"/>
      <c r="H831" s="82" t="n"/>
      <c r="I831" s="83" t="n"/>
      <c r="J831" s="82" t="n"/>
      <c r="K831" s="84" t="n"/>
      <c r="L831" s="85" t="n"/>
      <c r="M831" s="82" t="n"/>
      <c r="N831" s="86" t="n"/>
      <c r="O831" s="81" t="n"/>
      <c r="P831" s="82" t="n"/>
      <c r="Q831" s="83" t="n"/>
      <c r="R831" s="82" t="n"/>
      <c r="S831" s="84" t="n"/>
      <c r="T831" s="84" t="n"/>
      <c r="U831" s="82" t="n"/>
      <c r="V831" s="86" t="n"/>
      <c r="W831" s="86" t="n"/>
      <c r="X831" s="86" t="n"/>
      <c r="Y831" s="81" t="n"/>
      <c r="Z831" s="82" t="n"/>
      <c r="AA831" s="81" t="n"/>
      <c r="AB831" s="82" t="n"/>
      <c r="AC831" s="87">
        <f>IF(OR($D831="",$M831="Rejected",$M831="Withdrawn",$M831="Accepted"),"",IF(ISNUMBER($O831),IF(INT($O831)&lt;TODAY(),"FOLLOW UP REQUIRED",IF(INT($O831)=TODAY(),"ACTION DUE TODAY",IF(INT($O831)-TODAY()&lt;=Set_DueSoonDays,"DUE SOON",""))),IF(AND($M831="Applied",$AA831=""),IF(ISNUMBER($C831),IF(TODAY()-$C831&gt;=Set_FollowUpDays,"NO RESPONSE",""),""),"")))</f>
        <v/>
      </c>
      <c r="AD831" s="87">
        <f>IF(ISNUMBER($L831),IF($L831&gt;=90,"Excellent Match",IF($L831&gt;=75,"Strong Match",IF($L831&gt;=60,"Moderate Match","Low Match"))),"")</f>
        <v/>
      </c>
      <c r="AE831" s="87">
        <f>IF($D831="","",IF(OR($M831="Rejected",$M831="Withdrawn"),IF($AB831&lt;&gt;"",$AB831,IF(OR($M831="Rejected",ISNUMBER($C831)),"Applied","Wishlist")),IF($M831="",IF(ISNUMBER($C831),"Applied","Wishlist"),$M831)))</f>
        <v/>
      </c>
      <c r="AF831" s="88">
        <f>IF(AND(ISNUMBER($C831),ISNUMBER($AA831)),$AA831-$C831,"")</f>
        <v/>
      </c>
      <c r="AG831" s="87">
        <f>IF($AE831="","",IFERROR(MATCH($AE831,{"Wishlist","Applied","Screening","Interview 1","Interview 2","Final","Offer","Accepted"},0)-1,""))</f>
        <v/>
      </c>
      <c r="AH831" s="87">
        <f>IF($AC831="","",MATCH($AC831,{"FOLLOW UP REQUIRED","ACTION DUE TODAY","NO RESPONSE","DUE SOON"},0)*100000+IF(ISNUMBER($O831),$O831,IF(ISNUMBER($C831),$C831,0))+ROW()/10000)</f>
        <v/>
      </c>
      <c r="AI831" s="87">
        <f>IF(AND(ISNUMBER($AG831),$AG831&gt;=1,$AG831&lt;=6,$M831&lt;&gt;"Rejected",$M831&lt;&gt;"Withdrawn"),(10-$AG831)*100000+IF(ISNUMBER($C831),$C831,0)+ROW()/10000,"")</f>
        <v/>
      </c>
    </row>
    <row r="832">
      <c r="A832" s="80" t="n"/>
      <c r="B832" s="81" t="n"/>
      <c r="C832" s="81" t="n"/>
      <c r="D832" s="82" t="n"/>
      <c r="E832" s="82" t="n"/>
      <c r="F832" s="82" t="n"/>
      <c r="G832" s="82" t="n"/>
      <c r="H832" s="82" t="n"/>
      <c r="I832" s="83" t="n"/>
      <c r="J832" s="82" t="n"/>
      <c r="K832" s="84" t="n"/>
      <c r="L832" s="85" t="n"/>
      <c r="M832" s="82" t="n"/>
      <c r="N832" s="86" t="n"/>
      <c r="O832" s="81" t="n"/>
      <c r="P832" s="82" t="n"/>
      <c r="Q832" s="83" t="n"/>
      <c r="R832" s="82" t="n"/>
      <c r="S832" s="84" t="n"/>
      <c r="T832" s="84" t="n"/>
      <c r="U832" s="82" t="n"/>
      <c r="V832" s="86" t="n"/>
      <c r="W832" s="86" t="n"/>
      <c r="X832" s="86" t="n"/>
      <c r="Y832" s="81" t="n"/>
      <c r="Z832" s="82" t="n"/>
      <c r="AA832" s="81" t="n"/>
      <c r="AB832" s="82" t="n"/>
      <c r="AC832" s="87">
        <f>IF(OR($D832="",$M832="Rejected",$M832="Withdrawn",$M832="Accepted"),"",IF(ISNUMBER($O832),IF(INT($O832)&lt;TODAY(),"FOLLOW UP REQUIRED",IF(INT($O832)=TODAY(),"ACTION DUE TODAY",IF(INT($O832)-TODAY()&lt;=Set_DueSoonDays,"DUE SOON",""))),IF(AND($M832="Applied",$AA832=""),IF(ISNUMBER($C832),IF(TODAY()-$C832&gt;=Set_FollowUpDays,"NO RESPONSE",""),""),"")))</f>
        <v/>
      </c>
      <c r="AD832" s="87">
        <f>IF(ISNUMBER($L832),IF($L832&gt;=90,"Excellent Match",IF($L832&gt;=75,"Strong Match",IF($L832&gt;=60,"Moderate Match","Low Match"))),"")</f>
        <v/>
      </c>
      <c r="AE832" s="87">
        <f>IF($D832="","",IF(OR($M832="Rejected",$M832="Withdrawn"),IF($AB832&lt;&gt;"",$AB832,IF(OR($M832="Rejected",ISNUMBER($C832)),"Applied","Wishlist")),IF($M832="",IF(ISNUMBER($C832),"Applied","Wishlist"),$M832)))</f>
        <v/>
      </c>
      <c r="AF832" s="88">
        <f>IF(AND(ISNUMBER($C832),ISNUMBER($AA832)),$AA832-$C832,"")</f>
        <v/>
      </c>
      <c r="AG832" s="87">
        <f>IF($AE832="","",IFERROR(MATCH($AE832,{"Wishlist","Applied","Screening","Interview 1","Interview 2","Final","Offer","Accepted"},0)-1,""))</f>
        <v/>
      </c>
      <c r="AH832" s="87">
        <f>IF($AC832="","",MATCH($AC832,{"FOLLOW UP REQUIRED","ACTION DUE TODAY","NO RESPONSE","DUE SOON"},0)*100000+IF(ISNUMBER($O832),$O832,IF(ISNUMBER($C832),$C832,0))+ROW()/10000)</f>
        <v/>
      </c>
      <c r="AI832" s="87">
        <f>IF(AND(ISNUMBER($AG832),$AG832&gt;=1,$AG832&lt;=6,$M832&lt;&gt;"Rejected",$M832&lt;&gt;"Withdrawn"),(10-$AG832)*100000+IF(ISNUMBER($C832),$C832,0)+ROW()/10000,"")</f>
        <v/>
      </c>
    </row>
    <row r="833">
      <c r="A833" s="80" t="n"/>
      <c r="B833" s="81" t="n"/>
      <c r="C833" s="81" t="n"/>
      <c r="D833" s="82" t="n"/>
      <c r="E833" s="82" t="n"/>
      <c r="F833" s="82" t="n"/>
      <c r="G833" s="82" t="n"/>
      <c r="H833" s="82" t="n"/>
      <c r="I833" s="83" t="n"/>
      <c r="J833" s="82" t="n"/>
      <c r="K833" s="84" t="n"/>
      <c r="L833" s="85" t="n"/>
      <c r="M833" s="82" t="n"/>
      <c r="N833" s="86" t="n"/>
      <c r="O833" s="81" t="n"/>
      <c r="P833" s="82" t="n"/>
      <c r="Q833" s="83" t="n"/>
      <c r="R833" s="82" t="n"/>
      <c r="S833" s="84" t="n"/>
      <c r="T833" s="84" t="n"/>
      <c r="U833" s="82" t="n"/>
      <c r="V833" s="86" t="n"/>
      <c r="W833" s="86" t="n"/>
      <c r="X833" s="86" t="n"/>
      <c r="Y833" s="81" t="n"/>
      <c r="Z833" s="82" t="n"/>
      <c r="AA833" s="81" t="n"/>
      <c r="AB833" s="82" t="n"/>
      <c r="AC833" s="87">
        <f>IF(OR($D833="",$M833="Rejected",$M833="Withdrawn",$M833="Accepted"),"",IF(ISNUMBER($O833),IF(INT($O833)&lt;TODAY(),"FOLLOW UP REQUIRED",IF(INT($O833)=TODAY(),"ACTION DUE TODAY",IF(INT($O833)-TODAY()&lt;=Set_DueSoonDays,"DUE SOON",""))),IF(AND($M833="Applied",$AA833=""),IF(ISNUMBER($C833),IF(TODAY()-$C833&gt;=Set_FollowUpDays,"NO RESPONSE",""),""),"")))</f>
        <v/>
      </c>
      <c r="AD833" s="87">
        <f>IF(ISNUMBER($L833),IF($L833&gt;=90,"Excellent Match",IF($L833&gt;=75,"Strong Match",IF($L833&gt;=60,"Moderate Match","Low Match"))),"")</f>
        <v/>
      </c>
      <c r="AE833" s="87">
        <f>IF($D833="","",IF(OR($M833="Rejected",$M833="Withdrawn"),IF($AB833&lt;&gt;"",$AB833,IF(OR($M833="Rejected",ISNUMBER($C833)),"Applied","Wishlist")),IF($M833="",IF(ISNUMBER($C833),"Applied","Wishlist"),$M833)))</f>
        <v/>
      </c>
      <c r="AF833" s="88">
        <f>IF(AND(ISNUMBER($C833),ISNUMBER($AA833)),$AA833-$C833,"")</f>
        <v/>
      </c>
      <c r="AG833" s="87">
        <f>IF($AE833="","",IFERROR(MATCH($AE833,{"Wishlist","Applied","Screening","Interview 1","Interview 2","Final","Offer","Accepted"},0)-1,""))</f>
        <v/>
      </c>
      <c r="AH833" s="87">
        <f>IF($AC833="","",MATCH($AC833,{"FOLLOW UP REQUIRED","ACTION DUE TODAY","NO RESPONSE","DUE SOON"},0)*100000+IF(ISNUMBER($O833),$O833,IF(ISNUMBER($C833),$C833,0))+ROW()/10000)</f>
        <v/>
      </c>
      <c r="AI833" s="87">
        <f>IF(AND(ISNUMBER($AG833),$AG833&gt;=1,$AG833&lt;=6,$M833&lt;&gt;"Rejected",$M833&lt;&gt;"Withdrawn"),(10-$AG833)*100000+IF(ISNUMBER($C833),$C833,0)+ROW()/10000,"")</f>
        <v/>
      </c>
    </row>
    <row r="834">
      <c r="A834" s="80" t="n"/>
      <c r="B834" s="81" t="n"/>
      <c r="C834" s="81" t="n"/>
      <c r="D834" s="82" t="n"/>
      <c r="E834" s="82" t="n"/>
      <c r="F834" s="82" t="n"/>
      <c r="G834" s="82" t="n"/>
      <c r="H834" s="82" t="n"/>
      <c r="I834" s="83" t="n"/>
      <c r="J834" s="82" t="n"/>
      <c r="K834" s="84" t="n"/>
      <c r="L834" s="85" t="n"/>
      <c r="M834" s="82" t="n"/>
      <c r="N834" s="86" t="n"/>
      <c r="O834" s="81" t="n"/>
      <c r="P834" s="82" t="n"/>
      <c r="Q834" s="83" t="n"/>
      <c r="R834" s="82" t="n"/>
      <c r="S834" s="84" t="n"/>
      <c r="T834" s="84" t="n"/>
      <c r="U834" s="82" t="n"/>
      <c r="V834" s="86" t="n"/>
      <c r="W834" s="86" t="n"/>
      <c r="X834" s="86" t="n"/>
      <c r="Y834" s="81" t="n"/>
      <c r="Z834" s="82" t="n"/>
      <c r="AA834" s="81" t="n"/>
      <c r="AB834" s="82" t="n"/>
      <c r="AC834" s="87">
        <f>IF(OR($D834="",$M834="Rejected",$M834="Withdrawn",$M834="Accepted"),"",IF(ISNUMBER($O834),IF(INT($O834)&lt;TODAY(),"FOLLOW UP REQUIRED",IF(INT($O834)=TODAY(),"ACTION DUE TODAY",IF(INT($O834)-TODAY()&lt;=Set_DueSoonDays,"DUE SOON",""))),IF(AND($M834="Applied",$AA834=""),IF(ISNUMBER($C834),IF(TODAY()-$C834&gt;=Set_FollowUpDays,"NO RESPONSE",""),""),"")))</f>
        <v/>
      </c>
      <c r="AD834" s="87">
        <f>IF(ISNUMBER($L834),IF($L834&gt;=90,"Excellent Match",IF($L834&gt;=75,"Strong Match",IF($L834&gt;=60,"Moderate Match","Low Match"))),"")</f>
        <v/>
      </c>
      <c r="AE834" s="87">
        <f>IF($D834="","",IF(OR($M834="Rejected",$M834="Withdrawn"),IF($AB834&lt;&gt;"",$AB834,IF(OR($M834="Rejected",ISNUMBER($C834)),"Applied","Wishlist")),IF($M834="",IF(ISNUMBER($C834),"Applied","Wishlist"),$M834)))</f>
        <v/>
      </c>
      <c r="AF834" s="88">
        <f>IF(AND(ISNUMBER($C834),ISNUMBER($AA834)),$AA834-$C834,"")</f>
        <v/>
      </c>
      <c r="AG834" s="87">
        <f>IF($AE834="","",IFERROR(MATCH($AE834,{"Wishlist","Applied","Screening","Interview 1","Interview 2","Final","Offer","Accepted"},0)-1,""))</f>
        <v/>
      </c>
      <c r="AH834" s="87">
        <f>IF($AC834="","",MATCH($AC834,{"FOLLOW UP REQUIRED","ACTION DUE TODAY","NO RESPONSE","DUE SOON"},0)*100000+IF(ISNUMBER($O834),$O834,IF(ISNUMBER($C834),$C834,0))+ROW()/10000)</f>
        <v/>
      </c>
      <c r="AI834" s="87">
        <f>IF(AND(ISNUMBER($AG834),$AG834&gt;=1,$AG834&lt;=6,$M834&lt;&gt;"Rejected",$M834&lt;&gt;"Withdrawn"),(10-$AG834)*100000+IF(ISNUMBER($C834),$C834,0)+ROW()/10000,"")</f>
        <v/>
      </c>
    </row>
    <row r="835">
      <c r="A835" s="80" t="n"/>
      <c r="B835" s="81" t="n"/>
      <c r="C835" s="81" t="n"/>
      <c r="D835" s="82" t="n"/>
      <c r="E835" s="82" t="n"/>
      <c r="F835" s="82" t="n"/>
      <c r="G835" s="82" t="n"/>
      <c r="H835" s="82" t="n"/>
      <c r="I835" s="83" t="n"/>
      <c r="J835" s="82" t="n"/>
      <c r="K835" s="84" t="n"/>
      <c r="L835" s="85" t="n"/>
      <c r="M835" s="82" t="n"/>
      <c r="N835" s="86" t="n"/>
      <c r="O835" s="81" t="n"/>
      <c r="P835" s="82" t="n"/>
      <c r="Q835" s="83" t="n"/>
      <c r="R835" s="82" t="n"/>
      <c r="S835" s="84" t="n"/>
      <c r="T835" s="84" t="n"/>
      <c r="U835" s="82" t="n"/>
      <c r="V835" s="86" t="n"/>
      <c r="W835" s="86" t="n"/>
      <c r="X835" s="86" t="n"/>
      <c r="Y835" s="81" t="n"/>
      <c r="Z835" s="82" t="n"/>
      <c r="AA835" s="81" t="n"/>
      <c r="AB835" s="82" t="n"/>
      <c r="AC835" s="87">
        <f>IF(OR($D835="",$M835="Rejected",$M835="Withdrawn",$M835="Accepted"),"",IF(ISNUMBER($O835),IF(INT($O835)&lt;TODAY(),"FOLLOW UP REQUIRED",IF(INT($O835)=TODAY(),"ACTION DUE TODAY",IF(INT($O835)-TODAY()&lt;=Set_DueSoonDays,"DUE SOON",""))),IF(AND($M835="Applied",$AA835=""),IF(ISNUMBER($C835),IF(TODAY()-$C835&gt;=Set_FollowUpDays,"NO RESPONSE",""),""),"")))</f>
        <v/>
      </c>
      <c r="AD835" s="87">
        <f>IF(ISNUMBER($L835),IF($L835&gt;=90,"Excellent Match",IF($L835&gt;=75,"Strong Match",IF($L835&gt;=60,"Moderate Match","Low Match"))),"")</f>
        <v/>
      </c>
      <c r="AE835" s="87">
        <f>IF($D835="","",IF(OR($M835="Rejected",$M835="Withdrawn"),IF($AB835&lt;&gt;"",$AB835,IF(OR($M835="Rejected",ISNUMBER($C835)),"Applied","Wishlist")),IF($M835="",IF(ISNUMBER($C835),"Applied","Wishlist"),$M835)))</f>
        <v/>
      </c>
      <c r="AF835" s="88">
        <f>IF(AND(ISNUMBER($C835),ISNUMBER($AA835)),$AA835-$C835,"")</f>
        <v/>
      </c>
      <c r="AG835" s="87">
        <f>IF($AE835="","",IFERROR(MATCH($AE835,{"Wishlist","Applied","Screening","Interview 1","Interview 2","Final","Offer","Accepted"},0)-1,""))</f>
        <v/>
      </c>
      <c r="AH835" s="87">
        <f>IF($AC835="","",MATCH($AC835,{"FOLLOW UP REQUIRED","ACTION DUE TODAY","NO RESPONSE","DUE SOON"},0)*100000+IF(ISNUMBER($O835),$O835,IF(ISNUMBER($C835),$C835,0))+ROW()/10000)</f>
        <v/>
      </c>
      <c r="AI835" s="87">
        <f>IF(AND(ISNUMBER($AG835),$AG835&gt;=1,$AG835&lt;=6,$M835&lt;&gt;"Rejected",$M835&lt;&gt;"Withdrawn"),(10-$AG835)*100000+IF(ISNUMBER($C835),$C835,0)+ROW()/10000,"")</f>
        <v/>
      </c>
    </row>
    <row r="836">
      <c r="A836" s="80" t="n"/>
      <c r="B836" s="81" t="n"/>
      <c r="C836" s="81" t="n"/>
      <c r="D836" s="82" t="n"/>
      <c r="E836" s="82" t="n"/>
      <c r="F836" s="82" t="n"/>
      <c r="G836" s="82" t="n"/>
      <c r="H836" s="82" t="n"/>
      <c r="I836" s="83" t="n"/>
      <c r="J836" s="82" t="n"/>
      <c r="K836" s="84" t="n"/>
      <c r="L836" s="85" t="n"/>
      <c r="M836" s="82" t="n"/>
      <c r="N836" s="86" t="n"/>
      <c r="O836" s="81" t="n"/>
      <c r="P836" s="82" t="n"/>
      <c r="Q836" s="83" t="n"/>
      <c r="R836" s="82" t="n"/>
      <c r="S836" s="84" t="n"/>
      <c r="T836" s="84" t="n"/>
      <c r="U836" s="82" t="n"/>
      <c r="V836" s="86" t="n"/>
      <c r="W836" s="86" t="n"/>
      <c r="X836" s="86" t="n"/>
      <c r="Y836" s="81" t="n"/>
      <c r="Z836" s="82" t="n"/>
      <c r="AA836" s="81" t="n"/>
      <c r="AB836" s="82" t="n"/>
      <c r="AC836" s="87">
        <f>IF(OR($D836="",$M836="Rejected",$M836="Withdrawn",$M836="Accepted"),"",IF(ISNUMBER($O836),IF(INT($O836)&lt;TODAY(),"FOLLOW UP REQUIRED",IF(INT($O836)=TODAY(),"ACTION DUE TODAY",IF(INT($O836)-TODAY()&lt;=Set_DueSoonDays,"DUE SOON",""))),IF(AND($M836="Applied",$AA836=""),IF(ISNUMBER($C836),IF(TODAY()-$C836&gt;=Set_FollowUpDays,"NO RESPONSE",""),""),"")))</f>
        <v/>
      </c>
      <c r="AD836" s="87">
        <f>IF(ISNUMBER($L836),IF($L836&gt;=90,"Excellent Match",IF($L836&gt;=75,"Strong Match",IF($L836&gt;=60,"Moderate Match","Low Match"))),"")</f>
        <v/>
      </c>
      <c r="AE836" s="87">
        <f>IF($D836="","",IF(OR($M836="Rejected",$M836="Withdrawn"),IF($AB836&lt;&gt;"",$AB836,IF(OR($M836="Rejected",ISNUMBER($C836)),"Applied","Wishlist")),IF($M836="",IF(ISNUMBER($C836),"Applied","Wishlist"),$M836)))</f>
        <v/>
      </c>
      <c r="AF836" s="88">
        <f>IF(AND(ISNUMBER($C836),ISNUMBER($AA836)),$AA836-$C836,"")</f>
        <v/>
      </c>
      <c r="AG836" s="87">
        <f>IF($AE836="","",IFERROR(MATCH($AE836,{"Wishlist","Applied","Screening","Interview 1","Interview 2","Final","Offer","Accepted"},0)-1,""))</f>
        <v/>
      </c>
      <c r="AH836" s="87">
        <f>IF($AC836="","",MATCH($AC836,{"FOLLOW UP REQUIRED","ACTION DUE TODAY","NO RESPONSE","DUE SOON"},0)*100000+IF(ISNUMBER($O836),$O836,IF(ISNUMBER($C836),$C836,0))+ROW()/10000)</f>
        <v/>
      </c>
      <c r="AI836" s="87">
        <f>IF(AND(ISNUMBER($AG836),$AG836&gt;=1,$AG836&lt;=6,$M836&lt;&gt;"Rejected",$M836&lt;&gt;"Withdrawn"),(10-$AG836)*100000+IF(ISNUMBER($C836),$C836,0)+ROW()/10000,"")</f>
        <v/>
      </c>
    </row>
    <row r="837">
      <c r="A837" s="80" t="n"/>
      <c r="B837" s="81" t="n"/>
      <c r="C837" s="81" t="n"/>
      <c r="D837" s="82" t="n"/>
      <c r="E837" s="82" t="n"/>
      <c r="F837" s="82" t="n"/>
      <c r="G837" s="82" t="n"/>
      <c r="H837" s="82" t="n"/>
      <c r="I837" s="83" t="n"/>
      <c r="J837" s="82" t="n"/>
      <c r="K837" s="84" t="n"/>
      <c r="L837" s="85" t="n"/>
      <c r="M837" s="82" t="n"/>
      <c r="N837" s="86" t="n"/>
      <c r="O837" s="81" t="n"/>
      <c r="P837" s="82" t="n"/>
      <c r="Q837" s="83" t="n"/>
      <c r="R837" s="82" t="n"/>
      <c r="S837" s="84" t="n"/>
      <c r="T837" s="84" t="n"/>
      <c r="U837" s="82" t="n"/>
      <c r="V837" s="86" t="n"/>
      <c r="W837" s="86" t="n"/>
      <c r="X837" s="86" t="n"/>
      <c r="Y837" s="81" t="n"/>
      <c r="Z837" s="82" t="n"/>
      <c r="AA837" s="81" t="n"/>
      <c r="AB837" s="82" t="n"/>
      <c r="AC837" s="87">
        <f>IF(OR($D837="",$M837="Rejected",$M837="Withdrawn",$M837="Accepted"),"",IF(ISNUMBER($O837),IF(INT($O837)&lt;TODAY(),"FOLLOW UP REQUIRED",IF(INT($O837)=TODAY(),"ACTION DUE TODAY",IF(INT($O837)-TODAY()&lt;=Set_DueSoonDays,"DUE SOON",""))),IF(AND($M837="Applied",$AA837=""),IF(ISNUMBER($C837),IF(TODAY()-$C837&gt;=Set_FollowUpDays,"NO RESPONSE",""),""),"")))</f>
        <v/>
      </c>
      <c r="AD837" s="87">
        <f>IF(ISNUMBER($L837),IF($L837&gt;=90,"Excellent Match",IF($L837&gt;=75,"Strong Match",IF($L837&gt;=60,"Moderate Match","Low Match"))),"")</f>
        <v/>
      </c>
      <c r="AE837" s="87">
        <f>IF($D837="","",IF(OR($M837="Rejected",$M837="Withdrawn"),IF($AB837&lt;&gt;"",$AB837,IF(OR($M837="Rejected",ISNUMBER($C837)),"Applied","Wishlist")),IF($M837="",IF(ISNUMBER($C837),"Applied","Wishlist"),$M837)))</f>
        <v/>
      </c>
      <c r="AF837" s="88">
        <f>IF(AND(ISNUMBER($C837),ISNUMBER($AA837)),$AA837-$C837,"")</f>
        <v/>
      </c>
      <c r="AG837" s="87">
        <f>IF($AE837="","",IFERROR(MATCH($AE837,{"Wishlist","Applied","Screening","Interview 1","Interview 2","Final","Offer","Accepted"},0)-1,""))</f>
        <v/>
      </c>
      <c r="AH837" s="87">
        <f>IF($AC837="","",MATCH($AC837,{"FOLLOW UP REQUIRED","ACTION DUE TODAY","NO RESPONSE","DUE SOON"},0)*100000+IF(ISNUMBER($O837),$O837,IF(ISNUMBER($C837),$C837,0))+ROW()/10000)</f>
        <v/>
      </c>
      <c r="AI837" s="87">
        <f>IF(AND(ISNUMBER($AG837),$AG837&gt;=1,$AG837&lt;=6,$M837&lt;&gt;"Rejected",$M837&lt;&gt;"Withdrawn"),(10-$AG837)*100000+IF(ISNUMBER($C837),$C837,0)+ROW()/10000,"")</f>
        <v/>
      </c>
    </row>
    <row r="838">
      <c r="A838" s="80" t="n"/>
      <c r="B838" s="81" t="n"/>
      <c r="C838" s="81" t="n"/>
      <c r="D838" s="82" t="n"/>
      <c r="E838" s="82" t="n"/>
      <c r="F838" s="82" t="n"/>
      <c r="G838" s="82" t="n"/>
      <c r="H838" s="82" t="n"/>
      <c r="I838" s="83" t="n"/>
      <c r="J838" s="82" t="n"/>
      <c r="K838" s="84" t="n"/>
      <c r="L838" s="85" t="n"/>
      <c r="M838" s="82" t="n"/>
      <c r="N838" s="86" t="n"/>
      <c r="O838" s="81" t="n"/>
      <c r="P838" s="82" t="n"/>
      <c r="Q838" s="83" t="n"/>
      <c r="R838" s="82" t="n"/>
      <c r="S838" s="84" t="n"/>
      <c r="T838" s="84" t="n"/>
      <c r="U838" s="82" t="n"/>
      <c r="V838" s="86" t="n"/>
      <c r="W838" s="86" t="n"/>
      <c r="X838" s="86" t="n"/>
      <c r="Y838" s="81" t="n"/>
      <c r="Z838" s="82" t="n"/>
      <c r="AA838" s="81" t="n"/>
      <c r="AB838" s="82" t="n"/>
      <c r="AC838" s="87">
        <f>IF(OR($D838="",$M838="Rejected",$M838="Withdrawn",$M838="Accepted"),"",IF(ISNUMBER($O838),IF(INT($O838)&lt;TODAY(),"FOLLOW UP REQUIRED",IF(INT($O838)=TODAY(),"ACTION DUE TODAY",IF(INT($O838)-TODAY()&lt;=Set_DueSoonDays,"DUE SOON",""))),IF(AND($M838="Applied",$AA838=""),IF(ISNUMBER($C838),IF(TODAY()-$C838&gt;=Set_FollowUpDays,"NO RESPONSE",""),""),"")))</f>
        <v/>
      </c>
      <c r="AD838" s="87">
        <f>IF(ISNUMBER($L838),IF($L838&gt;=90,"Excellent Match",IF($L838&gt;=75,"Strong Match",IF($L838&gt;=60,"Moderate Match","Low Match"))),"")</f>
        <v/>
      </c>
      <c r="AE838" s="87">
        <f>IF($D838="","",IF(OR($M838="Rejected",$M838="Withdrawn"),IF($AB838&lt;&gt;"",$AB838,IF(OR($M838="Rejected",ISNUMBER($C838)),"Applied","Wishlist")),IF($M838="",IF(ISNUMBER($C838),"Applied","Wishlist"),$M838)))</f>
        <v/>
      </c>
      <c r="AF838" s="88">
        <f>IF(AND(ISNUMBER($C838),ISNUMBER($AA838)),$AA838-$C838,"")</f>
        <v/>
      </c>
      <c r="AG838" s="87">
        <f>IF($AE838="","",IFERROR(MATCH($AE838,{"Wishlist","Applied","Screening","Interview 1","Interview 2","Final","Offer","Accepted"},0)-1,""))</f>
        <v/>
      </c>
      <c r="AH838" s="87">
        <f>IF($AC838="","",MATCH($AC838,{"FOLLOW UP REQUIRED","ACTION DUE TODAY","NO RESPONSE","DUE SOON"},0)*100000+IF(ISNUMBER($O838),$O838,IF(ISNUMBER($C838),$C838,0))+ROW()/10000)</f>
        <v/>
      </c>
      <c r="AI838" s="87">
        <f>IF(AND(ISNUMBER($AG838),$AG838&gt;=1,$AG838&lt;=6,$M838&lt;&gt;"Rejected",$M838&lt;&gt;"Withdrawn"),(10-$AG838)*100000+IF(ISNUMBER($C838),$C838,0)+ROW()/10000,"")</f>
        <v/>
      </c>
    </row>
    <row r="839">
      <c r="A839" s="80" t="n"/>
      <c r="B839" s="81" t="n"/>
      <c r="C839" s="81" t="n"/>
      <c r="D839" s="82" t="n"/>
      <c r="E839" s="82" t="n"/>
      <c r="F839" s="82" t="n"/>
      <c r="G839" s="82" t="n"/>
      <c r="H839" s="82" t="n"/>
      <c r="I839" s="83" t="n"/>
      <c r="J839" s="82" t="n"/>
      <c r="K839" s="84" t="n"/>
      <c r="L839" s="85" t="n"/>
      <c r="M839" s="82" t="n"/>
      <c r="N839" s="86" t="n"/>
      <c r="O839" s="81" t="n"/>
      <c r="P839" s="82" t="n"/>
      <c r="Q839" s="83" t="n"/>
      <c r="R839" s="82" t="n"/>
      <c r="S839" s="84" t="n"/>
      <c r="T839" s="84" t="n"/>
      <c r="U839" s="82" t="n"/>
      <c r="V839" s="86" t="n"/>
      <c r="W839" s="86" t="n"/>
      <c r="X839" s="86" t="n"/>
      <c r="Y839" s="81" t="n"/>
      <c r="Z839" s="82" t="n"/>
      <c r="AA839" s="81" t="n"/>
      <c r="AB839" s="82" t="n"/>
      <c r="AC839" s="87">
        <f>IF(OR($D839="",$M839="Rejected",$M839="Withdrawn",$M839="Accepted"),"",IF(ISNUMBER($O839),IF(INT($O839)&lt;TODAY(),"FOLLOW UP REQUIRED",IF(INT($O839)=TODAY(),"ACTION DUE TODAY",IF(INT($O839)-TODAY()&lt;=Set_DueSoonDays,"DUE SOON",""))),IF(AND($M839="Applied",$AA839=""),IF(ISNUMBER($C839),IF(TODAY()-$C839&gt;=Set_FollowUpDays,"NO RESPONSE",""),""),"")))</f>
        <v/>
      </c>
      <c r="AD839" s="87">
        <f>IF(ISNUMBER($L839),IF($L839&gt;=90,"Excellent Match",IF($L839&gt;=75,"Strong Match",IF($L839&gt;=60,"Moderate Match","Low Match"))),"")</f>
        <v/>
      </c>
      <c r="AE839" s="87">
        <f>IF($D839="","",IF(OR($M839="Rejected",$M839="Withdrawn"),IF($AB839&lt;&gt;"",$AB839,IF(OR($M839="Rejected",ISNUMBER($C839)),"Applied","Wishlist")),IF($M839="",IF(ISNUMBER($C839),"Applied","Wishlist"),$M839)))</f>
        <v/>
      </c>
      <c r="AF839" s="88">
        <f>IF(AND(ISNUMBER($C839),ISNUMBER($AA839)),$AA839-$C839,"")</f>
        <v/>
      </c>
      <c r="AG839" s="87">
        <f>IF($AE839="","",IFERROR(MATCH($AE839,{"Wishlist","Applied","Screening","Interview 1","Interview 2","Final","Offer","Accepted"},0)-1,""))</f>
        <v/>
      </c>
      <c r="AH839" s="87">
        <f>IF($AC839="","",MATCH($AC839,{"FOLLOW UP REQUIRED","ACTION DUE TODAY","NO RESPONSE","DUE SOON"},0)*100000+IF(ISNUMBER($O839),$O839,IF(ISNUMBER($C839),$C839,0))+ROW()/10000)</f>
        <v/>
      </c>
      <c r="AI839" s="87">
        <f>IF(AND(ISNUMBER($AG839),$AG839&gt;=1,$AG839&lt;=6,$M839&lt;&gt;"Rejected",$M839&lt;&gt;"Withdrawn"),(10-$AG839)*100000+IF(ISNUMBER($C839),$C839,0)+ROW()/10000,"")</f>
        <v/>
      </c>
    </row>
    <row r="840">
      <c r="A840" s="80" t="n"/>
      <c r="B840" s="81" t="n"/>
      <c r="C840" s="81" t="n"/>
      <c r="D840" s="82" t="n"/>
      <c r="E840" s="82" t="n"/>
      <c r="F840" s="82" t="n"/>
      <c r="G840" s="82" t="n"/>
      <c r="H840" s="82" t="n"/>
      <c r="I840" s="83" t="n"/>
      <c r="J840" s="82" t="n"/>
      <c r="K840" s="84" t="n"/>
      <c r="L840" s="85" t="n"/>
      <c r="M840" s="82" t="n"/>
      <c r="N840" s="86" t="n"/>
      <c r="O840" s="81" t="n"/>
      <c r="P840" s="82" t="n"/>
      <c r="Q840" s="83" t="n"/>
      <c r="R840" s="82" t="n"/>
      <c r="S840" s="84" t="n"/>
      <c r="T840" s="84" t="n"/>
      <c r="U840" s="82" t="n"/>
      <c r="V840" s="86" t="n"/>
      <c r="W840" s="86" t="n"/>
      <c r="X840" s="86" t="n"/>
      <c r="Y840" s="81" t="n"/>
      <c r="Z840" s="82" t="n"/>
      <c r="AA840" s="81" t="n"/>
      <c r="AB840" s="82" t="n"/>
      <c r="AC840" s="87">
        <f>IF(OR($D840="",$M840="Rejected",$M840="Withdrawn",$M840="Accepted"),"",IF(ISNUMBER($O840),IF(INT($O840)&lt;TODAY(),"FOLLOW UP REQUIRED",IF(INT($O840)=TODAY(),"ACTION DUE TODAY",IF(INT($O840)-TODAY()&lt;=Set_DueSoonDays,"DUE SOON",""))),IF(AND($M840="Applied",$AA840=""),IF(ISNUMBER($C840),IF(TODAY()-$C840&gt;=Set_FollowUpDays,"NO RESPONSE",""),""),"")))</f>
        <v/>
      </c>
      <c r="AD840" s="87">
        <f>IF(ISNUMBER($L840),IF($L840&gt;=90,"Excellent Match",IF($L840&gt;=75,"Strong Match",IF($L840&gt;=60,"Moderate Match","Low Match"))),"")</f>
        <v/>
      </c>
      <c r="AE840" s="87">
        <f>IF($D840="","",IF(OR($M840="Rejected",$M840="Withdrawn"),IF($AB840&lt;&gt;"",$AB840,IF(OR($M840="Rejected",ISNUMBER($C840)),"Applied","Wishlist")),IF($M840="",IF(ISNUMBER($C840),"Applied","Wishlist"),$M840)))</f>
        <v/>
      </c>
      <c r="AF840" s="88">
        <f>IF(AND(ISNUMBER($C840),ISNUMBER($AA840)),$AA840-$C840,"")</f>
        <v/>
      </c>
      <c r="AG840" s="87">
        <f>IF($AE840="","",IFERROR(MATCH($AE840,{"Wishlist","Applied","Screening","Interview 1","Interview 2","Final","Offer","Accepted"},0)-1,""))</f>
        <v/>
      </c>
      <c r="AH840" s="87">
        <f>IF($AC840="","",MATCH($AC840,{"FOLLOW UP REQUIRED","ACTION DUE TODAY","NO RESPONSE","DUE SOON"},0)*100000+IF(ISNUMBER($O840),$O840,IF(ISNUMBER($C840),$C840,0))+ROW()/10000)</f>
        <v/>
      </c>
      <c r="AI840" s="87">
        <f>IF(AND(ISNUMBER($AG840),$AG840&gt;=1,$AG840&lt;=6,$M840&lt;&gt;"Rejected",$M840&lt;&gt;"Withdrawn"),(10-$AG840)*100000+IF(ISNUMBER($C840),$C840,0)+ROW()/10000,"")</f>
        <v/>
      </c>
    </row>
    <row r="841">
      <c r="A841" s="80" t="n"/>
      <c r="B841" s="81" t="n"/>
      <c r="C841" s="81" t="n"/>
      <c r="D841" s="82" t="n"/>
      <c r="E841" s="82" t="n"/>
      <c r="F841" s="82" t="n"/>
      <c r="G841" s="82" t="n"/>
      <c r="H841" s="82" t="n"/>
      <c r="I841" s="83" t="n"/>
      <c r="J841" s="82" t="n"/>
      <c r="K841" s="84" t="n"/>
      <c r="L841" s="85" t="n"/>
      <c r="M841" s="82" t="n"/>
      <c r="N841" s="86" t="n"/>
      <c r="O841" s="81" t="n"/>
      <c r="P841" s="82" t="n"/>
      <c r="Q841" s="83" t="n"/>
      <c r="R841" s="82" t="n"/>
      <c r="S841" s="84" t="n"/>
      <c r="T841" s="84" t="n"/>
      <c r="U841" s="82" t="n"/>
      <c r="V841" s="86" t="n"/>
      <c r="W841" s="86" t="n"/>
      <c r="X841" s="86" t="n"/>
      <c r="Y841" s="81" t="n"/>
      <c r="Z841" s="82" t="n"/>
      <c r="AA841" s="81" t="n"/>
      <c r="AB841" s="82" t="n"/>
      <c r="AC841" s="87">
        <f>IF(OR($D841="",$M841="Rejected",$M841="Withdrawn",$M841="Accepted"),"",IF(ISNUMBER($O841),IF(INT($O841)&lt;TODAY(),"FOLLOW UP REQUIRED",IF(INT($O841)=TODAY(),"ACTION DUE TODAY",IF(INT($O841)-TODAY()&lt;=Set_DueSoonDays,"DUE SOON",""))),IF(AND($M841="Applied",$AA841=""),IF(ISNUMBER($C841),IF(TODAY()-$C841&gt;=Set_FollowUpDays,"NO RESPONSE",""),""),"")))</f>
        <v/>
      </c>
      <c r="AD841" s="87">
        <f>IF(ISNUMBER($L841),IF($L841&gt;=90,"Excellent Match",IF($L841&gt;=75,"Strong Match",IF($L841&gt;=60,"Moderate Match","Low Match"))),"")</f>
        <v/>
      </c>
      <c r="AE841" s="87">
        <f>IF($D841="","",IF(OR($M841="Rejected",$M841="Withdrawn"),IF($AB841&lt;&gt;"",$AB841,IF(OR($M841="Rejected",ISNUMBER($C841)),"Applied","Wishlist")),IF($M841="",IF(ISNUMBER($C841),"Applied","Wishlist"),$M841)))</f>
        <v/>
      </c>
      <c r="AF841" s="88">
        <f>IF(AND(ISNUMBER($C841),ISNUMBER($AA841)),$AA841-$C841,"")</f>
        <v/>
      </c>
      <c r="AG841" s="87">
        <f>IF($AE841="","",IFERROR(MATCH($AE841,{"Wishlist","Applied","Screening","Interview 1","Interview 2","Final","Offer","Accepted"},0)-1,""))</f>
        <v/>
      </c>
      <c r="AH841" s="87">
        <f>IF($AC841="","",MATCH($AC841,{"FOLLOW UP REQUIRED","ACTION DUE TODAY","NO RESPONSE","DUE SOON"},0)*100000+IF(ISNUMBER($O841),$O841,IF(ISNUMBER($C841),$C841,0))+ROW()/10000)</f>
        <v/>
      </c>
      <c r="AI841" s="87">
        <f>IF(AND(ISNUMBER($AG841),$AG841&gt;=1,$AG841&lt;=6,$M841&lt;&gt;"Rejected",$M841&lt;&gt;"Withdrawn"),(10-$AG841)*100000+IF(ISNUMBER($C841),$C841,0)+ROW()/10000,"")</f>
        <v/>
      </c>
    </row>
    <row r="842">
      <c r="A842" s="80" t="n"/>
      <c r="B842" s="81" t="n"/>
      <c r="C842" s="81" t="n"/>
      <c r="D842" s="82" t="n"/>
      <c r="E842" s="82" t="n"/>
      <c r="F842" s="82" t="n"/>
      <c r="G842" s="82" t="n"/>
      <c r="H842" s="82" t="n"/>
      <c r="I842" s="83" t="n"/>
      <c r="J842" s="82" t="n"/>
      <c r="K842" s="84" t="n"/>
      <c r="L842" s="85" t="n"/>
      <c r="M842" s="82" t="n"/>
      <c r="N842" s="86" t="n"/>
      <c r="O842" s="81" t="n"/>
      <c r="P842" s="82" t="n"/>
      <c r="Q842" s="83" t="n"/>
      <c r="R842" s="82" t="n"/>
      <c r="S842" s="84" t="n"/>
      <c r="T842" s="84" t="n"/>
      <c r="U842" s="82" t="n"/>
      <c r="V842" s="86" t="n"/>
      <c r="W842" s="86" t="n"/>
      <c r="X842" s="86" t="n"/>
      <c r="Y842" s="81" t="n"/>
      <c r="Z842" s="82" t="n"/>
      <c r="AA842" s="81" t="n"/>
      <c r="AB842" s="82" t="n"/>
      <c r="AC842" s="87">
        <f>IF(OR($D842="",$M842="Rejected",$M842="Withdrawn",$M842="Accepted"),"",IF(ISNUMBER($O842),IF(INT($O842)&lt;TODAY(),"FOLLOW UP REQUIRED",IF(INT($O842)=TODAY(),"ACTION DUE TODAY",IF(INT($O842)-TODAY()&lt;=Set_DueSoonDays,"DUE SOON",""))),IF(AND($M842="Applied",$AA842=""),IF(ISNUMBER($C842),IF(TODAY()-$C842&gt;=Set_FollowUpDays,"NO RESPONSE",""),""),"")))</f>
        <v/>
      </c>
      <c r="AD842" s="87">
        <f>IF(ISNUMBER($L842),IF($L842&gt;=90,"Excellent Match",IF($L842&gt;=75,"Strong Match",IF($L842&gt;=60,"Moderate Match","Low Match"))),"")</f>
        <v/>
      </c>
      <c r="AE842" s="87">
        <f>IF($D842="","",IF(OR($M842="Rejected",$M842="Withdrawn"),IF($AB842&lt;&gt;"",$AB842,IF(OR($M842="Rejected",ISNUMBER($C842)),"Applied","Wishlist")),IF($M842="",IF(ISNUMBER($C842),"Applied","Wishlist"),$M842)))</f>
        <v/>
      </c>
      <c r="AF842" s="88">
        <f>IF(AND(ISNUMBER($C842),ISNUMBER($AA842)),$AA842-$C842,"")</f>
        <v/>
      </c>
      <c r="AG842" s="87">
        <f>IF($AE842="","",IFERROR(MATCH($AE842,{"Wishlist","Applied","Screening","Interview 1","Interview 2","Final","Offer","Accepted"},0)-1,""))</f>
        <v/>
      </c>
      <c r="AH842" s="87">
        <f>IF($AC842="","",MATCH($AC842,{"FOLLOW UP REQUIRED","ACTION DUE TODAY","NO RESPONSE","DUE SOON"},0)*100000+IF(ISNUMBER($O842),$O842,IF(ISNUMBER($C842),$C842,0))+ROW()/10000)</f>
        <v/>
      </c>
      <c r="AI842" s="87">
        <f>IF(AND(ISNUMBER($AG842),$AG842&gt;=1,$AG842&lt;=6,$M842&lt;&gt;"Rejected",$M842&lt;&gt;"Withdrawn"),(10-$AG842)*100000+IF(ISNUMBER($C842),$C842,0)+ROW()/10000,"")</f>
        <v/>
      </c>
    </row>
    <row r="843">
      <c r="A843" s="80" t="n"/>
      <c r="B843" s="81" t="n"/>
      <c r="C843" s="81" t="n"/>
      <c r="D843" s="82" t="n"/>
      <c r="E843" s="82" t="n"/>
      <c r="F843" s="82" t="n"/>
      <c r="G843" s="82" t="n"/>
      <c r="H843" s="82" t="n"/>
      <c r="I843" s="83" t="n"/>
      <c r="J843" s="82" t="n"/>
      <c r="K843" s="84" t="n"/>
      <c r="L843" s="85" t="n"/>
      <c r="M843" s="82" t="n"/>
      <c r="N843" s="86" t="n"/>
      <c r="O843" s="81" t="n"/>
      <c r="P843" s="82" t="n"/>
      <c r="Q843" s="83" t="n"/>
      <c r="R843" s="82" t="n"/>
      <c r="S843" s="84" t="n"/>
      <c r="T843" s="84" t="n"/>
      <c r="U843" s="82" t="n"/>
      <c r="V843" s="86" t="n"/>
      <c r="W843" s="86" t="n"/>
      <c r="X843" s="86" t="n"/>
      <c r="Y843" s="81" t="n"/>
      <c r="Z843" s="82" t="n"/>
      <c r="AA843" s="81" t="n"/>
      <c r="AB843" s="82" t="n"/>
      <c r="AC843" s="87">
        <f>IF(OR($D843="",$M843="Rejected",$M843="Withdrawn",$M843="Accepted"),"",IF(ISNUMBER($O843),IF(INT($O843)&lt;TODAY(),"FOLLOW UP REQUIRED",IF(INT($O843)=TODAY(),"ACTION DUE TODAY",IF(INT($O843)-TODAY()&lt;=Set_DueSoonDays,"DUE SOON",""))),IF(AND($M843="Applied",$AA843=""),IF(ISNUMBER($C843),IF(TODAY()-$C843&gt;=Set_FollowUpDays,"NO RESPONSE",""),""),"")))</f>
        <v/>
      </c>
      <c r="AD843" s="87">
        <f>IF(ISNUMBER($L843),IF($L843&gt;=90,"Excellent Match",IF($L843&gt;=75,"Strong Match",IF($L843&gt;=60,"Moderate Match","Low Match"))),"")</f>
        <v/>
      </c>
      <c r="AE843" s="87">
        <f>IF($D843="","",IF(OR($M843="Rejected",$M843="Withdrawn"),IF($AB843&lt;&gt;"",$AB843,IF(OR($M843="Rejected",ISNUMBER($C843)),"Applied","Wishlist")),IF($M843="",IF(ISNUMBER($C843),"Applied","Wishlist"),$M843)))</f>
        <v/>
      </c>
      <c r="AF843" s="88">
        <f>IF(AND(ISNUMBER($C843),ISNUMBER($AA843)),$AA843-$C843,"")</f>
        <v/>
      </c>
      <c r="AG843" s="87">
        <f>IF($AE843="","",IFERROR(MATCH($AE843,{"Wishlist","Applied","Screening","Interview 1","Interview 2","Final","Offer","Accepted"},0)-1,""))</f>
        <v/>
      </c>
      <c r="AH843" s="87">
        <f>IF($AC843="","",MATCH($AC843,{"FOLLOW UP REQUIRED","ACTION DUE TODAY","NO RESPONSE","DUE SOON"},0)*100000+IF(ISNUMBER($O843),$O843,IF(ISNUMBER($C843),$C843,0))+ROW()/10000)</f>
        <v/>
      </c>
      <c r="AI843" s="87">
        <f>IF(AND(ISNUMBER($AG843),$AG843&gt;=1,$AG843&lt;=6,$M843&lt;&gt;"Rejected",$M843&lt;&gt;"Withdrawn"),(10-$AG843)*100000+IF(ISNUMBER($C843),$C843,0)+ROW()/10000,"")</f>
        <v/>
      </c>
    </row>
    <row r="844">
      <c r="A844" s="80" t="n"/>
      <c r="B844" s="81" t="n"/>
      <c r="C844" s="81" t="n"/>
      <c r="D844" s="82" t="n"/>
      <c r="E844" s="82" t="n"/>
      <c r="F844" s="82" t="n"/>
      <c r="G844" s="82" t="n"/>
      <c r="H844" s="82" t="n"/>
      <c r="I844" s="83" t="n"/>
      <c r="J844" s="82" t="n"/>
      <c r="K844" s="84" t="n"/>
      <c r="L844" s="85" t="n"/>
      <c r="M844" s="82" t="n"/>
      <c r="N844" s="86" t="n"/>
      <c r="O844" s="81" t="n"/>
      <c r="P844" s="82" t="n"/>
      <c r="Q844" s="83" t="n"/>
      <c r="R844" s="82" t="n"/>
      <c r="S844" s="84" t="n"/>
      <c r="T844" s="84" t="n"/>
      <c r="U844" s="82" t="n"/>
      <c r="V844" s="86" t="n"/>
      <c r="W844" s="86" t="n"/>
      <c r="X844" s="86" t="n"/>
      <c r="Y844" s="81" t="n"/>
      <c r="Z844" s="82" t="n"/>
      <c r="AA844" s="81" t="n"/>
      <c r="AB844" s="82" t="n"/>
      <c r="AC844" s="87">
        <f>IF(OR($D844="",$M844="Rejected",$M844="Withdrawn",$M844="Accepted"),"",IF(ISNUMBER($O844),IF(INT($O844)&lt;TODAY(),"FOLLOW UP REQUIRED",IF(INT($O844)=TODAY(),"ACTION DUE TODAY",IF(INT($O844)-TODAY()&lt;=Set_DueSoonDays,"DUE SOON",""))),IF(AND($M844="Applied",$AA844=""),IF(ISNUMBER($C844),IF(TODAY()-$C844&gt;=Set_FollowUpDays,"NO RESPONSE",""),""),"")))</f>
        <v/>
      </c>
      <c r="AD844" s="87">
        <f>IF(ISNUMBER($L844),IF($L844&gt;=90,"Excellent Match",IF($L844&gt;=75,"Strong Match",IF($L844&gt;=60,"Moderate Match","Low Match"))),"")</f>
        <v/>
      </c>
      <c r="AE844" s="87">
        <f>IF($D844="","",IF(OR($M844="Rejected",$M844="Withdrawn"),IF($AB844&lt;&gt;"",$AB844,IF(OR($M844="Rejected",ISNUMBER($C844)),"Applied","Wishlist")),IF($M844="",IF(ISNUMBER($C844),"Applied","Wishlist"),$M844)))</f>
        <v/>
      </c>
      <c r="AF844" s="88">
        <f>IF(AND(ISNUMBER($C844),ISNUMBER($AA844)),$AA844-$C844,"")</f>
        <v/>
      </c>
      <c r="AG844" s="87">
        <f>IF($AE844="","",IFERROR(MATCH($AE844,{"Wishlist","Applied","Screening","Interview 1","Interview 2","Final","Offer","Accepted"},0)-1,""))</f>
        <v/>
      </c>
      <c r="AH844" s="87">
        <f>IF($AC844="","",MATCH($AC844,{"FOLLOW UP REQUIRED","ACTION DUE TODAY","NO RESPONSE","DUE SOON"},0)*100000+IF(ISNUMBER($O844),$O844,IF(ISNUMBER($C844),$C844,0))+ROW()/10000)</f>
        <v/>
      </c>
      <c r="AI844" s="87">
        <f>IF(AND(ISNUMBER($AG844),$AG844&gt;=1,$AG844&lt;=6,$M844&lt;&gt;"Rejected",$M844&lt;&gt;"Withdrawn"),(10-$AG844)*100000+IF(ISNUMBER($C844),$C844,0)+ROW()/10000,"")</f>
        <v/>
      </c>
    </row>
    <row r="845">
      <c r="A845" s="80" t="n"/>
      <c r="B845" s="81" t="n"/>
      <c r="C845" s="81" t="n"/>
      <c r="D845" s="82" t="n"/>
      <c r="E845" s="82" t="n"/>
      <c r="F845" s="82" t="n"/>
      <c r="G845" s="82" t="n"/>
      <c r="H845" s="82" t="n"/>
      <c r="I845" s="83" t="n"/>
      <c r="J845" s="82" t="n"/>
      <c r="K845" s="84" t="n"/>
      <c r="L845" s="85" t="n"/>
      <c r="M845" s="82" t="n"/>
      <c r="N845" s="86" t="n"/>
      <c r="O845" s="81" t="n"/>
      <c r="P845" s="82" t="n"/>
      <c r="Q845" s="83" t="n"/>
      <c r="R845" s="82" t="n"/>
      <c r="S845" s="84" t="n"/>
      <c r="T845" s="84" t="n"/>
      <c r="U845" s="82" t="n"/>
      <c r="V845" s="86" t="n"/>
      <c r="W845" s="86" t="n"/>
      <c r="X845" s="86" t="n"/>
      <c r="Y845" s="81" t="n"/>
      <c r="Z845" s="82" t="n"/>
      <c r="AA845" s="81" t="n"/>
      <c r="AB845" s="82" t="n"/>
      <c r="AC845" s="87">
        <f>IF(OR($D845="",$M845="Rejected",$M845="Withdrawn",$M845="Accepted"),"",IF(ISNUMBER($O845),IF(INT($O845)&lt;TODAY(),"FOLLOW UP REQUIRED",IF(INT($O845)=TODAY(),"ACTION DUE TODAY",IF(INT($O845)-TODAY()&lt;=Set_DueSoonDays,"DUE SOON",""))),IF(AND($M845="Applied",$AA845=""),IF(ISNUMBER($C845),IF(TODAY()-$C845&gt;=Set_FollowUpDays,"NO RESPONSE",""),""),"")))</f>
        <v/>
      </c>
      <c r="AD845" s="87">
        <f>IF(ISNUMBER($L845),IF($L845&gt;=90,"Excellent Match",IF($L845&gt;=75,"Strong Match",IF($L845&gt;=60,"Moderate Match","Low Match"))),"")</f>
        <v/>
      </c>
      <c r="AE845" s="87">
        <f>IF($D845="","",IF(OR($M845="Rejected",$M845="Withdrawn"),IF($AB845&lt;&gt;"",$AB845,IF(OR($M845="Rejected",ISNUMBER($C845)),"Applied","Wishlist")),IF($M845="",IF(ISNUMBER($C845),"Applied","Wishlist"),$M845)))</f>
        <v/>
      </c>
      <c r="AF845" s="88">
        <f>IF(AND(ISNUMBER($C845),ISNUMBER($AA845)),$AA845-$C845,"")</f>
        <v/>
      </c>
      <c r="AG845" s="87">
        <f>IF($AE845="","",IFERROR(MATCH($AE845,{"Wishlist","Applied","Screening","Interview 1","Interview 2","Final","Offer","Accepted"},0)-1,""))</f>
        <v/>
      </c>
      <c r="AH845" s="87">
        <f>IF($AC845="","",MATCH($AC845,{"FOLLOW UP REQUIRED","ACTION DUE TODAY","NO RESPONSE","DUE SOON"},0)*100000+IF(ISNUMBER($O845),$O845,IF(ISNUMBER($C845),$C845,0))+ROW()/10000)</f>
        <v/>
      </c>
      <c r="AI845" s="87">
        <f>IF(AND(ISNUMBER($AG845),$AG845&gt;=1,$AG845&lt;=6,$M845&lt;&gt;"Rejected",$M845&lt;&gt;"Withdrawn"),(10-$AG845)*100000+IF(ISNUMBER($C845),$C845,0)+ROW()/10000,"")</f>
        <v/>
      </c>
    </row>
    <row r="846">
      <c r="A846" s="80" t="n"/>
      <c r="B846" s="81" t="n"/>
      <c r="C846" s="81" t="n"/>
      <c r="D846" s="82" t="n"/>
      <c r="E846" s="82" t="n"/>
      <c r="F846" s="82" t="n"/>
      <c r="G846" s="82" t="n"/>
      <c r="H846" s="82" t="n"/>
      <c r="I846" s="83" t="n"/>
      <c r="J846" s="82" t="n"/>
      <c r="K846" s="84" t="n"/>
      <c r="L846" s="85" t="n"/>
      <c r="M846" s="82" t="n"/>
      <c r="N846" s="86" t="n"/>
      <c r="O846" s="81" t="n"/>
      <c r="P846" s="82" t="n"/>
      <c r="Q846" s="83" t="n"/>
      <c r="R846" s="82" t="n"/>
      <c r="S846" s="84" t="n"/>
      <c r="T846" s="84" t="n"/>
      <c r="U846" s="82" t="n"/>
      <c r="V846" s="86" t="n"/>
      <c r="W846" s="86" t="n"/>
      <c r="X846" s="86" t="n"/>
      <c r="Y846" s="81" t="n"/>
      <c r="Z846" s="82" t="n"/>
      <c r="AA846" s="81" t="n"/>
      <c r="AB846" s="82" t="n"/>
      <c r="AC846" s="87">
        <f>IF(OR($D846="",$M846="Rejected",$M846="Withdrawn",$M846="Accepted"),"",IF(ISNUMBER($O846),IF(INT($O846)&lt;TODAY(),"FOLLOW UP REQUIRED",IF(INT($O846)=TODAY(),"ACTION DUE TODAY",IF(INT($O846)-TODAY()&lt;=Set_DueSoonDays,"DUE SOON",""))),IF(AND($M846="Applied",$AA846=""),IF(ISNUMBER($C846),IF(TODAY()-$C846&gt;=Set_FollowUpDays,"NO RESPONSE",""),""),"")))</f>
        <v/>
      </c>
      <c r="AD846" s="87">
        <f>IF(ISNUMBER($L846),IF($L846&gt;=90,"Excellent Match",IF($L846&gt;=75,"Strong Match",IF($L846&gt;=60,"Moderate Match","Low Match"))),"")</f>
        <v/>
      </c>
      <c r="AE846" s="87">
        <f>IF($D846="","",IF(OR($M846="Rejected",$M846="Withdrawn"),IF($AB846&lt;&gt;"",$AB846,IF(OR($M846="Rejected",ISNUMBER($C846)),"Applied","Wishlist")),IF($M846="",IF(ISNUMBER($C846),"Applied","Wishlist"),$M846)))</f>
        <v/>
      </c>
      <c r="AF846" s="88">
        <f>IF(AND(ISNUMBER($C846),ISNUMBER($AA846)),$AA846-$C846,"")</f>
        <v/>
      </c>
      <c r="AG846" s="87">
        <f>IF($AE846="","",IFERROR(MATCH($AE846,{"Wishlist","Applied","Screening","Interview 1","Interview 2","Final","Offer","Accepted"},0)-1,""))</f>
        <v/>
      </c>
      <c r="AH846" s="87">
        <f>IF($AC846="","",MATCH($AC846,{"FOLLOW UP REQUIRED","ACTION DUE TODAY","NO RESPONSE","DUE SOON"},0)*100000+IF(ISNUMBER($O846),$O846,IF(ISNUMBER($C846),$C846,0))+ROW()/10000)</f>
        <v/>
      </c>
      <c r="AI846" s="87">
        <f>IF(AND(ISNUMBER($AG846),$AG846&gt;=1,$AG846&lt;=6,$M846&lt;&gt;"Rejected",$M846&lt;&gt;"Withdrawn"),(10-$AG846)*100000+IF(ISNUMBER($C846),$C846,0)+ROW()/10000,"")</f>
        <v/>
      </c>
    </row>
    <row r="847">
      <c r="A847" s="80" t="n"/>
      <c r="B847" s="81" t="n"/>
      <c r="C847" s="81" t="n"/>
      <c r="D847" s="82" t="n"/>
      <c r="E847" s="82" t="n"/>
      <c r="F847" s="82" t="n"/>
      <c r="G847" s="82" t="n"/>
      <c r="H847" s="82" t="n"/>
      <c r="I847" s="83" t="n"/>
      <c r="J847" s="82" t="n"/>
      <c r="K847" s="84" t="n"/>
      <c r="L847" s="85" t="n"/>
      <c r="M847" s="82" t="n"/>
      <c r="N847" s="86" t="n"/>
      <c r="O847" s="81" t="n"/>
      <c r="P847" s="82" t="n"/>
      <c r="Q847" s="83" t="n"/>
      <c r="R847" s="82" t="n"/>
      <c r="S847" s="84" t="n"/>
      <c r="T847" s="84" t="n"/>
      <c r="U847" s="82" t="n"/>
      <c r="V847" s="86" t="n"/>
      <c r="W847" s="86" t="n"/>
      <c r="X847" s="86" t="n"/>
      <c r="Y847" s="81" t="n"/>
      <c r="Z847" s="82" t="n"/>
      <c r="AA847" s="81" t="n"/>
      <c r="AB847" s="82" t="n"/>
      <c r="AC847" s="87">
        <f>IF(OR($D847="",$M847="Rejected",$M847="Withdrawn",$M847="Accepted"),"",IF(ISNUMBER($O847),IF(INT($O847)&lt;TODAY(),"FOLLOW UP REQUIRED",IF(INT($O847)=TODAY(),"ACTION DUE TODAY",IF(INT($O847)-TODAY()&lt;=Set_DueSoonDays,"DUE SOON",""))),IF(AND($M847="Applied",$AA847=""),IF(ISNUMBER($C847),IF(TODAY()-$C847&gt;=Set_FollowUpDays,"NO RESPONSE",""),""),"")))</f>
        <v/>
      </c>
      <c r="AD847" s="87">
        <f>IF(ISNUMBER($L847),IF($L847&gt;=90,"Excellent Match",IF($L847&gt;=75,"Strong Match",IF($L847&gt;=60,"Moderate Match","Low Match"))),"")</f>
        <v/>
      </c>
      <c r="AE847" s="87">
        <f>IF($D847="","",IF(OR($M847="Rejected",$M847="Withdrawn"),IF($AB847&lt;&gt;"",$AB847,IF(OR($M847="Rejected",ISNUMBER($C847)),"Applied","Wishlist")),IF($M847="",IF(ISNUMBER($C847),"Applied","Wishlist"),$M847)))</f>
        <v/>
      </c>
      <c r="AF847" s="88">
        <f>IF(AND(ISNUMBER($C847),ISNUMBER($AA847)),$AA847-$C847,"")</f>
        <v/>
      </c>
      <c r="AG847" s="87">
        <f>IF($AE847="","",IFERROR(MATCH($AE847,{"Wishlist","Applied","Screening","Interview 1","Interview 2","Final","Offer","Accepted"},0)-1,""))</f>
        <v/>
      </c>
      <c r="AH847" s="87">
        <f>IF($AC847="","",MATCH($AC847,{"FOLLOW UP REQUIRED","ACTION DUE TODAY","NO RESPONSE","DUE SOON"},0)*100000+IF(ISNUMBER($O847),$O847,IF(ISNUMBER($C847),$C847,0))+ROW()/10000)</f>
        <v/>
      </c>
      <c r="AI847" s="87">
        <f>IF(AND(ISNUMBER($AG847),$AG847&gt;=1,$AG847&lt;=6,$M847&lt;&gt;"Rejected",$M847&lt;&gt;"Withdrawn"),(10-$AG847)*100000+IF(ISNUMBER($C847),$C847,0)+ROW()/10000,"")</f>
        <v/>
      </c>
    </row>
    <row r="848">
      <c r="A848" s="80" t="n"/>
      <c r="B848" s="81" t="n"/>
      <c r="C848" s="81" t="n"/>
      <c r="D848" s="82" t="n"/>
      <c r="E848" s="82" t="n"/>
      <c r="F848" s="82" t="n"/>
      <c r="G848" s="82" t="n"/>
      <c r="H848" s="82" t="n"/>
      <c r="I848" s="83" t="n"/>
      <c r="J848" s="82" t="n"/>
      <c r="K848" s="84" t="n"/>
      <c r="L848" s="85" t="n"/>
      <c r="M848" s="82" t="n"/>
      <c r="N848" s="86" t="n"/>
      <c r="O848" s="81" t="n"/>
      <c r="P848" s="82" t="n"/>
      <c r="Q848" s="83" t="n"/>
      <c r="R848" s="82" t="n"/>
      <c r="S848" s="84" t="n"/>
      <c r="T848" s="84" t="n"/>
      <c r="U848" s="82" t="n"/>
      <c r="V848" s="86" t="n"/>
      <c r="W848" s="86" t="n"/>
      <c r="X848" s="86" t="n"/>
      <c r="Y848" s="81" t="n"/>
      <c r="Z848" s="82" t="n"/>
      <c r="AA848" s="81" t="n"/>
      <c r="AB848" s="82" t="n"/>
      <c r="AC848" s="87">
        <f>IF(OR($D848="",$M848="Rejected",$M848="Withdrawn",$M848="Accepted"),"",IF(ISNUMBER($O848),IF(INT($O848)&lt;TODAY(),"FOLLOW UP REQUIRED",IF(INT($O848)=TODAY(),"ACTION DUE TODAY",IF(INT($O848)-TODAY()&lt;=Set_DueSoonDays,"DUE SOON",""))),IF(AND($M848="Applied",$AA848=""),IF(ISNUMBER($C848),IF(TODAY()-$C848&gt;=Set_FollowUpDays,"NO RESPONSE",""),""),"")))</f>
        <v/>
      </c>
      <c r="AD848" s="87">
        <f>IF(ISNUMBER($L848),IF($L848&gt;=90,"Excellent Match",IF($L848&gt;=75,"Strong Match",IF($L848&gt;=60,"Moderate Match","Low Match"))),"")</f>
        <v/>
      </c>
      <c r="AE848" s="87">
        <f>IF($D848="","",IF(OR($M848="Rejected",$M848="Withdrawn"),IF($AB848&lt;&gt;"",$AB848,IF(OR($M848="Rejected",ISNUMBER($C848)),"Applied","Wishlist")),IF($M848="",IF(ISNUMBER($C848),"Applied","Wishlist"),$M848)))</f>
        <v/>
      </c>
      <c r="AF848" s="88">
        <f>IF(AND(ISNUMBER($C848),ISNUMBER($AA848)),$AA848-$C848,"")</f>
        <v/>
      </c>
      <c r="AG848" s="87">
        <f>IF($AE848="","",IFERROR(MATCH($AE848,{"Wishlist","Applied","Screening","Interview 1","Interview 2","Final","Offer","Accepted"},0)-1,""))</f>
        <v/>
      </c>
      <c r="AH848" s="87">
        <f>IF($AC848="","",MATCH($AC848,{"FOLLOW UP REQUIRED","ACTION DUE TODAY","NO RESPONSE","DUE SOON"},0)*100000+IF(ISNUMBER($O848),$O848,IF(ISNUMBER($C848),$C848,0))+ROW()/10000)</f>
        <v/>
      </c>
      <c r="AI848" s="87">
        <f>IF(AND(ISNUMBER($AG848),$AG848&gt;=1,$AG848&lt;=6,$M848&lt;&gt;"Rejected",$M848&lt;&gt;"Withdrawn"),(10-$AG848)*100000+IF(ISNUMBER($C848),$C848,0)+ROW()/10000,"")</f>
        <v/>
      </c>
    </row>
    <row r="849">
      <c r="A849" s="80" t="n"/>
      <c r="B849" s="81" t="n"/>
      <c r="C849" s="81" t="n"/>
      <c r="D849" s="82" t="n"/>
      <c r="E849" s="82" t="n"/>
      <c r="F849" s="82" t="n"/>
      <c r="G849" s="82" t="n"/>
      <c r="H849" s="82" t="n"/>
      <c r="I849" s="83" t="n"/>
      <c r="J849" s="82" t="n"/>
      <c r="K849" s="84" t="n"/>
      <c r="L849" s="85" t="n"/>
      <c r="M849" s="82" t="n"/>
      <c r="N849" s="86" t="n"/>
      <c r="O849" s="81" t="n"/>
      <c r="P849" s="82" t="n"/>
      <c r="Q849" s="83" t="n"/>
      <c r="R849" s="82" t="n"/>
      <c r="S849" s="84" t="n"/>
      <c r="T849" s="84" t="n"/>
      <c r="U849" s="82" t="n"/>
      <c r="V849" s="86" t="n"/>
      <c r="W849" s="86" t="n"/>
      <c r="X849" s="86" t="n"/>
      <c r="Y849" s="81" t="n"/>
      <c r="Z849" s="82" t="n"/>
      <c r="AA849" s="81" t="n"/>
      <c r="AB849" s="82" t="n"/>
      <c r="AC849" s="87">
        <f>IF(OR($D849="",$M849="Rejected",$M849="Withdrawn",$M849="Accepted"),"",IF(ISNUMBER($O849),IF(INT($O849)&lt;TODAY(),"FOLLOW UP REQUIRED",IF(INT($O849)=TODAY(),"ACTION DUE TODAY",IF(INT($O849)-TODAY()&lt;=Set_DueSoonDays,"DUE SOON",""))),IF(AND($M849="Applied",$AA849=""),IF(ISNUMBER($C849),IF(TODAY()-$C849&gt;=Set_FollowUpDays,"NO RESPONSE",""),""),"")))</f>
        <v/>
      </c>
      <c r="AD849" s="87">
        <f>IF(ISNUMBER($L849),IF($L849&gt;=90,"Excellent Match",IF($L849&gt;=75,"Strong Match",IF($L849&gt;=60,"Moderate Match","Low Match"))),"")</f>
        <v/>
      </c>
      <c r="AE849" s="87">
        <f>IF($D849="","",IF(OR($M849="Rejected",$M849="Withdrawn"),IF($AB849&lt;&gt;"",$AB849,IF(OR($M849="Rejected",ISNUMBER($C849)),"Applied","Wishlist")),IF($M849="",IF(ISNUMBER($C849),"Applied","Wishlist"),$M849)))</f>
        <v/>
      </c>
      <c r="AF849" s="88">
        <f>IF(AND(ISNUMBER($C849),ISNUMBER($AA849)),$AA849-$C849,"")</f>
        <v/>
      </c>
      <c r="AG849" s="87">
        <f>IF($AE849="","",IFERROR(MATCH($AE849,{"Wishlist","Applied","Screening","Interview 1","Interview 2","Final","Offer","Accepted"},0)-1,""))</f>
        <v/>
      </c>
      <c r="AH849" s="87">
        <f>IF($AC849="","",MATCH($AC849,{"FOLLOW UP REQUIRED","ACTION DUE TODAY","NO RESPONSE","DUE SOON"},0)*100000+IF(ISNUMBER($O849),$O849,IF(ISNUMBER($C849),$C849,0))+ROW()/10000)</f>
        <v/>
      </c>
      <c r="AI849" s="87">
        <f>IF(AND(ISNUMBER($AG849),$AG849&gt;=1,$AG849&lt;=6,$M849&lt;&gt;"Rejected",$M849&lt;&gt;"Withdrawn"),(10-$AG849)*100000+IF(ISNUMBER($C849),$C849,0)+ROW()/10000,"")</f>
        <v/>
      </c>
    </row>
    <row r="850">
      <c r="A850" s="80" t="n"/>
      <c r="B850" s="81" t="n"/>
      <c r="C850" s="81" t="n"/>
      <c r="D850" s="82" t="n"/>
      <c r="E850" s="82" t="n"/>
      <c r="F850" s="82" t="n"/>
      <c r="G850" s="82" t="n"/>
      <c r="H850" s="82" t="n"/>
      <c r="I850" s="83" t="n"/>
      <c r="J850" s="82" t="n"/>
      <c r="K850" s="84" t="n"/>
      <c r="L850" s="85" t="n"/>
      <c r="M850" s="82" t="n"/>
      <c r="N850" s="86" t="n"/>
      <c r="O850" s="81" t="n"/>
      <c r="P850" s="82" t="n"/>
      <c r="Q850" s="83" t="n"/>
      <c r="R850" s="82" t="n"/>
      <c r="S850" s="84" t="n"/>
      <c r="T850" s="84" t="n"/>
      <c r="U850" s="82" t="n"/>
      <c r="V850" s="86" t="n"/>
      <c r="W850" s="86" t="n"/>
      <c r="X850" s="86" t="n"/>
      <c r="Y850" s="81" t="n"/>
      <c r="Z850" s="82" t="n"/>
      <c r="AA850" s="81" t="n"/>
      <c r="AB850" s="82" t="n"/>
      <c r="AC850" s="87">
        <f>IF(OR($D850="",$M850="Rejected",$M850="Withdrawn",$M850="Accepted"),"",IF(ISNUMBER($O850),IF(INT($O850)&lt;TODAY(),"FOLLOW UP REQUIRED",IF(INT($O850)=TODAY(),"ACTION DUE TODAY",IF(INT($O850)-TODAY()&lt;=Set_DueSoonDays,"DUE SOON",""))),IF(AND($M850="Applied",$AA850=""),IF(ISNUMBER($C850),IF(TODAY()-$C850&gt;=Set_FollowUpDays,"NO RESPONSE",""),""),"")))</f>
        <v/>
      </c>
      <c r="AD850" s="87">
        <f>IF(ISNUMBER($L850),IF($L850&gt;=90,"Excellent Match",IF($L850&gt;=75,"Strong Match",IF($L850&gt;=60,"Moderate Match","Low Match"))),"")</f>
        <v/>
      </c>
      <c r="AE850" s="87">
        <f>IF($D850="","",IF(OR($M850="Rejected",$M850="Withdrawn"),IF($AB850&lt;&gt;"",$AB850,IF(OR($M850="Rejected",ISNUMBER($C850)),"Applied","Wishlist")),IF($M850="",IF(ISNUMBER($C850),"Applied","Wishlist"),$M850)))</f>
        <v/>
      </c>
      <c r="AF850" s="88">
        <f>IF(AND(ISNUMBER($C850),ISNUMBER($AA850)),$AA850-$C850,"")</f>
        <v/>
      </c>
      <c r="AG850" s="87">
        <f>IF($AE850="","",IFERROR(MATCH($AE850,{"Wishlist","Applied","Screening","Interview 1","Interview 2","Final","Offer","Accepted"},0)-1,""))</f>
        <v/>
      </c>
      <c r="AH850" s="87">
        <f>IF($AC850="","",MATCH($AC850,{"FOLLOW UP REQUIRED","ACTION DUE TODAY","NO RESPONSE","DUE SOON"},0)*100000+IF(ISNUMBER($O850),$O850,IF(ISNUMBER($C850),$C850,0))+ROW()/10000)</f>
        <v/>
      </c>
      <c r="AI850" s="87">
        <f>IF(AND(ISNUMBER($AG850),$AG850&gt;=1,$AG850&lt;=6,$M850&lt;&gt;"Rejected",$M850&lt;&gt;"Withdrawn"),(10-$AG850)*100000+IF(ISNUMBER($C850),$C850,0)+ROW()/10000,"")</f>
        <v/>
      </c>
    </row>
    <row r="851">
      <c r="A851" s="80" t="n"/>
      <c r="B851" s="81" t="n"/>
      <c r="C851" s="81" t="n"/>
      <c r="D851" s="82" t="n"/>
      <c r="E851" s="82" t="n"/>
      <c r="F851" s="82" t="n"/>
      <c r="G851" s="82" t="n"/>
      <c r="H851" s="82" t="n"/>
      <c r="I851" s="83" t="n"/>
      <c r="J851" s="82" t="n"/>
      <c r="K851" s="84" t="n"/>
      <c r="L851" s="85" t="n"/>
      <c r="M851" s="82" t="n"/>
      <c r="N851" s="86" t="n"/>
      <c r="O851" s="81" t="n"/>
      <c r="P851" s="82" t="n"/>
      <c r="Q851" s="83" t="n"/>
      <c r="R851" s="82" t="n"/>
      <c r="S851" s="84" t="n"/>
      <c r="T851" s="84" t="n"/>
      <c r="U851" s="82" t="n"/>
      <c r="V851" s="86" t="n"/>
      <c r="W851" s="86" t="n"/>
      <c r="X851" s="86" t="n"/>
      <c r="Y851" s="81" t="n"/>
      <c r="Z851" s="82" t="n"/>
      <c r="AA851" s="81" t="n"/>
      <c r="AB851" s="82" t="n"/>
      <c r="AC851" s="87">
        <f>IF(OR($D851="",$M851="Rejected",$M851="Withdrawn",$M851="Accepted"),"",IF(ISNUMBER($O851),IF(INT($O851)&lt;TODAY(),"FOLLOW UP REQUIRED",IF(INT($O851)=TODAY(),"ACTION DUE TODAY",IF(INT($O851)-TODAY()&lt;=Set_DueSoonDays,"DUE SOON",""))),IF(AND($M851="Applied",$AA851=""),IF(ISNUMBER($C851),IF(TODAY()-$C851&gt;=Set_FollowUpDays,"NO RESPONSE",""),""),"")))</f>
        <v/>
      </c>
      <c r="AD851" s="87">
        <f>IF(ISNUMBER($L851),IF($L851&gt;=90,"Excellent Match",IF($L851&gt;=75,"Strong Match",IF($L851&gt;=60,"Moderate Match","Low Match"))),"")</f>
        <v/>
      </c>
      <c r="AE851" s="87">
        <f>IF($D851="","",IF(OR($M851="Rejected",$M851="Withdrawn"),IF($AB851&lt;&gt;"",$AB851,IF(OR($M851="Rejected",ISNUMBER($C851)),"Applied","Wishlist")),IF($M851="",IF(ISNUMBER($C851),"Applied","Wishlist"),$M851)))</f>
        <v/>
      </c>
      <c r="AF851" s="88">
        <f>IF(AND(ISNUMBER($C851),ISNUMBER($AA851)),$AA851-$C851,"")</f>
        <v/>
      </c>
      <c r="AG851" s="87">
        <f>IF($AE851="","",IFERROR(MATCH($AE851,{"Wishlist","Applied","Screening","Interview 1","Interview 2","Final","Offer","Accepted"},0)-1,""))</f>
        <v/>
      </c>
      <c r="AH851" s="87">
        <f>IF($AC851="","",MATCH($AC851,{"FOLLOW UP REQUIRED","ACTION DUE TODAY","NO RESPONSE","DUE SOON"},0)*100000+IF(ISNUMBER($O851),$O851,IF(ISNUMBER($C851),$C851,0))+ROW()/10000)</f>
        <v/>
      </c>
      <c r="AI851" s="87">
        <f>IF(AND(ISNUMBER($AG851),$AG851&gt;=1,$AG851&lt;=6,$M851&lt;&gt;"Rejected",$M851&lt;&gt;"Withdrawn"),(10-$AG851)*100000+IF(ISNUMBER($C851),$C851,0)+ROW()/10000,"")</f>
        <v/>
      </c>
    </row>
    <row r="852">
      <c r="A852" s="80" t="n"/>
      <c r="B852" s="81" t="n"/>
      <c r="C852" s="81" t="n"/>
      <c r="D852" s="82" t="n"/>
      <c r="E852" s="82" t="n"/>
      <c r="F852" s="82" t="n"/>
      <c r="G852" s="82" t="n"/>
      <c r="H852" s="82" t="n"/>
      <c r="I852" s="83" t="n"/>
      <c r="J852" s="82" t="n"/>
      <c r="K852" s="84" t="n"/>
      <c r="L852" s="85" t="n"/>
      <c r="M852" s="82" t="n"/>
      <c r="N852" s="86" t="n"/>
      <c r="O852" s="81" t="n"/>
      <c r="P852" s="82" t="n"/>
      <c r="Q852" s="83" t="n"/>
      <c r="R852" s="82" t="n"/>
      <c r="S852" s="84" t="n"/>
      <c r="T852" s="84" t="n"/>
      <c r="U852" s="82" t="n"/>
      <c r="V852" s="86" t="n"/>
      <c r="W852" s="86" t="n"/>
      <c r="X852" s="86" t="n"/>
      <c r="Y852" s="81" t="n"/>
      <c r="Z852" s="82" t="n"/>
      <c r="AA852" s="81" t="n"/>
      <c r="AB852" s="82" t="n"/>
      <c r="AC852" s="87">
        <f>IF(OR($D852="",$M852="Rejected",$M852="Withdrawn",$M852="Accepted"),"",IF(ISNUMBER($O852),IF(INT($O852)&lt;TODAY(),"FOLLOW UP REQUIRED",IF(INT($O852)=TODAY(),"ACTION DUE TODAY",IF(INT($O852)-TODAY()&lt;=Set_DueSoonDays,"DUE SOON",""))),IF(AND($M852="Applied",$AA852=""),IF(ISNUMBER($C852),IF(TODAY()-$C852&gt;=Set_FollowUpDays,"NO RESPONSE",""),""),"")))</f>
        <v/>
      </c>
      <c r="AD852" s="87">
        <f>IF(ISNUMBER($L852),IF($L852&gt;=90,"Excellent Match",IF($L852&gt;=75,"Strong Match",IF($L852&gt;=60,"Moderate Match","Low Match"))),"")</f>
        <v/>
      </c>
      <c r="AE852" s="87">
        <f>IF($D852="","",IF(OR($M852="Rejected",$M852="Withdrawn"),IF($AB852&lt;&gt;"",$AB852,IF(OR($M852="Rejected",ISNUMBER($C852)),"Applied","Wishlist")),IF($M852="",IF(ISNUMBER($C852),"Applied","Wishlist"),$M852)))</f>
        <v/>
      </c>
      <c r="AF852" s="88">
        <f>IF(AND(ISNUMBER($C852),ISNUMBER($AA852)),$AA852-$C852,"")</f>
        <v/>
      </c>
      <c r="AG852" s="87">
        <f>IF($AE852="","",IFERROR(MATCH($AE852,{"Wishlist","Applied","Screening","Interview 1","Interview 2","Final","Offer","Accepted"},0)-1,""))</f>
        <v/>
      </c>
      <c r="AH852" s="87">
        <f>IF($AC852="","",MATCH($AC852,{"FOLLOW UP REQUIRED","ACTION DUE TODAY","NO RESPONSE","DUE SOON"},0)*100000+IF(ISNUMBER($O852),$O852,IF(ISNUMBER($C852),$C852,0))+ROW()/10000)</f>
        <v/>
      </c>
      <c r="AI852" s="87">
        <f>IF(AND(ISNUMBER($AG852),$AG852&gt;=1,$AG852&lt;=6,$M852&lt;&gt;"Rejected",$M852&lt;&gt;"Withdrawn"),(10-$AG852)*100000+IF(ISNUMBER($C852),$C852,0)+ROW()/10000,"")</f>
        <v/>
      </c>
    </row>
    <row r="853">
      <c r="A853" s="80" t="n"/>
      <c r="B853" s="81" t="n"/>
      <c r="C853" s="81" t="n"/>
      <c r="D853" s="82" t="n"/>
      <c r="E853" s="82" t="n"/>
      <c r="F853" s="82" t="n"/>
      <c r="G853" s="82" t="n"/>
      <c r="H853" s="82" t="n"/>
      <c r="I853" s="83" t="n"/>
      <c r="J853" s="82" t="n"/>
      <c r="K853" s="84" t="n"/>
      <c r="L853" s="85" t="n"/>
      <c r="M853" s="82" t="n"/>
      <c r="N853" s="86" t="n"/>
      <c r="O853" s="81" t="n"/>
      <c r="P853" s="82" t="n"/>
      <c r="Q853" s="83" t="n"/>
      <c r="R853" s="82" t="n"/>
      <c r="S853" s="84" t="n"/>
      <c r="T853" s="84" t="n"/>
      <c r="U853" s="82" t="n"/>
      <c r="V853" s="86" t="n"/>
      <c r="W853" s="86" t="n"/>
      <c r="X853" s="86" t="n"/>
      <c r="Y853" s="81" t="n"/>
      <c r="Z853" s="82" t="n"/>
      <c r="AA853" s="81" t="n"/>
      <c r="AB853" s="82" t="n"/>
      <c r="AC853" s="87">
        <f>IF(OR($D853="",$M853="Rejected",$M853="Withdrawn",$M853="Accepted"),"",IF(ISNUMBER($O853),IF(INT($O853)&lt;TODAY(),"FOLLOW UP REQUIRED",IF(INT($O853)=TODAY(),"ACTION DUE TODAY",IF(INT($O853)-TODAY()&lt;=Set_DueSoonDays,"DUE SOON",""))),IF(AND($M853="Applied",$AA853=""),IF(ISNUMBER($C853),IF(TODAY()-$C853&gt;=Set_FollowUpDays,"NO RESPONSE",""),""),"")))</f>
        <v/>
      </c>
      <c r="AD853" s="87">
        <f>IF(ISNUMBER($L853),IF($L853&gt;=90,"Excellent Match",IF($L853&gt;=75,"Strong Match",IF($L853&gt;=60,"Moderate Match","Low Match"))),"")</f>
        <v/>
      </c>
      <c r="AE853" s="87">
        <f>IF($D853="","",IF(OR($M853="Rejected",$M853="Withdrawn"),IF($AB853&lt;&gt;"",$AB853,IF(OR($M853="Rejected",ISNUMBER($C853)),"Applied","Wishlist")),IF($M853="",IF(ISNUMBER($C853),"Applied","Wishlist"),$M853)))</f>
        <v/>
      </c>
      <c r="AF853" s="88">
        <f>IF(AND(ISNUMBER($C853),ISNUMBER($AA853)),$AA853-$C853,"")</f>
        <v/>
      </c>
      <c r="AG853" s="87">
        <f>IF($AE853="","",IFERROR(MATCH($AE853,{"Wishlist","Applied","Screening","Interview 1","Interview 2","Final","Offer","Accepted"},0)-1,""))</f>
        <v/>
      </c>
      <c r="AH853" s="87">
        <f>IF($AC853="","",MATCH($AC853,{"FOLLOW UP REQUIRED","ACTION DUE TODAY","NO RESPONSE","DUE SOON"},0)*100000+IF(ISNUMBER($O853),$O853,IF(ISNUMBER($C853),$C853,0))+ROW()/10000)</f>
        <v/>
      </c>
      <c r="AI853" s="87">
        <f>IF(AND(ISNUMBER($AG853),$AG853&gt;=1,$AG853&lt;=6,$M853&lt;&gt;"Rejected",$M853&lt;&gt;"Withdrawn"),(10-$AG853)*100000+IF(ISNUMBER($C853),$C853,0)+ROW()/10000,"")</f>
        <v/>
      </c>
    </row>
    <row r="854">
      <c r="A854" s="80" t="n"/>
      <c r="B854" s="81" t="n"/>
      <c r="C854" s="81" t="n"/>
      <c r="D854" s="82" t="n"/>
      <c r="E854" s="82" t="n"/>
      <c r="F854" s="82" t="n"/>
      <c r="G854" s="82" t="n"/>
      <c r="H854" s="82" t="n"/>
      <c r="I854" s="83" t="n"/>
      <c r="J854" s="82" t="n"/>
      <c r="K854" s="84" t="n"/>
      <c r="L854" s="85" t="n"/>
      <c r="M854" s="82" t="n"/>
      <c r="N854" s="86" t="n"/>
      <c r="O854" s="81" t="n"/>
      <c r="P854" s="82" t="n"/>
      <c r="Q854" s="83" t="n"/>
      <c r="R854" s="82" t="n"/>
      <c r="S854" s="84" t="n"/>
      <c r="T854" s="84" t="n"/>
      <c r="U854" s="82" t="n"/>
      <c r="V854" s="86" t="n"/>
      <c r="W854" s="86" t="n"/>
      <c r="X854" s="86" t="n"/>
      <c r="Y854" s="81" t="n"/>
      <c r="Z854" s="82" t="n"/>
      <c r="AA854" s="81" t="n"/>
      <c r="AB854" s="82" t="n"/>
      <c r="AC854" s="87">
        <f>IF(OR($D854="",$M854="Rejected",$M854="Withdrawn",$M854="Accepted"),"",IF(ISNUMBER($O854),IF(INT($O854)&lt;TODAY(),"FOLLOW UP REQUIRED",IF(INT($O854)=TODAY(),"ACTION DUE TODAY",IF(INT($O854)-TODAY()&lt;=Set_DueSoonDays,"DUE SOON",""))),IF(AND($M854="Applied",$AA854=""),IF(ISNUMBER($C854),IF(TODAY()-$C854&gt;=Set_FollowUpDays,"NO RESPONSE",""),""),"")))</f>
        <v/>
      </c>
      <c r="AD854" s="87">
        <f>IF(ISNUMBER($L854),IF($L854&gt;=90,"Excellent Match",IF($L854&gt;=75,"Strong Match",IF($L854&gt;=60,"Moderate Match","Low Match"))),"")</f>
        <v/>
      </c>
      <c r="AE854" s="87">
        <f>IF($D854="","",IF(OR($M854="Rejected",$M854="Withdrawn"),IF($AB854&lt;&gt;"",$AB854,IF(OR($M854="Rejected",ISNUMBER($C854)),"Applied","Wishlist")),IF($M854="",IF(ISNUMBER($C854),"Applied","Wishlist"),$M854)))</f>
        <v/>
      </c>
      <c r="AF854" s="88">
        <f>IF(AND(ISNUMBER($C854),ISNUMBER($AA854)),$AA854-$C854,"")</f>
        <v/>
      </c>
      <c r="AG854" s="87">
        <f>IF($AE854="","",IFERROR(MATCH($AE854,{"Wishlist","Applied","Screening","Interview 1","Interview 2","Final","Offer","Accepted"},0)-1,""))</f>
        <v/>
      </c>
      <c r="AH854" s="87">
        <f>IF($AC854="","",MATCH($AC854,{"FOLLOW UP REQUIRED","ACTION DUE TODAY","NO RESPONSE","DUE SOON"},0)*100000+IF(ISNUMBER($O854),$O854,IF(ISNUMBER($C854),$C854,0))+ROW()/10000)</f>
        <v/>
      </c>
      <c r="AI854" s="87">
        <f>IF(AND(ISNUMBER($AG854),$AG854&gt;=1,$AG854&lt;=6,$M854&lt;&gt;"Rejected",$M854&lt;&gt;"Withdrawn"),(10-$AG854)*100000+IF(ISNUMBER($C854),$C854,0)+ROW()/10000,"")</f>
        <v/>
      </c>
    </row>
    <row r="855">
      <c r="A855" s="80" t="n"/>
      <c r="B855" s="81" t="n"/>
      <c r="C855" s="81" t="n"/>
      <c r="D855" s="82" t="n"/>
      <c r="E855" s="82" t="n"/>
      <c r="F855" s="82" t="n"/>
      <c r="G855" s="82" t="n"/>
      <c r="H855" s="82" t="n"/>
      <c r="I855" s="83" t="n"/>
      <c r="J855" s="82" t="n"/>
      <c r="K855" s="84" t="n"/>
      <c r="L855" s="85" t="n"/>
      <c r="M855" s="82" t="n"/>
      <c r="N855" s="86" t="n"/>
      <c r="O855" s="81" t="n"/>
      <c r="P855" s="82" t="n"/>
      <c r="Q855" s="83" t="n"/>
      <c r="R855" s="82" t="n"/>
      <c r="S855" s="84" t="n"/>
      <c r="T855" s="84" t="n"/>
      <c r="U855" s="82" t="n"/>
      <c r="V855" s="86" t="n"/>
      <c r="W855" s="86" t="n"/>
      <c r="X855" s="86" t="n"/>
      <c r="Y855" s="81" t="n"/>
      <c r="Z855" s="82" t="n"/>
      <c r="AA855" s="81" t="n"/>
      <c r="AB855" s="82" t="n"/>
      <c r="AC855" s="87">
        <f>IF(OR($D855="",$M855="Rejected",$M855="Withdrawn",$M855="Accepted"),"",IF(ISNUMBER($O855),IF(INT($O855)&lt;TODAY(),"FOLLOW UP REQUIRED",IF(INT($O855)=TODAY(),"ACTION DUE TODAY",IF(INT($O855)-TODAY()&lt;=Set_DueSoonDays,"DUE SOON",""))),IF(AND($M855="Applied",$AA855=""),IF(ISNUMBER($C855),IF(TODAY()-$C855&gt;=Set_FollowUpDays,"NO RESPONSE",""),""),"")))</f>
        <v/>
      </c>
      <c r="AD855" s="87">
        <f>IF(ISNUMBER($L855),IF($L855&gt;=90,"Excellent Match",IF($L855&gt;=75,"Strong Match",IF($L855&gt;=60,"Moderate Match","Low Match"))),"")</f>
        <v/>
      </c>
      <c r="AE855" s="87">
        <f>IF($D855="","",IF(OR($M855="Rejected",$M855="Withdrawn"),IF($AB855&lt;&gt;"",$AB855,IF(OR($M855="Rejected",ISNUMBER($C855)),"Applied","Wishlist")),IF($M855="",IF(ISNUMBER($C855),"Applied","Wishlist"),$M855)))</f>
        <v/>
      </c>
      <c r="AF855" s="88">
        <f>IF(AND(ISNUMBER($C855),ISNUMBER($AA855)),$AA855-$C855,"")</f>
        <v/>
      </c>
      <c r="AG855" s="87">
        <f>IF($AE855="","",IFERROR(MATCH($AE855,{"Wishlist","Applied","Screening","Interview 1","Interview 2","Final","Offer","Accepted"},0)-1,""))</f>
        <v/>
      </c>
      <c r="AH855" s="87">
        <f>IF($AC855="","",MATCH($AC855,{"FOLLOW UP REQUIRED","ACTION DUE TODAY","NO RESPONSE","DUE SOON"},0)*100000+IF(ISNUMBER($O855),$O855,IF(ISNUMBER($C855),$C855,0))+ROW()/10000)</f>
        <v/>
      </c>
      <c r="AI855" s="87">
        <f>IF(AND(ISNUMBER($AG855),$AG855&gt;=1,$AG855&lt;=6,$M855&lt;&gt;"Rejected",$M855&lt;&gt;"Withdrawn"),(10-$AG855)*100000+IF(ISNUMBER($C855),$C855,0)+ROW()/10000,"")</f>
        <v/>
      </c>
    </row>
    <row r="856">
      <c r="A856" s="80" t="n"/>
      <c r="B856" s="81" t="n"/>
      <c r="C856" s="81" t="n"/>
      <c r="D856" s="82" t="n"/>
      <c r="E856" s="82" t="n"/>
      <c r="F856" s="82" t="n"/>
      <c r="G856" s="82" t="n"/>
      <c r="H856" s="82" t="n"/>
      <c r="I856" s="83" t="n"/>
      <c r="J856" s="82" t="n"/>
      <c r="K856" s="84" t="n"/>
      <c r="L856" s="85" t="n"/>
      <c r="M856" s="82" t="n"/>
      <c r="N856" s="86" t="n"/>
      <c r="O856" s="81" t="n"/>
      <c r="P856" s="82" t="n"/>
      <c r="Q856" s="83" t="n"/>
      <c r="R856" s="82" t="n"/>
      <c r="S856" s="84" t="n"/>
      <c r="T856" s="84" t="n"/>
      <c r="U856" s="82" t="n"/>
      <c r="V856" s="86" t="n"/>
      <c r="W856" s="86" t="n"/>
      <c r="X856" s="86" t="n"/>
      <c r="Y856" s="81" t="n"/>
      <c r="Z856" s="82" t="n"/>
      <c r="AA856" s="81" t="n"/>
      <c r="AB856" s="82" t="n"/>
      <c r="AC856" s="87">
        <f>IF(OR($D856="",$M856="Rejected",$M856="Withdrawn",$M856="Accepted"),"",IF(ISNUMBER($O856),IF(INT($O856)&lt;TODAY(),"FOLLOW UP REQUIRED",IF(INT($O856)=TODAY(),"ACTION DUE TODAY",IF(INT($O856)-TODAY()&lt;=Set_DueSoonDays,"DUE SOON",""))),IF(AND($M856="Applied",$AA856=""),IF(ISNUMBER($C856),IF(TODAY()-$C856&gt;=Set_FollowUpDays,"NO RESPONSE",""),""),"")))</f>
        <v/>
      </c>
      <c r="AD856" s="87">
        <f>IF(ISNUMBER($L856),IF($L856&gt;=90,"Excellent Match",IF($L856&gt;=75,"Strong Match",IF($L856&gt;=60,"Moderate Match","Low Match"))),"")</f>
        <v/>
      </c>
      <c r="AE856" s="87">
        <f>IF($D856="","",IF(OR($M856="Rejected",$M856="Withdrawn"),IF($AB856&lt;&gt;"",$AB856,IF(OR($M856="Rejected",ISNUMBER($C856)),"Applied","Wishlist")),IF($M856="",IF(ISNUMBER($C856),"Applied","Wishlist"),$M856)))</f>
        <v/>
      </c>
      <c r="AF856" s="88">
        <f>IF(AND(ISNUMBER($C856),ISNUMBER($AA856)),$AA856-$C856,"")</f>
        <v/>
      </c>
      <c r="AG856" s="87">
        <f>IF($AE856="","",IFERROR(MATCH($AE856,{"Wishlist","Applied","Screening","Interview 1","Interview 2","Final","Offer","Accepted"},0)-1,""))</f>
        <v/>
      </c>
      <c r="AH856" s="87">
        <f>IF($AC856="","",MATCH($AC856,{"FOLLOW UP REQUIRED","ACTION DUE TODAY","NO RESPONSE","DUE SOON"},0)*100000+IF(ISNUMBER($O856),$O856,IF(ISNUMBER($C856),$C856,0))+ROW()/10000)</f>
        <v/>
      </c>
      <c r="AI856" s="87">
        <f>IF(AND(ISNUMBER($AG856),$AG856&gt;=1,$AG856&lt;=6,$M856&lt;&gt;"Rejected",$M856&lt;&gt;"Withdrawn"),(10-$AG856)*100000+IF(ISNUMBER($C856),$C856,0)+ROW()/10000,"")</f>
        <v/>
      </c>
    </row>
    <row r="857">
      <c r="A857" s="80" t="n"/>
      <c r="B857" s="81" t="n"/>
      <c r="C857" s="81" t="n"/>
      <c r="D857" s="82" t="n"/>
      <c r="E857" s="82" t="n"/>
      <c r="F857" s="82" t="n"/>
      <c r="G857" s="82" t="n"/>
      <c r="H857" s="82" t="n"/>
      <c r="I857" s="83" t="n"/>
      <c r="J857" s="82" t="n"/>
      <c r="K857" s="84" t="n"/>
      <c r="L857" s="85" t="n"/>
      <c r="M857" s="82" t="n"/>
      <c r="N857" s="86" t="n"/>
      <c r="O857" s="81" t="n"/>
      <c r="P857" s="82" t="n"/>
      <c r="Q857" s="83" t="n"/>
      <c r="R857" s="82" t="n"/>
      <c r="S857" s="84" t="n"/>
      <c r="T857" s="84" t="n"/>
      <c r="U857" s="82" t="n"/>
      <c r="V857" s="86" t="n"/>
      <c r="W857" s="86" t="n"/>
      <c r="X857" s="86" t="n"/>
      <c r="Y857" s="81" t="n"/>
      <c r="Z857" s="82" t="n"/>
      <c r="AA857" s="81" t="n"/>
      <c r="AB857" s="82" t="n"/>
      <c r="AC857" s="87">
        <f>IF(OR($D857="",$M857="Rejected",$M857="Withdrawn",$M857="Accepted"),"",IF(ISNUMBER($O857),IF(INT($O857)&lt;TODAY(),"FOLLOW UP REQUIRED",IF(INT($O857)=TODAY(),"ACTION DUE TODAY",IF(INT($O857)-TODAY()&lt;=Set_DueSoonDays,"DUE SOON",""))),IF(AND($M857="Applied",$AA857=""),IF(ISNUMBER($C857),IF(TODAY()-$C857&gt;=Set_FollowUpDays,"NO RESPONSE",""),""),"")))</f>
        <v/>
      </c>
      <c r="AD857" s="87">
        <f>IF(ISNUMBER($L857),IF($L857&gt;=90,"Excellent Match",IF($L857&gt;=75,"Strong Match",IF($L857&gt;=60,"Moderate Match","Low Match"))),"")</f>
        <v/>
      </c>
      <c r="AE857" s="87">
        <f>IF($D857="","",IF(OR($M857="Rejected",$M857="Withdrawn"),IF($AB857&lt;&gt;"",$AB857,IF(OR($M857="Rejected",ISNUMBER($C857)),"Applied","Wishlist")),IF($M857="",IF(ISNUMBER($C857),"Applied","Wishlist"),$M857)))</f>
        <v/>
      </c>
      <c r="AF857" s="88">
        <f>IF(AND(ISNUMBER($C857),ISNUMBER($AA857)),$AA857-$C857,"")</f>
        <v/>
      </c>
      <c r="AG857" s="87">
        <f>IF($AE857="","",IFERROR(MATCH($AE857,{"Wishlist","Applied","Screening","Interview 1","Interview 2","Final","Offer","Accepted"},0)-1,""))</f>
        <v/>
      </c>
      <c r="AH857" s="87">
        <f>IF($AC857="","",MATCH($AC857,{"FOLLOW UP REQUIRED","ACTION DUE TODAY","NO RESPONSE","DUE SOON"},0)*100000+IF(ISNUMBER($O857),$O857,IF(ISNUMBER($C857),$C857,0))+ROW()/10000)</f>
        <v/>
      </c>
      <c r="AI857" s="87">
        <f>IF(AND(ISNUMBER($AG857),$AG857&gt;=1,$AG857&lt;=6,$M857&lt;&gt;"Rejected",$M857&lt;&gt;"Withdrawn"),(10-$AG857)*100000+IF(ISNUMBER($C857),$C857,0)+ROW()/10000,"")</f>
        <v/>
      </c>
    </row>
    <row r="858">
      <c r="A858" s="80" t="n"/>
      <c r="B858" s="81" t="n"/>
      <c r="C858" s="81" t="n"/>
      <c r="D858" s="82" t="n"/>
      <c r="E858" s="82" t="n"/>
      <c r="F858" s="82" t="n"/>
      <c r="G858" s="82" t="n"/>
      <c r="H858" s="82" t="n"/>
      <c r="I858" s="83" t="n"/>
      <c r="J858" s="82" t="n"/>
      <c r="K858" s="84" t="n"/>
      <c r="L858" s="85" t="n"/>
      <c r="M858" s="82" t="n"/>
      <c r="N858" s="86" t="n"/>
      <c r="O858" s="81" t="n"/>
      <c r="P858" s="82" t="n"/>
      <c r="Q858" s="83" t="n"/>
      <c r="R858" s="82" t="n"/>
      <c r="S858" s="84" t="n"/>
      <c r="T858" s="84" t="n"/>
      <c r="U858" s="82" t="n"/>
      <c r="V858" s="86" t="n"/>
      <c r="W858" s="86" t="n"/>
      <c r="X858" s="86" t="n"/>
      <c r="Y858" s="81" t="n"/>
      <c r="Z858" s="82" t="n"/>
      <c r="AA858" s="81" t="n"/>
      <c r="AB858" s="82" t="n"/>
      <c r="AC858" s="87">
        <f>IF(OR($D858="",$M858="Rejected",$M858="Withdrawn",$M858="Accepted"),"",IF(ISNUMBER($O858),IF(INT($O858)&lt;TODAY(),"FOLLOW UP REQUIRED",IF(INT($O858)=TODAY(),"ACTION DUE TODAY",IF(INT($O858)-TODAY()&lt;=Set_DueSoonDays,"DUE SOON",""))),IF(AND($M858="Applied",$AA858=""),IF(ISNUMBER($C858),IF(TODAY()-$C858&gt;=Set_FollowUpDays,"NO RESPONSE",""),""),"")))</f>
        <v/>
      </c>
      <c r="AD858" s="87">
        <f>IF(ISNUMBER($L858),IF($L858&gt;=90,"Excellent Match",IF($L858&gt;=75,"Strong Match",IF($L858&gt;=60,"Moderate Match","Low Match"))),"")</f>
        <v/>
      </c>
      <c r="AE858" s="87">
        <f>IF($D858="","",IF(OR($M858="Rejected",$M858="Withdrawn"),IF($AB858&lt;&gt;"",$AB858,IF(OR($M858="Rejected",ISNUMBER($C858)),"Applied","Wishlist")),IF($M858="",IF(ISNUMBER($C858),"Applied","Wishlist"),$M858)))</f>
        <v/>
      </c>
      <c r="AF858" s="88">
        <f>IF(AND(ISNUMBER($C858),ISNUMBER($AA858)),$AA858-$C858,"")</f>
        <v/>
      </c>
      <c r="AG858" s="87">
        <f>IF($AE858="","",IFERROR(MATCH($AE858,{"Wishlist","Applied","Screening","Interview 1","Interview 2","Final","Offer","Accepted"},0)-1,""))</f>
        <v/>
      </c>
      <c r="AH858" s="87">
        <f>IF($AC858="","",MATCH($AC858,{"FOLLOW UP REQUIRED","ACTION DUE TODAY","NO RESPONSE","DUE SOON"},0)*100000+IF(ISNUMBER($O858),$O858,IF(ISNUMBER($C858),$C858,0))+ROW()/10000)</f>
        <v/>
      </c>
      <c r="AI858" s="87">
        <f>IF(AND(ISNUMBER($AG858),$AG858&gt;=1,$AG858&lt;=6,$M858&lt;&gt;"Rejected",$M858&lt;&gt;"Withdrawn"),(10-$AG858)*100000+IF(ISNUMBER($C858),$C858,0)+ROW()/10000,"")</f>
        <v/>
      </c>
    </row>
    <row r="859">
      <c r="A859" s="80" t="n"/>
      <c r="B859" s="81" t="n"/>
      <c r="C859" s="81" t="n"/>
      <c r="D859" s="82" t="n"/>
      <c r="E859" s="82" t="n"/>
      <c r="F859" s="82" t="n"/>
      <c r="G859" s="82" t="n"/>
      <c r="H859" s="82" t="n"/>
      <c r="I859" s="83" t="n"/>
      <c r="J859" s="82" t="n"/>
      <c r="K859" s="84" t="n"/>
      <c r="L859" s="85" t="n"/>
      <c r="M859" s="82" t="n"/>
      <c r="N859" s="86" t="n"/>
      <c r="O859" s="81" t="n"/>
      <c r="P859" s="82" t="n"/>
      <c r="Q859" s="83" t="n"/>
      <c r="R859" s="82" t="n"/>
      <c r="S859" s="84" t="n"/>
      <c r="T859" s="84" t="n"/>
      <c r="U859" s="82" t="n"/>
      <c r="V859" s="86" t="n"/>
      <c r="W859" s="86" t="n"/>
      <c r="X859" s="86" t="n"/>
      <c r="Y859" s="81" t="n"/>
      <c r="Z859" s="82" t="n"/>
      <c r="AA859" s="81" t="n"/>
      <c r="AB859" s="82" t="n"/>
      <c r="AC859" s="87">
        <f>IF(OR($D859="",$M859="Rejected",$M859="Withdrawn",$M859="Accepted"),"",IF(ISNUMBER($O859),IF(INT($O859)&lt;TODAY(),"FOLLOW UP REQUIRED",IF(INT($O859)=TODAY(),"ACTION DUE TODAY",IF(INT($O859)-TODAY()&lt;=Set_DueSoonDays,"DUE SOON",""))),IF(AND($M859="Applied",$AA859=""),IF(ISNUMBER($C859),IF(TODAY()-$C859&gt;=Set_FollowUpDays,"NO RESPONSE",""),""),"")))</f>
        <v/>
      </c>
      <c r="AD859" s="87">
        <f>IF(ISNUMBER($L859),IF($L859&gt;=90,"Excellent Match",IF($L859&gt;=75,"Strong Match",IF($L859&gt;=60,"Moderate Match","Low Match"))),"")</f>
        <v/>
      </c>
      <c r="AE859" s="87">
        <f>IF($D859="","",IF(OR($M859="Rejected",$M859="Withdrawn"),IF($AB859&lt;&gt;"",$AB859,IF(OR($M859="Rejected",ISNUMBER($C859)),"Applied","Wishlist")),IF($M859="",IF(ISNUMBER($C859),"Applied","Wishlist"),$M859)))</f>
        <v/>
      </c>
      <c r="AF859" s="88">
        <f>IF(AND(ISNUMBER($C859),ISNUMBER($AA859)),$AA859-$C859,"")</f>
        <v/>
      </c>
      <c r="AG859" s="87">
        <f>IF($AE859="","",IFERROR(MATCH($AE859,{"Wishlist","Applied","Screening","Interview 1","Interview 2","Final","Offer","Accepted"},0)-1,""))</f>
        <v/>
      </c>
      <c r="AH859" s="87">
        <f>IF($AC859="","",MATCH($AC859,{"FOLLOW UP REQUIRED","ACTION DUE TODAY","NO RESPONSE","DUE SOON"},0)*100000+IF(ISNUMBER($O859),$O859,IF(ISNUMBER($C859),$C859,0))+ROW()/10000)</f>
        <v/>
      </c>
      <c r="AI859" s="87">
        <f>IF(AND(ISNUMBER($AG859),$AG859&gt;=1,$AG859&lt;=6,$M859&lt;&gt;"Rejected",$M859&lt;&gt;"Withdrawn"),(10-$AG859)*100000+IF(ISNUMBER($C859),$C859,0)+ROW()/10000,"")</f>
        <v/>
      </c>
    </row>
    <row r="860">
      <c r="A860" s="80" t="n"/>
      <c r="B860" s="81" t="n"/>
      <c r="C860" s="81" t="n"/>
      <c r="D860" s="82" t="n"/>
      <c r="E860" s="82" t="n"/>
      <c r="F860" s="82" t="n"/>
      <c r="G860" s="82" t="n"/>
      <c r="H860" s="82" t="n"/>
      <c r="I860" s="83" t="n"/>
      <c r="J860" s="82" t="n"/>
      <c r="K860" s="84" t="n"/>
      <c r="L860" s="85" t="n"/>
      <c r="M860" s="82" t="n"/>
      <c r="N860" s="86" t="n"/>
      <c r="O860" s="81" t="n"/>
      <c r="P860" s="82" t="n"/>
      <c r="Q860" s="83" t="n"/>
      <c r="R860" s="82" t="n"/>
      <c r="S860" s="84" t="n"/>
      <c r="T860" s="84" t="n"/>
      <c r="U860" s="82" t="n"/>
      <c r="V860" s="86" t="n"/>
      <c r="W860" s="86" t="n"/>
      <c r="X860" s="86" t="n"/>
      <c r="Y860" s="81" t="n"/>
      <c r="Z860" s="82" t="n"/>
      <c r="AA860" s="81" t="n"/>
      <c r="AB860" s="82" t="n"/>
      <c r="AC860" s="87">
        <f>IF(OR($D860="",$M860="Rejected",$M860="Withdrawn",$M860="Accepted"),"",IF(ISNUMBER($O860),IF(INT($O860)&lt;TODAY(),"FOLLOW UP REQUIRED",IF(INT($O860)=TODAY(),"ACTION DUE TODAY",IF(INT($O860)-TODAY()&lt;=Set_DueSoonDays,"DUE SOON",""))),IF(AND($M860="Applied",$AA860=""),IF(ISNUMBER($C860),IF(TODAY()-$C860&gt;=Set_FollowUpDays,"NO RESPONSE",""),""),"")))</f>
        <v/>
      </c>
      <c r="AD860" s="87">
        <f>IF(ISNUMBER($L860),IF($L860&gt;=90,"Excellent Match",IF($L860&gt;=75,"Strong Match",IF($L860&gt;=60,"Moderate Match","Low Match"))),"")</f>
        <v/>
      </c>
      <c r="AE860" s="87">
        <f>IF($D860="","",IF(OR($M860="Rejected",$M860="Withdrawn"),IF($AB860&lt;&gt;"",$AB860,IF(OR($M860="Rejected",ISNUMBER($C860)),"Applied","Wishlist")),IF($M860="",IF(ISNUMBER($C860),"Applied","Wishlist"),$M860)))</f>
        <v/>
      </c>
      <c r="AF860" s="88">
        <f>IF(AND(ISNUMBER($C860),ISNUMBER($AA860)),$AA860-$C860,"")</f>
        <v/>
      </c>
      <c r="AG860" s="87">
        <f>IF($AE860="","",IFERROR(MATCH($AE860,{"Wishlist","Applied","Screening","Interview 1","Interview 2","Final","Offer","Accepted"},0)-1,""))</f>
        <v/>
      </c>
      <c r="AH860" s="87">
        <f>IF($AC860="","",MATCH($AC860,{"FOLLOW UP REQUIRED","ACTION DUE TODAY","NO RESPONSE","DUE SOON"},0)*100000+IF(ISNUMBER($O860),$O860,IF(ISNUMBER($C860),$C860,0))+ROW()/10000)</f>
        <v/>
      </c>
      <c r="AI860" s="87">
        <f>IF(AND(ISNUMBER($AG860),$AG860&gt;=1,$AG860&lt;=6,$M860&lt;&gt;"Rejected",$M860&lt;&gt;"Withdrawn"),(10-$AG860)*100000+IF(ISNUMBER($C860),$C860,0)+ROW()/10000,"")</f>
        <v/>
      </c>
    </row>
    <row r="861">
      <c r="A861" s="80" t="n"/>
      <c r="B861" s="81" t="n"/>
      <c r="C861" s="81" t="n"/>
      <c r="D861" s="82" t="n"/>
      <c r="E861" s="82" t="n"/>
      <c r="F861" s="82" t="n"/>
      <c r="G861" s="82" t="n"/>
      <c r="H861" s="82" t="n"/>
      <c r="I861" s="83" t="n"/>
      <c r="J861" s="82" t="n"/>
      <c r="K861" s="84" t="n"/>
      <c r="L861" s="85" t="n"/>
      <c r="M861" s="82" t="n"/>
      <c r="N861" s="86" t="n"/>
      <c r="O861" s="81" t="n"/>
      <c r="P861" s="82" t="n"/>
      <c r="Q861" s="83" t="n"/>
      <c r="R861" s="82" t="n"/>
      <c r="S861" s="84" t="n"/>
      <c r="T861" s="84" t="n"/>
      <c r="U861" s="82" t="n"/>
      <c r="V861" s="86" t="n"/>
      <c r="W861" s="86" t="n"/>
      <c r="X861" s="86" t="n"/>
      <c r="Y861" s="81" t="n"/>
      <c r="Z861" s="82" t="n"/>
      <c r="AA861" s="81" t="n"/>
      <c r="AB861" s="82" t="n"/>
      <c r="AC861" s="87">
        <f>IF(OR($D861="",$M861="Rejected",$M861="Withdrawn",$M861="Accepted"),"",IF(ISNUMBER($O861),IF(INT($O861)&lt;TODAY(),"FOLLOW UP REQUIRED",IF(INT($O861)=TODAY(),"ACTION DUE TODAY",IF(INT($O861)-TODAY()&lt;=Set_DueSoonDays,"DUE SOON",""))),IF(AND($M861="Applied",$AA861=""),IF(ISNUMBER($C861),IF(TODAY()-$C861&gt;=Set_FollowUpDays,"NO RESPONSE",""),""),"")))</f>
        <v/>
      </c>
      <c r="AD861" s="87">
        <f>IF(ISNUMBER($L861),IF($L861&gt;=90,"Excellent Match",IF($L861&gt;=75,"Strong Match",IF($L861&gt;=60,"Moderate Match","Low Match"))),"")</f>
        <v/>
      </c>
      <c r="AE861" s="87">
        <f>IF($D861="","",IF(OR($M861="Rejected",$M861="Withdrawn"),IF($AB861&lt;&gt;"",$AB861,IF(OR($M861="Rejected",ISNUMBER($C861)),"Applied","Wishlist")),IF($M861="",IF(ISNUMBER($C861),"Applied","Wishlist"),$M861)))</f>
        <v/>
      </c>
      <c r="AF861" s="88">
        <f>IF(AND(ISNUMBER($C861),ISNUMBER($AA861)),$AA861-$C861,"")</f>
        <v/>
      </c>
      <c r="AG861" s="87">
        <f>IF($AE861="","",IFERROR(MATCH($AE861,{"Wishlist","Applied","Screening","Interview 1","Interview 2","Final","Offer","Accepted"},0)-1,""))</f>
        <v/>
      </c>
      <c r="AH861" s="87">
        <f>IF($AC861="","",MATCH($AC861,{"FOLLOW UP REQUIRED","ACTION DUE TODAY","NO RESPONSE","DUE SOON"},0)*100000+IF(ISNUMBER($O861),$O861,IF(ISNUMBER($C861),$C861,0))+ROW()/10000)</f>
        <v/>
      </c>
      <c r="AI861" s="87">
        <f>IF(AND(ISNUMBER($AG861),$AG861&gt;=1,$AG861&lt;=6,$M861&lt;&gt;"Rejected",$M861&lt;&gt;"Withdrawn"),(10-$AG861)*100000+IF(ISNUMBER($C861),$C861,0)+ROW()/10000,"")</f>
        <v/>
      </c>
    </row>
    <row r="862">
      <c r="A862" s="80" t="n"/>
      <c r="B862" s="81" t="n"/>
      <c r="C862" s="81" t="n"/>
      <c r="D862" s="82" t="n"/>
      <c r="E862" s="82" t="n"/>
      <c r="F862" s="82" t="n"/>
      <c r="G862" s="82" t="n"/>
      <c r="H862" s="82" t="n"/>
      <c r="I862" s="83" t="n"/>
      <c r="J862" s="82" t="n"/>
      <c r="K862" s="84" t="n"/>
      <c r="L862" s="85" t="n"/>
      <c r="M862" s="82" t="n"/>
      <c r="N862" s="86" t="n"/>
      <c r="O862" s="81" t="n"/>
      <c r="P862" s="82" t="n"/>
      <c r="Q862" s="83" t="n"/>
      <c r="R862" s="82" t="n"/>
      <c r="S862" s="84" t="n"/>
      <c r="T862" s="84" t="n"/>
      <c r="U862" s="82" t="n"/>
      <c r="V862" s="86" t="n"/>
      <c r="W862" s="86" t="n"/>
      <c r="X862" s="86" t="n"/>
      <c r="Y862" s="81" t="n"/>
      <c r="Z862" s="82" t="n"/>
      <c r="AA862" s="81" t="n"/>
      <c r="AB862" s="82" t="n"/>
      <c r="AC862" s="87">
        <f>IF(OR($D862="",$M862="Rejected",$M862="Withdrawn",$M862="Accepted"),"",IF(ISNUMBER($O862),IF(INT($O862)&lt;TODAY(),"FOLLOW UP REQUIRED",IF(INT($O862)=TODAY(),"ACTION DUE TODAY",IF(INT($O862)-TODAY()&lt;=Set_DueSoonDays,"DUE SOON",""))),IF(AND($M862="Applied",$AA862=""),IF(ISNUMBER($C862),IF(TODAY()-$C862&gt;=Set_FollowUpDays,"NO RESPONSE",""),""),"")))</f>
        <v/>
      </c>
      <c r="AD862" s="87">
        <f>IF(ISNUMBER($L862),IF($L862&gt;=90,"Excellent Match",IF($L862&gt;=75,"Strong Match",IF($L862&gt;=60,"Moderate Match","Low Match"))),"")</f>
        <v/>
      </c>
      <c r="AE862" s="87">
        <f>IF($D862="","",IF(OR($M862="Rejected",$M862="Withdrawn"),IF($AB862&lt;&gt;"",$AB862,IF(OR($M862="Rejected",ISNUMBER($C862)),"Applied","Wishlist")),IF($M862="",IF(ISNUMBER($C862),"Applied","Wishlist"),$M862)))</f>
        <v/>
      </c>
      <c r="AF862" s="88">
        <f>IF(AND(ISNUMBER($C862),ISNUMBER($AA862)),$AA862-$C862,"")</f>
        <v/>
      </c>
      <c r="AG862" s="87">
        <f>IF($AE862="","",IFERROR(MATCH($AE862,{"Wishlist","Applied","Screening","Interview 1","Interview 2","Final","Offer","Accepted"},0)-1,""))</f>
        <v/>
      </c>
      <c r="AH862" s="87">
        <f>IF($AC862="","",MATCH($AC862,{"FOLLOW UP REQUIRED","ACTION DUE TODAY","NO RESPONSE","DUE SOON"},0)*100000+IF(ISNUMBER($O862),$O862,IF(ISNUMBER($C862),$C862,0))+ROW()/10000)</f>
        <v/>
      </c>
      <c r="AI862" s="87">
        <f>IF(AND(ISNUMBER($AG862),$AG862&gt;=1,$AG862&lt;=6,$M862&lt;&gt;"Rejected",$M862&lt;&gt;"Withdrawn"),(10-$AG862)*100000+IF(ISNUMBER($C862),$C862,0)+ROW()/10000,"")</f>
        <v/>
      </c>
    </row>
    <row r="863">
      <c r="A863" s="80" t="n"/>
      <c r="B863" s="81" t="n"/>
      <c r="C863" s="81" t="n"/>
      <c r="D863" s="82" t="n"/>
      <c r="E863" s="82" t="n"/>
      <c r="F863" s="82" t="n"/>
      <c r="G863" s="82" t="n"/>
      <c r="H863" s="82" t="n"/>
      <c r="I863" s="83" t="n"/>
      <c r="J863" s="82" t="n"/>
      <c r="K863" s="84" t="n"/>
      <c r="L863" s="85" t="n"/>
      <c r="M863" s="82" t="n"/>
      <c r="N863" s="86" t="n"/>
      <c r="O863" s="81" t="n"/>
      <c r="P863" s="82" t="n"/>
      <c r="Q863" s="83" t="n"/>
      <c r="R863" s="82" t="n"/>
      <c r="S863" s="84" t="n"/>
      <c r="T863" s="84" t="n"/>
      <c r="U863" s="82" t="n"/>
      <c r="V863" s="86" t="n"/>
      <c r="W863" s="86" t="n"/>
      <c r="X863" s="86" t="n"/>
      <c r="Y863" s="81" t="n"/>
      <c r="Z863" s="82" t="n"/>
      <c r="AA863" s="81" t="n"/>
      <c r="AB863" s="82" t="n"/>
      <c r="AC863" s="87">
        <f>IF(OR($D863="",$M863="Rejected",$M863="Withdrawn",$M863="Accepted"),"",IF(ISNUMBER($O863),IF(INT($O863)&lt;TODAY(),"FOLLOW UP REQUIRED",IF(INT($O863)=TODAY(),"ACTION DUE TODAY",IF(INT($O863)-TODAY()&lt;=Set_DueSoonDays,"DUE SOON",""))),IF(AND($M863="Applied",$AA863=""),IF(ISNUMBER($C863),IF(TODAY()-$C863&gt;=Set_FollowUpDays,"NO RESPONSE",""),""),"")))</f>
        <v/>
      </c>
      <c r="AD863" s="87">
        <f>IF(ISNUMBER($L863),IF($L863&gt;=90,"Excellent Match",IF($L863&gt;=75,"Strong Match",IF($L863&gt;=60,"Moderate Match","Low Match"))),"")</f>
        <v/>
      </c>
      <c r="AE863" s="87">
        <f>IF($D863="","",IF(OR($M863="Rejected",$M863="Withdrawn"),IF($AB863&lt;&gt;"",$AB863,IF(OR($M863="Rejected",ISNUMBER($C863)),"Applied","Wishlist")),IF($M863="",IF(ISNUMBER($C863),"Applied","Wishlist"),$M863)))</f>
        <v/>
      </c>
      <c r="AF863" s="88">
        <f>IF(AND(ISNUMBER($C863),ISNUMBER($AA863)),$AA863-$C863,"")</f>
        <v/>
      </c>
      <c r="AG863" s="87">
        <f>IF($AE863="","",IFERROR(MATCH($AE863,{"Wishlist","Applied","Screening","Interview 1","Interview 2","Final","Offer","Accepted"},0)-1,""))</f>
        <v/>
      </c>
      <c r="AH863" s="87">
        <f>IF($AC863="","",MATCH($AC863,{"FOLLOW UP REQUIRED","ACTION DUE TODAY","NO RESPONSE","DUE SOON"},0)*100000+IF(ISNUMBER($O863),$O863,IF(ISNUMBER($C863),$C863,0))+ROW()/10000)</f>
        <v/>
      </c>
      <c r="AI863" s="87">
        <f>IF(AND(ISNUMBER($AG863),$AG863&gt;=1,$AG863&lt;=6,$M863&lt;&gt;"Rejected",$M863&lt;&gt;"Withdrawn"),(10-$AG863)*100000+IF(ISNUMBER($C863),$C863,0)+ROW()/10000,"")</f>
        <v/>
      </c>
    </row>
    <row r="864">
      <c r="A864" s="80" t="n"/>
      <c r="B864" s="81" t="n"/>
      <c r="C864" s="81" t="n"/>
      <c r="D864" s="82" t="n"/>
      <c r="E864" s="82" t="n"/>
      <c r="F864" s="82" t="n"/>
      <c r="G864" s="82" t="n"/>
      <c r="H864" s="82" t="n"/>
      <c r="I864" s="83" t="n"/>
      <c r="J864" s="82" t="n"/>
      <c r="K864" s="84" t="n"/>
      <c r="L864" s="85" t="n"/>
      <c r="M864" s="82" t="n"/>
      <c r="N864" s="86" t="n"/>
      <c r="O864" s="81" t="n"/>
      <c r="P864" s="82" t="n"/>
      <c r="Q864" s="83" t="n"/>
      <c r="R864" s="82" t="n"/>
      <c r="S864" s="84" t="n"/>
      <c r="T864" s="84" t="n"/>
      <c r="U864" s="82" t="n"/>
      <c r="V864" s="86" t="n"/>
      <c r="W864" s="86" t="n"/>
      <c r="X864" s="86" t="n"/>
      <c r="Y864" s="81" t="n"/>
      <c r="Z864" s="82" t="n"/>
      <c r="AA864" s="81" t="n"/>
      <c r="AB864" s="82" t="n"/>
      <c r="AC864" s="87">
        <f>IF(OR($D864="",$M864="Rejected",$M864="Withdrawn",$M864="Accepted"),"",IF(ISNUMBER($O864),IF(INT($O864)&lt;TODAY(),"FOLLOW UP REQUIRED",IF(INT($O864)=TODAY(),"ACTION DUE TODAY",IF(INT($O864)-TODAY()&lt;=Set_DueSoonDays,"DUE SOON",""))),IF(AND($M864="Applied",$AA864=""),IF(ISNUMBER($C864),IF(TODAY()-$C864&gt;=Set_FollowUpDays,"NO RESPONSE",""),""),"")))</f>
        <v/>
      </c>
      <c r="AD864" s="87">
        <f>IF(ISNUMBER($L864),IF($L864&gt;=90,"Excellent Match",IF($L864&gt;=75,"Strong Match",IF($L864&gt;=60,"Moderate Match","Low Match"))),"")</f>
        <v/>
      </c>
      <c r="AE864" s="87">
        <f>IF($D864="","",IF(OR($M864="Rejected",$M864="Withdrawn"),IF($AB864&lt;&gt;"",$AB864,IF(OR($M864="Rejected",ISNUMBER($C864)),"Applied","Wishlist")),IF($M864="",IF(ISNUMBER($C864),"Applied","Wishlist"),$M864)))</f>
        <v/>
      </c>
      <c r="AF864" s="88">
        <f>IF(AND(ISNUMBER($C864),ISNUMBER($AA864)),$AA864-$C864,"")</f>
        <v/>
      </c>
      <c r="AG864" s="87">
        <f>IF($AE864="","",IFERROR(MATCH($AE864,{"Wishlist","Applied","Screening","Interview 1","Interview 2","Final","Offer","Accepted"},0)-1,""))</f>
        <v/>
      </c>
      <c r="AH864" s="87">
        <f>IF($AC864="","",MATCH($AC864,{"FOLLOW UP REQUIRED","ACTION DUE TODAY","NO RESPONSE","DUE SOON"},0)*100000+IF(ISNUMBER($O864),$O864,IF(ISNUMBER($C864),$C864,0))+ROW()/10000)</f>
        <v/>
      </c>
      <c r="AI864" s="87">
        <f>IF(AND(ISNUMBER($AG864),$AG864&gt;=1,$AG864&lt;=6,$M864&lt;&gt;"Rejected",$M864&lt;&gt;"Withdrawn"),(10-$AG864)*100000+IF(ISNUMBER($C864),$C864,0)+ROW()/10000,"")</f>
        <v/>
      </c>
    </row>
    <row r="865">
      <c r="A865" s="80" t="n"/>
      <c r="B865" s="81" t="n"/>
      <c r="C865" s="81" t="n"/>
      <c r="D865" s="82" t="n"/>
      <c r="E865" s="82" t="n"/>
      <c r="F865" s="82" t="n"/>
      <c r="G865" s="82" t="n"/>
      <c r="H865" s="82" t="n"/>
      <c r="I865" s="83" t="n"/>
      <c r="J865" s="82" t="n"/>
      <c r="K865" s="84" t="n"/>
      <c r="L865" s="85" t="n"/>
      <c r="M865" s="82" t="n"/>
      <c r="N865" s="86" t="n"/>
      <c r="O865" s="81" t="n"/>
      <c r="P865" s="82" t="n"/>
      <c r="Q865" s="83" t="n"/>
      <c r="R865" s="82" t="n"/>
      <c r="S865" s="84" t="n"/>
      <c r="T865" s="84" t="n"/>
      <c r="U865" s="82" t="n"/>
      <c r="V865" s="86" t="n"/>
      <c r="W865" s="86" t="n"/>
      <c r="X865" s="86" t="n"/>
      <c r="Y865" s="81" t="n"/>
      <c r="Z865" s="82" t="n"/>
      <c r="AA865" s="81" t="n"/>
      <c r="AB865" s="82" t="n"/>
      <c r="AC865" s="87">
        <f>IF(OR($D865="",$M865="Rejected",$M865="Withdrawn",$M865="Accepted"),"",IF(ISNUMBER($O865),IF(INT($O865)&lt;TODAY(),"FOLLOW UP REQUIRED",IF(INT($O865)=TODAY(),"ACTION DUE TODAY",IF(INT($O865)-TODAY()&lt;=Set_DueSoonDays,"DUE SOON",""))),IF(AND($M865="Applied",$AA865=""),IF(ISNUMBER($C865),IF(TODAY()-$C865&gt;=Set_FollowUpDays,"NO RESPONSE",""),""),"")))</f>
        <v/>
      </c>
      <c r="AD865" s="87">
        <f>IF(ISNUMBER($L865),IF($L865&gt;=90,"Excellent Match",IF($L865&gt;=75,"Strong Match",IF($L865&gt;=60,"Moderate Match","Low Match"))),"")</f>
        <v/>
      </c>
      <c r="AE865" s="87">
        <f>IF($D865="","",IF(OR($M865="Rejected",$M865="Withdrawn"),IF($AB865&lt;&gt;"",$AB865,IF(OR($M865="Rejected",ISNUMBER($C865)),"Applied","Wishlist")),IF($M865="",IF(ISNUMBER($C865),"Applied","Wishlist"),$M865)))</f>
        <v/>
      </c>
      <c r="AF865" s="88">
        <f>IF(AND(ISNUMBER($C865),ISNUMBER($AA865)),$AA865-$C865,"")</f>
        <v/>
      </c>
      <c r="AG865" s="87">
        <f>IF($AE865="","",IFERROR(MATCH($AE865,{"Wishlist","Applied","Screening","Interview 1","Interview 2","Final","Offer","Accepted"},0)-1,""))</f>
        <v/>
      </c>
      <c r="AH865" s="87">
        <f>IF($AC865="","",MATCH($AC865,{"FOLLOW UP REQUIRED","ACTION DUE TODAY","NO RESPONSE","DUE SOON"},0)*100000+IF(ISNUMBER($O865),$O865,IF(ISNUMBER($C865),$C865,0))+ROW()/10000)</f>
        <v/>
      </c>
      <c r="AI865" s="87">
        <f>IF(AND(ISNUMBER($AG865),$AG865&gt;=1,$AG865&lt;=6,$M865&lt;&gt;"Rejected",$M865&lt;&gt;"Withdrawn"),(10-$AG865)*100000+IF(ISNUMBER($C865),$C865,0)+ROW()/10000,"")</f>
        <v/>
      </c>
    </row>
    <row r="866">
      <c r="A866" s="80" t="n"/>
      <c r="B866" s="81" t="n"/>
      <c r="C866" s="81" t="n"/>
      <c r="D866" s="82" t="n"/>
      <c r="E866" s="82" t="n"/>
      <c r="F866" s="82" t="n"/>
      <c r="G866" s="82" t="n"/>
      <c r="H866" s="82" t="n"/>
      <c r="I866" s="83" t="n"/>
      <c r="J866" s="82" t="n"/>
      <c r="K866" s="84" t="n"/>
      <c r="L866" s="85" t="n"/>
      <c r="M866" s="82" t="n"/>
      <c r="N866" s="86" t="n"/>
      <c r="O866" s="81" t="n"/>
      <c r="P866" s="82" t="n"/>
      <c r="Q866" s="83" t="n"/>
      <c r="R866" s="82" t="n"/>
      <c r="S866" s="84" t="n"/>
      <c r="T866" s="84" t="n"/>
      <c r="U866" s="82" t="n"/>
      <c r="V866" s="86" t="n"/>
      <c r="W866" s="86" t="n"/>
      <c r="X866" s="86" t="n"/>
      <c r="Y866" s="81" t="n"/>
      <c r="Z866" s="82" t="n"/>
      <c r="AA866" s="81" t="n"/>
      <c r="AB866" s="82" t="n"/>
      <c r="AC866" s="87">
        <f>IF(OR($D866="",$M866="Rejected",$M866="Withdrawn",$M866="Accepted"),"",IF(ISNUMBER($O866),IF(INT($O866)&lt;TODAY(),"FOLLOW UP REQUIRED",IF(INT($O866)=TODAY(),"ACTION DUE TODAY",IF(INT($O866)-TODAY()&lt;=Set_DueSoonDays,"DUE SOON",""))),IF(AND($M866="Applied",$AA866=""),IF(ISNUMBER($C866),IF(TODAY()-$C866&gt;=Set_FollowUpDays,"NO RESPONSE",""),""),"")))</f>
        <v/>
      </c>
      <c r="AD866" s="87">
        <f>IF(ISNUMBER($L866),IF($L866&gt;=90,"Excellent Match",IF($L866&gt;=75,"Strong Match",IF($L866&gt;=60,"Moderate Match","Low Match"))),"")</f>
        <v/>
      </c>
      <c r="AE866" s="87">
        <f>IF($D866="","",IF(OR($M866="Rejected",$M866="Withdrawn"),IF($AB866&lt;&gt;"",$AB866,IF(OR($M866="Rejected",ISNUMBER($C866)),"Applied","Wishlist")),IF($M866="",IF(ISNUMBER($C866),"Applied","Wishlist"),$M866)))</f>
        <v/>
      </c>
      <c r="AF866" s="88">
        <f>IF(AND(ISNUMBER($C866),ISNUMBER($AA866)),$AA866-$C866,"")</f>
        <v/>
      </c>
      <c r="AG866" s="87">
        <f>IF($AE866="","",IFERROR(MATCH($AE866,{"Wishlist","Applied","Screening","Interview 1","Interview 2","Final","Offer","Accepted"},0)-1,""))</f>
        <v/>
      </c>
      <c r="AH866" s="87">
        <f>IF($AC866="","",MATCH($AC866,{"FOLLOW UP REQUIRED","ACTION DUE TODAY","NO RESPONSE","DUE SOON"},0)*100000+IF(ISNUMBER($O866),$O866,IF(ISNUMBER($C866),$C866,0))+ROW()/10000)</f>
        <v/>
      </c>
      <c r="AI866" s="87">
        <f>IF(AND(ISNUMBER($AG866),$AG866&gt;=1,$AG866&lt;=6,$M866&lt;&gt;"Rejected",$M866&lt;&gt;"Withdrawn"),(10-$AG866)*100000+IF(ISNUMBER($C866),$C866,0)+ROW()/10000,"")</f>
        <v/>
      </c>
    </row>
    <row r="867">
      <c r="A867" s="80" t="n"/>
      <c r="B867" s="81" t="n"/>
      <c r="C867" s="81" t="n"/>
      <c r="D867" s="82" t="n"/>
      <c r="E867" s="82" t="n"/>
      <c r="F867" s="82" t="n"/>
      <c r="G867" s="82" t="n"/>
      <c r="H867" s="82" t="n"/>
      <c r="I867" s="83" t="n"/>
      <c r="J867" s="82" t="n"/>
      <c r="K867" s="84" t="n"/>
      <c r="L867" s="85" t="n"/>
      <c r="M867" s="82" t="n"/>
      <c r="N867" s="86" t="n"/>
      <c r="O867" s="81" t="n"/>
      <c r="P867" s="82" t="n"/>
      <c r="Q867" s="83" t="n"/>
      <c r="R867" s="82" t="n"/>
      <c r="S867" s="84" t="n"/>
      <c r="T867" s="84" t="n"/>
      <c r="U867" s="82" t="n"/>
      <c r="V867" s="86" t="n"/>
      <c r="W867" s="86" t="n"/>
      <c r="X867" s="86" t="n"/>
      <c r="Y867" s="81" t="n"/>
      <c r="Z867" s="82" t="n"/>
      <c r="AA867" s="81" t="n"/>
      <c r="AB867" s="82" t="n"/>
      <c r="AC867" s="87">
        <f>IF(OR($D867="",$M867="Rejected",$M867="Withdrawn",$M867="Accepted"),"",IF(ISNUMBER($O867),IF(INT($O867)&lt;TODAY(),"FOLLOW UP REQUIRED",IF(INT($O867)=TODAY(),"ACTION DUE TODAY",IF(INT($O867)-TODAY()&lt;=Set_DueSoonDays,"DUE SOON",""))),IF(AND($M867="Applied",$AA867=""),IF(ISNUMBER($C867),IF(TODAY()-$C867&gt;=Set_FollowUpDays,"NO RESPONSE",""),""),"")))</f>
        <v/>
      </c>
      <c r="AD867" s="87">
        <f>IF(ISNUMBER($L867),IF($L867&gt;=90,"Excellent Match",IF($L867&gt;=75,"Strong Match",IF($L867&gt;=60,"Moderate Match","Low Match"))),"")</f>
        <v/>
      </c>
      <c r="AE867" s="87">
        <f>IF($D867="","",IF(OR($M867="Rejected",$M867="Withdrawn"),IF($AB867&lt;&gt;"",$AB867,IF(OR($M867="Rejected",ISNUMBER($C867)),"Applied","Wishlist")),IF($M867="",IF(ISNUMBER($C867),"Applied","Wishlist"),$M867)))</f>
        <v/>
      </c>
      <c r="AF867" s="88">
        <f>IF(AND(ISNUMBER($C867),ISNUMBER($AA867)),$AA867-$C867,"")</f>
        <v/>
      </c>
      <c r="AG867" s="87">
        <f>IF($AE867="","",IFERROR(MATCH($AE867,{"Wishlist","Applied","Screening","Interview 1","Interview 2","Final","Offer","Accepted"},0)-1,""))</f>
        <v/>
      </c>
      <c r="AH867" s="87">
        <f>IF($AC867="","",MATCH($AC867,{"FOLLOW UP REQUIRED","ACTION DUE TODAY","NO RESPONSE","DUE SOON"},0)*100000+IF(ISNUMBER($O867),$O867,IF(ISNUMBER($C867),$C867,0))+ROW()/10000)</f>
        <v/>
      </c>
      <c r="AI867" s="87">
        <f>IF(AND(ISNUMBER($AG867),$AG867&gt;=1,$AG867&lt;=6,$M867&lt;&gt;"Rejected",$M867&lt;&gt;"Withdrawn"),(10-$AG867)*100000+IF(ISNUMBER($C867),$C867,0)+ROW()/10000,"")</f>
        <v/>
      </c>
    </row>
    <row r="868">
      <c r="A868" s="80" t="n"/>
      <c r="B868" s="81" t="n"/>
      <c r="C868" s="81" t="n"/>
      <c r="D868" s="82" t="n"/>
      <c r="E868" s="82" t="n"/>
      <c r="F868" s="82" t="n"/>
      <c r="G868" s="82" t="n"/>
      <c r="H868" s="82" t="n"/>
      <c r="I868" s="83" t="n"/>
      <c r="J868" s="82" t="n"/>
      <c r="K868" s="84" t="n"/>
      <c r="L868" s="85" t="n"/>
      <c r="M868" s="82" t="n"/>
      <c r="N868" s="86" t="n"/>
      <c r="O868" s="81" t="n"/>
      <c r="P868" s="82" t="n"/>
      <c r="Q868" s="83" t="n"/>
      <c r="R868" s="82" t="n"/>
      <c r="S868" s="84" t="n"/>
      <c r="T868" s="84" t="n"/>
      <c r="U868" s="82" t="n"/>
      <c r="V868" s="86" t="n"/>
      <c r="W868" s="86" t="n"/>
      <c r="X868" s="86" t="n"/>
      <c r="Y868" s="81" t="n"/>
      <c r="Z868" s="82" t="n"/>
      <c r="AA868" s="81" t="n"/>
      <c r="AB868" s="82" t="n"/>
      <c r="AC868" s="87">
        <f>IF(OR($D868="",$M868="Rejected",$M868="Withdrawn",$M868="Accepted"),"",IF(ISNUMBER($O868),IF(INT($O868)&lt;TODAY(),"FOLLOW UP REQUIRED",IF(INT($O868)=TODAY(),"ACTION DUE TODAY",IF(INT($O868)-TODAY()&lt;=Set_DueSoonDays,"DUE SOON",""))),IF(AND($M868="Applied",$AA868=""),IF(ISNUMBER($C868),IF(TODAY()-$C868&gt;=Set_FollowUpDays,"NO RESPONSE",""),""),"")))</f>
        <v/>
      </c>
      <c r="AD868" s="87">
        <f>IF(ISNUMBER($L868),IF($L868&gt;=90,"Excellent Match",IF($L868&gt;=75,"Strong Match",IF($L868&gt;=60,"Moderate Match","Low Match"))),"")</f>
        <v/>
      </c>
      <c r="AE868" s="87">
        <f>IF($D868="","",IF(OR($M868="Rejected",$M868="Withdrawn"),IF($AB868&lt;&gt;"",$AB868,IF(OR($M868="Rejected",ISNUMBER($C868)),"Applied","Wishlist")),IF($M868="",IF(ISNUMBER($C868),"Applied","Wishlist"),$M868)))</f>
        <v/>
      </c>
      <c r="AF868" s="88">
        <f>IF(AND(ISNUMBER($C868),ISNUMBER($AA868)),$AA868-$C868,"")</f>
        <v/>
      </c>
      <c r="AG868" s="87">
        <f>IF($AE868="","",IFERROR(MATCH($AE868,{"Wishlist","Applied","Screening","Interview 1","Interview 2","Final","Offer","Accepted"},0)-1,""))</f>
        <v/>
      </c>
      <c r="AH868" s="87">
        <f>IF($AC868="","",MATCH($AC868,{"FOLLOW UP REQUIRED","ACTION DUE TODAY","NO RESPONSE","DUE SOON"},0)*100000+IF(ISNUMBER($O868),$O868,IF(ISNUMBER($C868),$C868,0))+ROW()/10000)</f>
        <v/>
      </c>
      <c r="AI868" s="87">
        <f>IF(AND(ISNUMBER($AG868),$AG868&gt;=1,$AG868&lt;=6,$M868&lt;&gt;"Rejected",$M868&lt;&gt;"Withdrawn"),(10-$AG868)*100000+IF(ISNUMBER($C868),$C868,0)+ROW()/10000,"")</f>
        <v/>
      </c>
    </row>
    <row r="869">
      <c r="A869" s="80" t="n"/>
      <c r="B869" s="81" t="n"/>
      <c r="C869" s="81" t="n"/>
      <c r="D869" s="82" t="n"/>
      <c r="E869" s="82" t="n"/>
      <c r="F869" s="82" t="n"/>
      <c r="G869" s="82" t="n"/>
      <c r="H869" s="82" t="n"/>
      <c r="I869" s="83" t="n"/>
      <c r="J869" s="82" t="n"/>
      <c r="K869" s="84" t="n"/>
      <c r="L869" s="85" t="n"/>
      <c r="M869" s="82" t="n"/>
      <c r="N869" s="86" t="n"/>
      <c r="O869" s="81" t="n"/>
      <c r="P869" s="82" t="n"/>
      <c r="Q869" s="83" t="n"/>
      <c r="R869" s="82" t="n"/>
      <c r="S869" s="84" t="n"/>
      <c r="T869" s="84" t="n"/>
      <c r="U869" s="82" t="n"/>
      <c r="V869" s="86" t="n"/>
      <c r="W869" s="86" t="n"/>
      <c r="X869" s="86" t="n"/>
      <c r="Y869" s="81" t="n"/>
      <c r="Z869" s="82" t="n"/>
      <c r="AA869" s="81" t="n"/>
      <c r="AB869" s="82" t="n"/>
      <c r="AC869" s="87">
        <f>IF(OR($D869="",$M869="Rejected",$M869="Withdrawn",$M869="Accepted"),"",IF(ISNUMBER($O869),IF(INT($O869)&lt;TODAY(),"FOLLOW UP REQUIRED",IF(INT($O869)=TODAY(),"ACTION DUE TODAY",IF(INT($O869)-TODAY()&lt;=Set_DueSoonDays,"DUE SOON",""))),IF(AND($M869="Applied",$AA869=""),IF(ISNUMBER($C869),IF(TODAY()-$C869&gt;=Set_FollowUpDays,"NO RESPONSE",""),""),"")))</f>
        <v/>
      </c>
      <c r="AD869" s="87">
        <f>IF(ISNUMBER($L869),IF($L869&gt;=90,"Excellent Match",IF($L869&gt;=75,"Strong Match",IF($L869&gt;=60,"Moderate Match","Low Match"))),"")</f>
        <v/>
      </c>
      <c r="AE869" s="87">
        <f>IF($D869="","",IF(OR($M869="Rejected",$M869="Withdrawn"),IF($AB869&lt;&gt;"",$AB869,IF(OR($M869="Rejected",ISNUMBER($C869)),"Applied","Wishlist")),IF($M869="",IF(ISNUMBER($C869),"Applied","Wishlist"),$M869)))</f>
        <v/>
      </c>
      <c r="AF869" s="88">
        <f>IF(AND(ISNUMBER($C869),ISNUMBER($AA869)),$AA869-$C869,"")</f>
        <v/>
      </c>
      <c r="AG869" s="87">
        <f>IF($AE869="","",IFERROR(MATCH($AE869,{"Wishlist","Applied","Screening","Interview 1","Interview 2","Final","Offer","Accepted"},0)-1,""))</f>
        <v/>
      </c>
      <c r="AH869" s="87">
        <f>IF($AC869="","",MATCH($AC869,{"FOLLOW UP REQUIRED","ACTION DUE TODAY","NO RESPONSE","DUE SOON"},0)*100000+IF(ISNUMBER($O869),$O869,IF(ISNUMBER($C869),$C869,0))+ROW()/10000)</f>
        <v/>
      </c>
      <c r="AI869" s="87">
        <f>IF(AND(ISNUMBER($AG869),$AG869&gt;=1,$AG869&lt;=6,$M869&lt;&gt;"Rejected",$M869&lt;&gt;"Withdrawn"),(10-$AG869)*100000+IF(ISNUMBER($C869),$C869,0)+ROW()/10000,"")</f>
        <v/>
      </c>
    </row>
    <row r="870">
      <c r="A870" s="80" t="n"/>
      <c r="B870" s="81" t="n"/>
      <c r="C870" s="81" t="n"/>
      <c r="D870" s="82" t="n"/>
      <c r="E870" s="82" t="n"/>
      <c r="F870" s="82" t="n"/>
      <c r="G870" s="82" t="n"/>
      <c r="H870" s="82" t="n"/>
      <c r="I870" s="83" t="n"/>
      <c r="J870" s="82" t="n"/>
      <c r="K870" s="84" t="n"/>
      <c r="L870" s="85" t="n"/>
      <c r="M870" s="82" t="n"/>
      <c r="N870" s="86" t="n"/>
      <c r="O870" s="81" t="n"/>
      <c r="P870" s="82" t="n"/>
      <c r="Q870" s="83" t="n"/>
      <c r="R870" s="82" t="n"/>
      <c r="S870" s="84" t="n"/>
      <c r="T870" s="84" t="n"/>
      <c r="U870" s="82" t="n"/>
      <c r="V870" s="86" t="n"/>
      <c r="W870" s="86" t="n"/>
      <c r="X870" s="86" t="n"/>
      <c r="Y870" s="81" t="n"/>
      <c r="Z870" s="82" t="n"/>
      <c r="AA870" s="81" t="n"/>
      <c r="AB870" s="82" t="n"/>
      <c r="AC870" s="87">
        <f>IF(OR($D870="",$M870="Rejected",$M870="Withdrawn",$M870="Accepted"),"",IF(ISNUMBER($O870),IF(INT($O870)&lt;TODAY(),"FOLLOW UP REQUIRED",IF(INT($O870)=TODAY(),"ACTION DUE TODAY",IF(INT($O870)-TODAY()&lt;=Set_DueSoonDays,"DUE SOON",""))),IF(AND($M870="Applied",$AA870=""),IF(ISNUMBER($C870),IF(TODAY()-$C870&gt;=Set_FollowUpDays,"NO RESPONSE",""),""),"")))</f>
        <v/>
      </c>
      <c r="AD870" s="87">
        <f>IF(ISNUMBER($L870),IF($L870&gt;=90,"Excellent Match",IF($L870&gt;=75,"Strong Match",IF($L870&gt;=60,"Moderate Match","Low Match"))),"")</f>
        <v/>
      </c>
      <c r="AE870" s="87">
        <f>IF($D870="","",IF(OR($M870="Rejected",$M870="Withdrawn"),IF($AB870&lt;&gt;"",$AB870,IF(OR($M870="Rejected",ISNUMBER($C870)),"Applied","Wishlist")),IF($M870="",IF(ISNUMBER($C870),"Applied","Wishlist"),$M870)))</f>
        <v/>
      </c>
      <c r="AF870" s="88">
        <f>IF(AND(ISNUMBER($C870),ISNUMBER($AA870)),$AA870-$C870,"")</f>
        <v/>
      </c>
      <c r="AG870" s="87">
        <f>IF($AE870="","",IFERROR(MATCH($AE870,{"Wishlist","Applied","Screening","Interview 1","Interview 2","Final","Offer","Accepted"},0)-1,""))</f>
        <v/>
      </c>
      <c r="AH870" s="87">
        <f>IF($AC870="","",MATCH($AC870,{"FOLLOW UP REQUIRED","ACTION DUE TODAY","NO RESPONSE","DUE SOON"},0)*100000+IF(ISNUMBER($O870),$O870,IF(ISNUMBER($C870),$C870,0))+ROW()/10000)</f>
        <v/>
      </c>
      <c r="AI870" s="87">
        <f>IF(AND(ISNUMBER($AG870),$AG870&gt;=1,$AG870&lt;=6,$M870&lt;&gt;"Rejected",$M870&lt;&gt;"Withdrawn"),(10-$AG870)*100000+IF(ISNUMBER($C870),$C870,0)+ROW()/10000,"")</f>
        <v/>
      </c>
    </row>
    <row r="871">
      <c r="A871" s="80" t="n"/>
      <c r="B871" s="81" t="n"/>
      <c r="C871" s="81" t="n"/>
      <c r="D871" s="82" t="n"/>
      <c r="E871" s="82" t="n"/>
      <c r="F871" s="82" t="n"/>
      <c r="G871" s="82" t="n"/>
      <c r="H871" s="82" t="n"/>
      <c r="I871" s="83" t="n"/>
      <c r="J871" s="82" t="n"/>
      <c r="K871" s="84" t="n"/>
      <c r="L871" s="85" t="n"/>
      <c r="M871" s="82" t="n"/>
      <c r="N871" s="86" t="n"/>
      <c r="O871" s="81" t="n"/>
      <c r="P871" s="82" t="n"/>
      <c r="Q871" s="83" t="n"/>
      <c r="R871" s="82" t="n"/>
      <c r="S871" s="84" t="n"/>
      <c r="T871" s="84" t="n"/>
      <c r="U871" s="82" t="n"/>
      <c r="V871" s="86" t="n"/>
      <c r="W871" s="86" t="n"/>
      <c r="X871" s="86" t="n"/>
      <c r="Y871" s="81" t="n"/>
      <c r="Z871" s="82" t="n"/>
      <c r="AA871" s="81" t="n"/>
      <c r="AB871" s="82" t="n"/>
      <c r="AC871" s="87">
        <f>IF(OR($D871="",$M871="Rejected",$M871="Withdrawn",$M871="Accepted"),"",IF(ISNUMBER($O871),IF(INT($O871)&lt;TODAY(),"FOLLOW UP REQUIRED",IF(INT($O871)=TODAY(),"ACTION DUE TODAY",IF(INT($O871)-TODAY()&lt;=Set_DueSoonDays,"DUE SOON",""))),IF(AND($M871="Applied",$AA871=""),IF(ISNUMBER($C871),IF(TODAY()-$C871&gt;=Set_FollowUpDays,"NO RESPONSE",""),""),"")))</f>
        <v/>
      </c>
      <c r="AD871" s="87">
        <f>IF(ISNUMBER($L871),IF($L871&gt;=90,"Excellent Match",IF($L871&gt;=75,"Strong Match",IF($L871&gt;=60,"Moderate Match","Low Match"))),"")</f>
        <v/>
      </c>
      <c r="AE871" s="87">
        <f>IF($D871="","",IF(OR($M871="Rejected",$M871="Withdrawn"),IF($AB871&lt;&gt;"",$AB871,IF(OR($M871="Rejected",ISNUMBER($C871)),"Applied","Wishlist")),IF($M871="",IF(ISNUMBER($C871),"Applied","Wishlist"),$M871)))</f>
        <v/>
      </c>
      <c r="AF871" s="88">
        <f>IF(AND(ISNUMBER($C871),ISNUMBER($AA871)),$AA871-$C871,"")</f>
        <v/>
      </c>
      <c r="AG871" s="87">
        <f>IF($AE871="","",IFERROR(MATCH($AE871,{"Wishlist","Applied","Screening","Interview 1","Interview 2","Final","Offer","Accepted"},0)-1,""))</f>
        <v/>
      </c>
      <c r="AH871" s="87">
        <f>IF($AC871="","",MATCH($AC871,{"FOLLOW UP REQUIRED","ACTION DUE TODAY","NO RESPONSE","DUE SOON"},0)*100000+IF(ISNUMBER($O871),$O871,IF(ISNUMBER($C871),$C871,0))+ROW()/10000)</f>
        <v/>
      </c>
      <c r="AI871" s="87">
        <f>IF(AND(ISNUMBER($AG871),$AG871&gt;=1,$AG871&lt;=6,$M871&lt;&gt;"Rejected",$M871&lt;&gt;"Withdrawn"),(10-$AG871)*100000+IF(ISNUMBER($C871),$C871,0)+ROW()/10000,"")</f>
        <v/>
      </c>
    </row>
    <row r="872">
      <c r="A872" s="80" t="n"/>
      <c r="B872" s="81" t="n"/>
      <c r="C872" s="81" t="n"/>
      <c r="D872" s="82" t="n"/>
      <c r="E872" s="82" t="n"/>
      <c r="F872" s="82" t="n"/>
      <c r="G872" s="82" t="n"/>
      <c r="H872" s="82" t="n"/>
      <c r="I872" s="83" t="n"/>
      <c r="J872" s="82" t="n"/>
      <c r="K872" s="84" t="n"/>
      <c r="L872" s="85" t="n"/>
      <c r="M872" s="82" t="n"/>
      <c r="N872" s="86" t="n"/>
      <c r="O872" s="81" t="n"/>
      <c r="P872" s="82" t="n"/>
      <c r="Q872" s="83" t="n"/>
      <c r="R872" s="82" t="n"/>
      <c r="S872" s="84" t="n"/>
      <c r="T872" s="84" t="n"/>
      <c r="U872" s="82" t="n"/>
      <c r="V872" s="86" t="n"/>
      <c r="W872" s="86" t="n"/>
      <c r="X872" s="86" t="n"/>
      <c r="Y872" s="81" t="n"/>
      <c r="Z872" s="82" t="n"/>
      <c r="AA872" s="81" t="n"/>
      <c r="AB872" s="82" t="n"/>
      <c r="AC872" s="87">
        <f>IF(OR($D872="",$M872="Rejected",$M872="Withdrawn",$M872="Accepted"),"",IF(ISNUMBER($O872),IF(INT($O872)&lt;TODAY(),"FOLLOW UP REQUIRED",IF(INT($O872)=TODAY(),"ACTION DUE TODAY",IF(INT($O872)-TODAY()&lt;=Set_DueSoonDays,"DUE SOON",""))),IF(AND($M872="Applied",$AA872=""),IF(ISNUMBER($C872),IF(TODAY()-$C872&gt;=Set_FollowUpDays,"NO RESPONSE",""),""),"")))</f>
        <v/>
      </c>
      <c r="AD872" s="87">
        <f>IF(ISNUMBER($L872),IF($L872&gt;=90,"Excellent Match",IF($L872&gt;=75,"Strong Match",IF($L872&gt;=60,"Moderate Match","Low Match"))),"")</f>
        <v/>
      </c>
      <c r="AE872" s="87">
        <f>IF($D872="","",IF(OR($M872="Rejected",$M872="Withdrawn"),IF($AB872&lt;&gt;"",$AB872,IF(OR($M872="Rejected",ISNUMBER($C872)),"Applied","Wishlist")),IF($M872="",IF(ISNUMBER($C872),"Applied","Wishlist"),$M872)))</f>
        <v/>
      </c>
      <c r="AF872" s="88">
        <f>IF(AND(ISNUMBER($C872),ISNUMBER($AA872)),$AA872-$C872,"")</f>
        <v/>
      </c>
      <c r="AG872" s="87">
        <f>IF($AE872="","",IFERROR(MATCH($AE872,{"Wishlist","Applied","Screening","Interview 1","Interview 2","Final","Offer","Accepted"},0)-1,""))</f>
        <v/>
      </c>
      <c r="AH872" s="87">
        <f>IF($AC872="","",MATCH($AC872,{"FOLLOW UP REQUIRED","ACTION DUE TODAY","NO RESPONSE","DUE SOON"},0)*100000+IF(ISNUMBER($O872),$O872,IF(ISNUMBER($C872),$C872,0))+ROW()/10000)</f>
        <v/>
      </c>
      <c r="AI872" s="87">
        <f>IF(AND(ISNUMBER($AG872),$AG872&gt;=1,$AG872&lt;=6,$M872&lt;&gt;"Rejected",$M872&lt;&gt;"Withdrawn"),(10-$AG872)*100000+IF(ISNUMBER($C872),$C872,0)+ROW()/10000,"")</f>
        <v/>
      </c>
    </row>
    <row r="873">
      <c r="A873" s="80" t="n"/>
      <c r="B873" s="81" t="n"/>
      <c r="C873" s="81" t="n"/>
      <c r="D873" s="82" t="n"/>
      <c r="E873" s="82" t="n"/>
      <c r="F873" s="82" t="n"/>
      <c r="G873" s="82" t="n"/>
      <c r="H873" s="82" t="n"/>
      <c r="I873" s="83" t="n"/>
      <c r="J873" s="82" t="n"/>
      <c r="K873" s="84" t="n"/>
      <c r="L873" s="85" t="n"/>
      <c r="M873" s="82" t="n"/>
      <c r="N873" s="86" t="n"/>
      <c r="O873" s="81" t="n"/>
      <c r="P873" s="82" t="n"/>
      <c r="Q873" s="83" t="n"/>
      <c r="R873" s="82" t="n"/>
      <c r="S873" s="84" t="n"/>
      <c r="T873" s="84" t="n"/>
      <c r="U873" s="82" t="n"/>
      <c r="V873" s="86" t="n"/>
      <c r="W873" s="86" t="n"/>
      <c r="X873" s="86" t="n"/>
      <c r="Y873" s="81" t="n"/>
      <c r="Z873" s="82" t="n"/>
      <c r="AA873" s="81" t="n"/>
      <c r="AB873" s="82" t="n"/>
      <c r="AC873" s="87">
        <f>IF(OR($D873="",$M873="Rejected",$M873="Withdrawn",$M873="Accepted"),"",IF(ISNUMBER($O873),IF(INT($O873)&lt;TODAY(),"FOLLOW UP REQUIRED",IF(INT($O873)=TODAY(),"ACTION DUE TODAY",IF(INT($O873)-TODAY()&lt;=Set_DueSoonDays,"DUE SOON",""))),IF(AND($M873="Applied",$AA873=""),IF(ISNUMBER($C873),IF(TODAY()-$C873&gt;=Set_FollowUpDays,"NO RESPONSE",""),""),"")))</f>
        <v/>
      </c>
      <c r="AD873" s="87">
        <f>IF(ISNUMBER($L873),IF($L873&gt;=90,"Excellent Match",IF($L873&gt;=75,"Strong Match",IF($L873&gt;=60,"Moderate Match","Low Match"))),"")</f>
        <v/>
      </c>
      <c r="AE873" s="87">
        <f>IF($D873="","",IF(OR($M873="Rejected",$M873="Withdrawn"),IF($AB873&lt;&gt;"",$AB873,IF(OR($M873="Rejected",ISNUMBER($C873)),"Applied","Wishlist")),IF($M873="",IF(ISNUMBER($C873),"Applied","Wishlist"),$M873)))</f>
        <v/>
      </c>
      <c r="AF873" s="88">
        <f>IF(AND(ISNUMBER($C873),ISNUMBER($AA873)),$AA873-$C873,"")</f>
        <v/>
      </c>
      <c r="AG873" s="87">
        <f>IF($AE873="","",IFERROR(MATCH($AE873,{"Wishlist","Applied","Screening","Interview 1","Interview 2","Final","Offer","Accepted"},0)-1,""))</f>
        <v/>
      </c>
      <c r="AH873" s="87">
        <f>IF($AC873="","",MATCH($AC873,{"FOLLOW UP REQUIRED","ACTION DUE TODAY","NO RESPONSE","DUE SOON"},0)*100000+IF(ISNUMBER($O873),$O873,IF(ISNUMBER($C873),$C873,0))+ROW()/10000)</f>
        <v/>
      </c>
      <c r="AI873" s="87">
        <f>IF(AND(ISNUMBER($AG873),$AG873&gt;=1,$AG873&lt;=6,$M873&lt;&gt;"Rejected",$M873&lt;&gt;"Withdrawn"),(10-$AG873)*100000+IF(ISNUMBER($C873),$C873,0)+ROW()/10000,"")</f>
        <v/>
      </c>
    </row>
    <row r="874">
      <c r="A874" s="80" t="n"/>
      <c r="B874" s="81" t="n"/>
      <c r="C874" s="81" t="n"/>
      <c r="D874" s="82" t="n"/>
      <c r="E874" s="82" t="n"/>
      <c r="F874" s="82" t="n"/>
      <c r="G874" s="82" t="n"/>
      <c r="H874" s="82" t="n"/>
      <c r="I874" s="83" t="n"/>
      <c r="J874" s="82" t="n"/>
      <c r="K874" s="84" t="n"/>
      <c r="L874" s="85" t="n"/>
      <c r="M874" s="82" t="n"/>
      <c r="N874" s="86" t="n"/>
      <c r="O874" s="81" t="n"/>
      <c r="P874" s="82" t="n"/>
      <c r="Q874" s="83" t="n"/>
      <c r="R874" s="82" t="n"/>
      <c r="S874" s="84" t="n"/>
      <c r="T874" s="84" t="n"/>
      <c r="U874" s="82" t="n"/>
      <c r="V874" s="86" t="n"/>
      <c r="W874" s="86" t="n"/>
      <c r="X874" s="86" t="n"/>
      <c r="Y874" s="81" t="n"/>
      <c r="Z874" s="82" t="n"/>
      <c r="AA874" s="81" t="n"/>
      <c r="AB874" s="82" t="n"/>
      <c r="AC874" s="87">
        <f>IF(OR($D874="",$M874="Rejected",$M874="Withdrawn",$M874="Accepted"),"",IF(ISNUMBER($O874),IF(INT($O874)&lt;TODAY(),"FOLLOW UP REQUIRED",IF(INT($O874)=TODAY(),"ACTION DUE TODAY",IF(INT($O874)-TODAY()&lt;=Set_DueSoonDays,"DUE SOON",""))),IF(AND($M874="Applied",$AA874=""),IF(ISNUMBER($C874),IF(TODAY()-$C874&gt;=Set_FollowUpDays,"NO RESPONSE",""),""),"")))</f>
        <v/>
      </c>
      <c r="AD874" s="87">
        <f>IF(ISNUMBER($L874),IF($L874&gt;=90,"Excellent Match",IF($L874&gt;=75,"Strong Match",IF($L874&gt;=60,"Moderate Match","Low Match"))),"")</f>
        <v/>
      </c>
      <c r="AE874" s="87">
        <f>IF($D874="","",IF(OR($M874="Rejected",$M874="Withdrawn"),IF($AB874&lt;&gt;"",$AB874,IF(OR($M874="Rejected",ISNUMBER($C874)),"Applied","Wishlist")),IF($M874="",IF(ISNUMBER($C874),"Applied","Wishlist"),$M874)))</f>
        <v/>
      </c>
      <c r="AF874" s="88">
        <f>IF(AND(ISNUMBER($C874),ISNUMBER($AA874)),$AA874-$C874,"")</f>
        <v/>
      </c>
      <c r="AG874" s="87">
        <f>IF($AE874="","",IFERROR(MATCH($AE874,{"Wishlist","Applied","Screening","Interview 1","Interview 2","Final","Offer","Accepted"},0)-1,""))</f>
        <v/>
      </c>
      <c r="AH874" s="87">
        <f>IF($AC874="","",MATCH($AC874,{"FOLLOW UP REQUIRED","ACTION DUE TODAY","NO RESPONSE","DUE SOON"},0)*100000+IF(ISNUMBER($O874),$O874,IF(ISNUMBER($C874),$C874,0))+ROW()/10000)</f>
        <v/>
      </c>
      <c r="AI874" s="87">
        <f>IF(AND(ISNUMBER($AG874),$AG874&gt;=1,$AG874&lt;=6,$M874&lt;&gt;"Rejected",$M874&lt;&gt;"Withdrawn"),(10-$AG874)*100000+IF(ISNUMBER($C874),$C874,0)+ROW()/10000,"")</f>
        <v/>
      </c>
    </row>
    <row r="875">
      <c r="A875" s="80" t="n"/>
      <c r="B875" s="81" t="n"/>
      <c r="C875" s="81" t="n"/>
      <c r="D875" s="82" t="n"/>
      <c r="E875" s="82" t="n"/>
      <c r="F875" s="82" t="n"/>
      <c r="G875" s="82" t="n"/>
      <c r="H875" s="82" t="n"/>
      <c r="I875" s="83" t="n"/>
      <c r="J875" s="82" t="n"/>
      <c r="K875" s="84" t="n"/>
      <c r="L875" s="85" t="n"/>
      <c r="M875" s="82" t="n"/>
      <c r="N875" s="86" t="n"/>
      <c r="O875" s="81" t="n"/>
      <c r="P875" s="82" t="n"/>
      <c r="Q875" s="83" t="n"/>
      <c r="R875" s="82" t="n"/>
      <c r="S875" s="84" t="n"/>
      <c r="T875" s="84" t="n"/>
      <c r="U875" s="82" t="n"/>
      <c r="V875" s="86" t="n"/>
      <c r="W875" s="86" t="n"/>
      <c r="X875" s="86" t="n"/>
      <c r="Y875" s="81" t="n"/>
      <c r="Z875" s="82" t="n"/>
      <c r="AA875" s="81" t="n"/>
      <c r="AB875" s="82" t="n"/>
      <c r="AC875" s="87">
        <f>IF(OR($D875="",$M875="Rejected",$M875="Withdrawn",$M875="Accepted"),"",IF(ISNUMBER($O875),IF(INT($O875)&lt;TODAY(),"FOLLOW UP REQUIRED",IF(INT($O875)=TODAY(),"ACTION DUE TODAY",IF(INT($O875)-TODAY()&lt;=Set_DueSoonDays,"DUE SOON",""))),IF(AND($M875="Applied",$AA875=""),IF(ISNUMBER($C875),IF(TODAY()-$C875&gt;=Set_FollowUpDays,"NO RESPONSE",""),""),"")))</f>
        <v/>
      </c>
      <c r="AD875" s="87">
        <f>IF(ISNUMBER($L875),IF($L875&gt;=90,"Excellent Match",IF($L875&gt;=75,"Strong Match",IF($L875&gt;=60,"Moderate Match","Low Match"))),"")</f>
        <v/>
      </c>
      <c r="AE875" s="87">
        <f>IF($D875="","",IF(OR($M875="Rejected",$M875="Withdrawn"),IF($AB875&lt;&gt;"",$AB875,IF(OR($M875="Rejected",ISNUMBER($C875)),"Applied","Wishlist")),IF($M875="",IF(ISNUMBER($C875),"Applied","Wishlist"),$M875)))</f>
        <v/>
      </c>
      <c r="AF875" s="88">
        <f>IF(AND(ISNUMBER($C875),ISNUMBER($AA875)),$AA875-$C875,"")</f>
        <v/>
      </c>
      <c r="AG875" s="87">
        <f>IF($AE875="","",IFERROR(MATCH($AE875,{"Wishlist","Applied","Screening","Interview 1","Interview 2","Final","Offer","Accepted"},0)-1,""))</f>
        <v/>
      </c>
      <c r="AH875" s="87">
        <f>IF($AC875="","",MATCH($AC875,{"FOLLOW UP REQUIRED","ACTION DUE TODAY","NO RESPONSE","DUE SOON"},0)*100000+IF(ISNUMBER($O875),$O875,IF(ISNUMBER($C875),$C875,0))+ROW()/10000)</f>
        <v/>
      </c>
      <c r="AI875" s="87">
        <f>IF(AND(ISNUMBER($AG875),$AG875&gt;=1,$AG875&lt;=6,$M875&lt;&gt;"Rejected",$M875&lt;&gt;"Withdrawn"),(10-$AG875)*100000+IF(ISNUMBER($C875),$C875,0)+ROW()/10000,"")</f>
        <v/>
      </c>
    </row>
    <row r="876">
      <c r="A876" s="80" t="n"/>
      <c r="B876" s="81" t="n"/>
      <c r="C876" s="81" t="n"/>
      <c r="D876" s="82" t="n"/>
      <c r="E876" s="82" t="n"/>
      <c r="F876" s="82" t="n"/>
      <c r="G876" s="82" t="n"/>
      <c r="H876" s="82" t="n"/>
      <c r="I876" s="83" t="n"/>
      <c r="J876" s="82" t="n"/>
      <c r="K876" s="84" t="n"/>
      <c r="L876" s="85" t="n"/>
      <c r="M876" s="82" t="n"/>
      <c r="N876" s="86" t="n"/>
      <c r="O876" s="81" t="n"/>
      <c r="P876" s="82" t="n"/>
      <c r="Q876" s="83" t="n"/>
      <c r="R876" s="82" t="n"/>
      <c r="S876" s="84" t="n"/>
      <c r="T876" s="84" t="n"/>
      <c r="U876" s="82" t="n"/>
      <c r="V876" s="86" t="n"/>
      <c r="W876" s="86" t="n"/>
      <c r="X876" s="86" t="n"/>
      <c r="Y876" s="81" t="n"/>
      <c r="Z876" s="82" t="n"/>
      <c r="AA876" s="81" t="n"/>
      <c r="AB876" s="82" t="n"/>
      <c r="AC876" s="87">
        <f>IF(OR($D876="",$M876="Rejected",$M876="Withdrawn",$M876="Accepted"),"",IF(ISNUMBER($O876),IF(INT($O876)&lt;TODAY(),"FOLLOW UP REQUIRED",IF(INT($O876)=TODAY(),"ACTION DUE TODAY",IF(INT($O876)-TODAY()&lt;=Set_DueSoonDays,"DUE SOON",""))),IF(AND($M876="Applied",$AA876=""),IF(ISNUMBER($C876),IF(TODAY()-$C876&gt;=Set_FollowUpDays,"NO RESPONSE",""),""),"")))</f>
        <v/>
      </c>
      <c r="AD876" s="87">
        <f>IF(ISNUMBER($L876),IF($L876&gt;=90,"Excellent Match",IF($L876&gt;=75,"Strong Match",IF($L876&gt;=60,"Moderate Match","Low Match"))),"")</f>
        <v/>
      </c>
      <c r="AE876" s="87">
        <f>IF($D876="","",IF(OR($M876="Rejected",$M876="Withdrawn"),IF($AB876&lt;&gt;"",$AB876,IF(OR($M876="Rejected",ISNUMBER($C876)),"Applied","Wishlist")),IF($M876="",IF(ISNUMBER($C876),"Applied","Wishlist"),$M876)))</f>
        <v/>
      </c>
      <c r="AF876" s="88">
        <f>IF(AND(ISNUMBER($C876),ISNUMBER($AA876)),$AA876-$C876,"")</f>
        <v/>
      </c>
      <c r="AG876" s="87">
        <f>IF($AE876="","",IFERROR(MATCH($AE876,{"Wishlist","Applied","Screening","Interview 1","Interview 2","Final","Offer","Accepted"},0)-1,""))</f>
        <v/>
      </c>
      <c r="AH876" s="87">
        <f>IF($AC876="","",MATCH($AC876,{"FOLLOW UP REQUIRED","ACTION DUE TODAY","NO RESPONSE","DUE SOON"},0)*100000+IF(ISNUMBER($O876),$O876,IF(ISNUMBER($C876),$C876,0))+ROW()/10000)</f>
        <v/>
      </c>
      <c r="AI876" s="87">
        <f>IF(AND(ISNUMBER($AG876),$AG876&gt;=1,$AG876&lt;=6,$M876&lt;&gt;"Rejected",$M876&lt;&gt;"Withdrawn"),(10-$AG876)*100000+IF(ISNUMBER($C876),$C876,0)+ROW()/10000,"")</f>
        <v/>
      </c>
    </row>
    <row r="877">
      <c r="A877" s="80" t="n"/>
      <c r="B877" s="81" t="n"/>
      <c r="C877" s="81" t="n"/>
      <c r="D877" s="82" t="n"/>
      <c r="E877" s="82" t="n"/>
      <c r="F877" s="82" t="n"/>
      <c r="G877" s="82" t="n"/>
      <c r="H877" s="82" t="n"/>
      <c r="I877" s="83" t="n"/>
      <c r="J877" s="82" t="n"/>
      <c r="K877" s="84" t="n"/>
      <c r="L877" s="85" t="n"/>
      <c r="M877" s="82" t="n"/>
      <c r="N877" s="86" t="n"/>
      <c r="O877" s="81" t="n"/>
      <c r="P877" s="82" t="n"/>
      <c r="Q877" s="83" t="n"/>
      <c r="R877" s="82" t="n"/>
      <c r="S877" s="84" t="n"/>
      <c r="T877" s="84" t="n"/>
      <c r="U877" s="82" t="n"/>
      <c r="V877" s="86" t="n"/>
      <c r="W877" s="86" t="n"/>
      <c r="X877" s="86" t="n"/>
      <c r="Y877" s="81" t="n"/>
      <c r="Z877" s="82" t="n"/>
      <c r="AA877" s="81" t="n"/>
      <c r="AB877" s="82" t="n"/>
      <c r="AC877" s="87">
        <f>IF(OR($D877="",$M877="Rejected",$M877="Withdrawn",$M877="Accepted"),"",IF(ISNUMBER($O877),IF(INT($O877)&lt;TODAY(),"FOLLOW UP REQUIRED",IF(INT($O877)=TODAY(),"ACTION DUE TODAY",IF(INT($O877)-TODAY()&lt;=Set_DueSoonDays,"DUE SOON",""))),IF(AND($M877="Applied",$AA877=""),IF(ISNUMBER($C877),IF(TODAY()-$C877&gt;=Set_FollowUpDays,"NO RESPONSE",""),""),"")))</f>
        <v/>
      </c>
      <c r="AD877" s="87">
        <f>IF(ISNUMBER($L877),IF($L877&gt;=90,"Excellent Match",IF($L877&gt;=75,"Strong Match",IF($L877&gt;=60,"Moderate Match","Low Match"))),"")</f>
        <v/>
      </c>
      <c r="AE877" s="87">
        <f>IF($D877="","",IF(OR($M877="Rejected",$M877="Withdrawn"),IF($AB877&lt;&gt;"",$AB877,IF(OR($M877="Rejected",ISNUMBER($C877)),"Applied","Wishlist")),IF($M877="",IF(ISNUMBER($C877),"Applied","Wishlist"),$M877)))</f>
        <v/>
      </c>
      <c r="AF877" s="88">
        <f>IF(AND(ISNUMBER($C877),ISNUMBER($AA877)),$AA877-$C877,"")</f>
        <v/>
      </c>
      <c r="AG877" s="87">
        <f>IF($AE877="","",IFERROR(MATCH($AE877,{"Wishlist","Applied","Screening","Interview 1","Interview 2","Final","Offer","Accepted"},0)-1,""))</f>
        <v/>
      </c>
      <c r="AH877" s="87">
        <f>IF($AC877="","",MATCH($AC877,{"FOLLOW UP REQUIRED","ACTION DUE TODAY","NO RESPONSE","DUE SOON"},0)*100000+IF(ISNUMBER($O877),$O877,IF(ISNUMBER($C877),$C877,0))+ROW()/10000)</f>
        <v/>
      </c>
      <c r="AI877" s="87">
        <f>IF(AND(ISNUMBER($AG877),$AG877&gt;=1,$AG877&lt;=6,$M877&lt;&gt;"Rejected",$M877&lt;&gt;"Withdrawn"),(10-$AG877)*100000+IF(ISNUMBER($C877),$C877,0)+ROW()/10000,"")</f>
        <v/>
      </c>
    </row>
    <row r="878">
      <c r="A878" s="80" t="n"/>
      <c r="B878" s="81" t="n"/>
      <c r="C878" s="81" t="n"/>
      <c r="D878" s="82" t="n"/>
      <c r="E878" s="82" t="n"/>
      <c r="F878" s="82" t="n"/>
      <c r="G878" s="82" t="n"/>
      <c r="H878" s="82" t="n"/>
      <c r="I878" s="83" t="n"/>
      <c r="J878" s="82" t="n"/>
      <c r="K878" s="84" t="n"/>
      <c r="L878" s="85" t="n"/>
      <c r="M878" s="82" t="n"/>
      <c r="N878" s="86" t="n"/>
      <c r="O878" s="81" t="n"/>
      <c r="P878" s="82" t="n"/>
      <c r="Q878" s="83" t="n"/>
      <c r="R878" s="82" t="n"/>
      <c r="S878" s="84" t="n"/>
      <c r="T878" s="84" t="n"/>
      <c r="U878" s="82" t="n"/>
      <c r="V878" s="86" t="n"/>
      <c r="W878" s="86" t="n"/>
      <c r="X878" s="86" t="n"/>
      <c r="Y878" s="81" t="n"/>
      <c r="Z878" s="82" t="n"/>
      <c r="AA878" s="81" t="n"/>
      <c r="AB878" s="82" t="n"/>
      <c r="AC878" s="87">
        <f>IF(OR($D878="",$M878="Rejected",$M878="Withdrawn",$M878="Accepted"),"",IF(ISNUMBER($O878),IF(INT($O878)&lt;TODAY(),"FOLLOW UP REQUIRED",IF(INT($O878)=TODAY(),"ACTION DUE TODAY",IF(INT($O878)-TODAY()&lt;=Set_DueSoonDays,"DUE SOON",""))),IF(AND($M878="Applied",$AA878=""),IF(ISNUMBER($C878),IF(TODAY()-$C878&gt;=Set_FollowUpDays,"NO RESPONSE",""),""),"")))</f>
        <v/>
      </c>
      <c r="AD878" s="87">
        <f>IF(ISNUMBER($L878),IF($L878&gt;=90,"Excellent Match",IF($L878&gt;=75,"Strong Match",IF($L878&gt;=60,"Moderate Match","Low Match"))),"")</f>
        <v/>
      </c>
      <c r="AE878" s="87">
        <f>IF($D878="","",IF(OR($M878="Rejected",$M878="Withdrawn"),IF($AB878&lt;&gt;"",$AB878,IF(OR($M878="Rejected",ISNUMBER($C878)),"Applied","Wishlist")),IF($M878="",IF(ISNUMBER($C878),"Applied","Wishlist"),$M878)))</f>
        <v/>
      </c>
      <c r="AF878" s="88">
        <f>IF(AND(ISNUMBER($C878),ISNUMBER($AA878)),$AA878-$C878,"")</f>
        <v/>
      </c>
      <c r="AG878" s="87">
        <f>IF($AE878="","",IFERROR(MATCH($AE878,{"Wishlist","Applied","Screening","Interview 1","Interview 2","Final","Offer","Accepted"},0)-1,""))</f>
        <v/>
      </c>
      <c r="AH878" s="87">
        <f>IF($AC878="","",MATCH($AC878,{"FOLLOW UP REQUIRED","ACTION DUE TODAY","NO RESPONSE","DUE SOON"},0)*100000+IF(ISNUMBER($O878),$O878,IF(ISNUMBER($C878),$C878,0))+ROW()/10000)</f>
        <v/>
      </c>
      <c r="AI878" s="87">
        <f>IF(AND(ISNUMBER($AG878),$AG878&gt;=1,$AG878&lt;=6,$M878&lt;&gt;"Rejected",$M878&lt;&gt;"Withdrawn"),(10-$AG878)*100000+IF(ISNUMBER($C878),$C878,0)+ROW()/10000,"")</f>
        <v/>
      </c>
    </row>
    <row r="879">
      <c r="A879" s="80" t="n"/>
      <c r="B879" s="81" t="n"/>
      <c r="C879" s="81" t="n"/>
      <c r="D879" s="82" t="n"/>
      <c r="E879" s="82" t="n"/>
      <c r="F879" s="82" t="n"/>
      <c r="G879" s="82" t="n"/>
      <c r="H879" s="82" t="n"/>
      <c r="I879" s="83" t="n"/>
      <c r="J879" s="82" t="n"/>
      <c r="K879" s="84" t="n"/>
      <c r="L879" s="85" t="n"/>
      <c r="M879" s="82" t="n"/>
      <c r="N879" s="86" t="n"/>
      <c r="O879" s="81" t="n"/>
      <c r="P879" s="82" t="n"/>
      <c r="Q879" s="83" t="n"/>
      <c r="R879" s="82" t="n"/>
      <c r="S879" s="84" t="n"/>
      <c r="T879" s="84" t="n"/>
      <c r="U879" s="82" t="n"/>
      <c r="V879" s="86" t="n"/>
      <c r="W879" s="86" t="n"/>
      <c r="X879" s="86" t="n"/>
      <c r="Y879" s="81" t="n"/>
      <c r="Z879" s="82" t="n"/>
      <c r="AA879" s="81" t="n"/>
      <c r="AB879" s="82" t="n"/>
      <c r="AC879" s="87">
        <f>IF(OR($D879="",$M879="Rejected",$M879="Withdrawn",$M879="Accepted"),"",IF(ISNUMBER($O879),IF(INT($O879)&lt;TODAY(),"FOLLOW UP REQUIRED",IF(INT($O879)=TODAY(),"ACTION DUE TODAY",IF(INT($O879)-TODAY()&lt;=Set_DueSoonDays,"DUE SOON",""))),IF(AND($M879="Applied",$AA879=""),IF(ISNUMBER($C879),IF(TODAY()-$C879&gt;=Set_FollowUpDays,"NO RESPONSE",""),""),"")))</f>
        <v/>
      </c>
      <c r="AD879" s="87">
        <f>IF(ISNUMBER($L879),IF($L879&gt;=90,"Excellent Match",IF($L879&gt;=75,"Strong Match",IF($L879&gt;=60,"Moderate Match","Low Match"))),"")</f>
        <v/>
      </c>
      <c r="AE879" s="87">
        <f>IF($D879="","",IF(OR($M879="Rejected",$M879="Withdrawn"),IF($AB879&lt;&gt;"",$AB879,IF(OR($M879="Rejected",ISNUMBER($C879)),"Applied","Wishlist")),IF($M879="",IF(ISNUMBER($C879),"Applied","Wishlist"),$M879)))</f>
        <v/>
      </c>
      <c r="AF879" s="88">
        <f>IF(AND(ISNUMBER($C879),ISNUMBER($AA879)),$AA879-$C879,"")</f>
        <v/>
      </c>
      <c r="AG879" s="87">
        <f>IF($AE879="","",IFERROR(MATCH($AE879,{"Wishlist","Applied","Screening","Interview 1","Interview 2","Final","Offer","Accepted"},0)-1,""))</f>
        <v/>
      </c>
      <c r="AH879" s="87">
        <f>IF($AC879="","",MATCH($AC879,{"FOLLOW UP REQUIRED","ACTION DUE TODAY","NO RESPONSE","DUE SOON"},0)*100000+IF(ISNUMBER($O879),$O879,IF(ISNUMBER($C879),$C879,0))+ROW()/10000)</f>
        <v/>
      </c>
      <c r="AI879" s="87">
        <f>IF(AND(ISNUMBER($AG879),$AG879&gt;=1,$AG879&lt;=6,$M879&lt;&gt;"Rejected",$M879&lt;&gt;"Withdrawn"),(10-$AG879)*100000+IF(ISNUMBER($C879),$C879,0)+ROW()/10000,"")</f>
        <v/>
      </c>
    </row>
    <row r="880">
      <c r="A880" s="80" t="n"/>
      <c r="B880" s="81" t="n"/>
      <c r="C880" s="81" t="n"/>
      <c r="D880" s="82" t="n"/>
      <c r="E880" s="82" t="n"/>
      <c r="F880" s="82" t="n"/>
      <c r="G880" s="82" t="n"/>
      <c r="H880" s="82" t="n"/>
      <c r="I880" s="83" t="n"/>
      <c r="J880" s="82" t="n"/>
      <c r="K880" s="84" t="n"/>
      <c r="L880" s="85" t="n"/>
      <c r="M880" s="82" t="n"/>
      <c r="N880" s="86" t="n"/>
      <c r="O880" s="81" t="n"/>
      <c r="P880" s="82" t="n"/>
      <c r="Q880" s="83" t="n"/>
      <c r="R880" s="82" t="n"/>
      <c r="S880" s="84" t="n"/>
      <c r="T880" s="84" t="n"/>
      <c r="U880" s="82" t="n"/>
      <c r="V880" s="86" t="n"/>
      <c r="W880" s="86" t="n"/>
      <c r="X880" s="86" t="n"/>
      <c r="Y880" s="81" t="n"/>
      <c r="Z880" s="82" t="n"/>
      <c r="AA880" s="81" t="n"/>
      <c r="AB880" s="82" t="n"/>
      <c r="AC880" s="87">
        <f>IF(OR($D880="",$M880="Rejected",$M880="Withdrawn",$M880="Accepted"),"",IF(ISNUMBER($O880),IF(INT($O880)&lt;TODAY(),"FOLLOW UP REQUIRED",IF(INT($O880)=TODAY(),"ACTION DUE TODAY",IF(INT($O880)-TODAY()&lt;=Set_DueSoonDays,"DUE SOON",""))),IF(AND($M880="Applied",$AA880=""),IF(ISNUMBER($C880),IF(TODAY()-$C880&gt;=Set_FollowUpDays,"NO RESPONSE",""),""),"")))</f>
        <v/>
      </c>
      <c r="AD880" s="87">
        <f>IF(ISNUMBER($L880),IF($L880&gt;=90,"Excellent Match",IF($L880&gt;=75,"Strong Match",IF($L880&gt;=60,"Moderate Match","Low Match"))),"")</f>
        <v/>
      </c>
      <c r="AE880" s="87">
        <f>IF($D880="","",IF(OR($M880="Rejected",$M880="Withdrawn"),IF($AB880&lt;&gt;"",$AB880,IF(OR($M880="Rejected",ISNUMBER($C880)),"Applied","Wishlist")),IF($M880="",IF(ISNUMBER($C880),"Applied","Wishlist"),$M880)))</f>
        <v/>
      </c>
      <c r="AF880" s="88">
        <f>IF(AND(ISNUMBER($C880),ISNUMBER($AA880)),$AA880-$C880,"")</f>
        <v/>
      </c>
      <c r="AG880" s="87">
        <f>IF($AE880="","",IFERROR(MATCH($AE880,{"Wishlist","Applied","Screening","Interview 1","Interview 2","Final","Offer","Accepted"},0)-1,""))</f>
        <v/>
      </c>
      <c r="AH880" s="87">
        <f>IF($AC880="","",MATCH($AC880,{"FOLLOW UP REQUIRED","ACTION DUE TODAY","NO RESPONSE","DUE SOON"},0)*100000+IF(ISNUMBER($O880),$O880,IF(ISNUMBER($C880),$C880,0))+ROW()/10000)</f>
        <v/>
      </c>
      <c r="AI880" s="87">
        <f>IF(AND(ISNUMBER($AG880),$AG880&gt;=1,$AG880&lt;=6,$M880&lt;&gt;"Rejected",$M880&lt;&gt;"Withdrawn"),(10-$AG880)*100000+IF(ISNUMBER($C880),$C880,0)+ROW()/10000,"")</f>
        <v/>
      </c>
    </row>
    <row r="881">
      <c r="A881" s="80" t="n"/>
      <c r="B881" s="81" t="n"/>
      <c r="C881" s="81" t="n"/>
      <c r="D881" s="82" t="n"/>
      <c r="E881" s="82" t="n"/>
      <c r="F881" s="82" t="n"/>
      <c r="G881" s="82" t="n"/>
      <c r="H881" s="82" t="n"/>
      <c r="I881" s="83" t="n"/>
      <c r="J881" s="82" t="n"/>
      <c r="K881" s="84" t="n"/>
      <c r="L881" s="85" t="n"/>
      <c r="M881" s="82" t="n"/>
      <c r="N881" s="86" t="n"/>
      <c r="O881" s="81" t="n"/>
      <c r="P881" s="82" t="n"/>
      <c r="Q881" s="83" t="n"/>
      <c r="R881" s="82" t="n"/>
      <c r="S881" s="84" t="n"/>
      <c r="T881" s="84" t="n"/>
      <c r="U881" s="82" t="n"/>
      <c r="V881" s="86" t="n"/>
      <c r="W881" s="86" t="n"/>
      <c r="X881" s="86" t="n"/>
      <c r="Y881" s="81" t="n"/>
      <c r="Z881" s="82" t="n"/>
      <c r="AA881" s="81" t="n"/>
      <c r="AB881" s="82" t="n"/>
      <c r="AC881" s="87">
        <f>IF(OR($D881="",$M881="Rejected",$M881="Withdrawn",$M881="Accepted"),"",IF(ISNUMBER($O881),IF(INT($O881)&lt;TODAY(),"FOLLOW UP REQUIRED",IF(INT($O881)=TODAY(),"ACTION DUE TODAY",IF(INT($O881)-TODAY()&lt;=Set_DueSoonDays,"DUE SOON",""))),IF(AND($M881="Applied",$AA881=""),IF(ISNUMBER($C881),IF(TODAY()-$C881&gt;=Set_FollowUpDays,"NO RESPONSE",""),""),"")))</f>
        <v/>
      </c>
      <c r="AD881" s="87">
        <f>IF(ISNUMBER($L881),IF($L881&gt;=90,"Excellent Match",IF($L881&gt;=75,"Strong Match",IF($L881&gt;=60,"Moderate Match","Low Match"))),"")</f>
        <v/>
      </c>
      <c r="AE881" s="87">
        <f>IF($D881="","",IF(OR($M881="Rejected",$M881="Withdrawn"),IF($AB881&lt;&gt;"",$AB881,IF(OR($M881="Rejected",ISNUMBER($C881)),"Applied","Wishlist")),IF($M881="",IF(ISNUMBER($C881),"Applied","Wishlist"),$M881)))</f>
        <v/>
      </c>
      <c r="AF881" s="88">
        <f>IF(AND(ISNUMBER($C881),ISNUMBER($AA881)),$AA881-$C881,"")</f>
        <v/>
      </c>
      <c r="AG881" s="87">
        <f>IF($AE881="","",IFERROR(MATCH($AE881,{"Wishlist","Applied","Screening","Interview 1","Interview 2","Final","Offer","Accepted"},0)-1,""))</f>
        <v/>
      </c>
      <c r="AH881" s="87">
        <f>IF($AC881="","",MATCH($AC881,{"FOLLOW UP REQUIRED","ACTION DUE TODAY","NO RESPONSE","DUE SOON"},0)*100000+IF(ISNUMBER($O881),$O881,IF(ISNUMBER($C881),$C881,0))+ROW()/10000)</f>
        <v/>
      </c>
      <c r="AI881" s="87">
        <f>IF(AND(ISNUMBER($AG881),$AG881&gt;=1,$AG881&lt;=6,$M881&lt;&gt;"Rejected",$M881&lt;&gt;"Withdrawn"),(10-$AG881)*100000+IF(ISNUMBER($C881),$C881,0)+ROW()/10000,"")</f>
        <v/>
      </c>
    </row>
    <row r="882">
      <c r="A882" s="80" t="n"/>
      <c r="B882" s="81" t="n"/>
      <c r="C882" s="81" t="n"/>
      <c r="D882" s="82" t="n"/>
      <c r="E882" s="82" t="n"/>
      <c r="F882" s="82" t="n"/>
      <c r="G882" s="82" t="n"/>
      <c r="H882" s="82" t="n"/>
      <c r="I882" s="83" t="n"/>
      <c r="J882" s="82" t="n"/>
      <c r="K882" s="84" t="n"/>
      <c r="L882" s="85" t="n"/>
      <c r="M882" s="82" t="n"/>
      <c r="N882" s="86" t="n"/>
      <c r="O882" s="81" t="n"/>
      <c r="P882" s="82" t="n"/>
      <c r="Q882" s="83" t="n"/>
      <c r="R882" s="82" t="n"/>
      <c r="S882" s="84" t="n"/>
      <c r="T882" s="84" t="n"/>
      <c r="U882" s="82" t="n"/>
      <c r="V882" s="86" t="n"/>
      <c r="W882" s="86" t="n"/>
      <c r="X882" s="86" t="n"/>
      <c r="Y882" s="81" t="n"/>
      <c r="Z882" s="82" t="n"/>
      <c r="AA882" s="81" t="n"/>
      <c r="AB882" s="82" t="n"/>
      <c r="AC882" s="87">
        <f>IF(OR($D882="",$M882="Rejected",$M882="Withdrawn",$M882="Accepted"),"",IF(ISNUMBER($O882),IF(INT($O882)&lt;TODAY(),"FOLLOW UP REQUIRED",IF(INT($O882)=TODAY(),"ACTION DUE TODAY",IF(INT($O882)-TODAY()&lt;=Set_DueSoonDays,"DUE SOON",""))),IF(AND($M882="Applied",$AA882=""),IF(ISNUMBER($C882),IF(TODAY()-$C882&gt;=Set_FollowUpDays,"NO RESPONSE",""),""),"")))</f>
        <v/>
      </c>
      <c r="AD882" s="87">
        <f>IF(ISNUMBER($L882),IF($L882&gt;=90,"Excellent Match",IF($L882&gt;=75,"Strong Match",IF($L882&gt;=60,"Moderate Match","Low Match"))),"")</f>
        <v/>
      </c>
      <c r="AE882" s="87">
        <f>IF($D882="","",IF(OR($M882="Rejected",$M882="Withdrawn"),IF($AB882&lt;&gt;"",$AB882,IF(OR($M882="Rejected",ISNUMBER($C882)),"Applied","Wishlist")),IF($M882="",IF(ISNUMBER($C882),"Applied","Wishlist"),$M882)))</f>
        <v/>
      </c>
      <c r="AF882" s="88">
        <f>IF(AND(ISNUMBER($C882),ISNUMBER($AA882)),$AA882-$C882,"")</f>
        <v/>
      </c>
      <c r="AG882" s="87">
        <f>IF($AE882="","",IFERROR(MATCH($AE882,{"Wishlist","Applied","Screening","Interview 1","Interview 2","Final","Offer","Accepted"},0)-1,""))</f>
        <v/>
      </c>
      <c r="AH882" s="87">
        <f>IF($AC882="","",MATCH($AC882,{"FOLLOW UP REQUIRED","ACTION DUE TODAY","NO RESPONSE","DUE SOON"},0)*100000+IF(ISNUMBER($O882),$O882,IF(ISNUMBER($C882),$C882,0))+ROW()/10000)</f>
        <v/>
      </c>
      <c r="AI882" s="87">
        <f>IF(AND(ISNUMBER($AG882),$AG882&gt;=1,$AG882&lt;=6,$M882&lt;&gt;"Rejected",$M882&lt;&gt;"Withdrawn"),(10-$AG882)*100000+IF(ISNUMBER($C882),$C882,0)+ROW()/10000,"")</f>
        <v/>
      </c>
    </row>
    <row r="883">
      <c r="A883" s="80" t="n"/>
      <c r="B883" s="81" t="n"/>
      <c r="C883" s="81" t="n"/>
      <c r="D883" s="82" t="n"/>
      <c r="E883" s="82" t="n"/>
      <c r="F883" s="82" t="n"/>
      <c r="G883" s="82" t="n"/>
      <c r="H883" s="82" t="n"/>
      <c r="I883" s="83" t="n"/>
      <c r="J883" s="82" t="n"/>
      <c r="K883" s="84" t="n"/>
      <c r="L883" s="85" t="n"/>
      <c r="M883" s="82" t="n"/>
      <c r="N883" s="86" t="n"/>
      <c r="O883" s="81" t="n"/>
      <c r="P883" s="82" t="n"/>
      <c r="Q883" s="83" t="n"/>
      <c r="R883" s="82" t="n"/>
      <c r="S883" s="84" t="n"/>
      <c r="T883" s="84" t="n"/>
      <c r="U883" s="82" t="n"/>
      <c r="V883" s="86" t="n"/>
      <c r="W883" s="86" t="n"/>
      <c r="X883" s="86" t="n"/>
      <c r="Y883" s="81" t="n"/>
      <c r="Z883" s="82" t="n"/>
      <c r="AA883" s="81" t="n"/>
      <c r="AB883" s="82" t="n"/>
      <c r="AC883" s="87">
        <f>IF(OR($D883="",$M883="Rejected",$M883="Withdrawn",$M883="Accepted"),"",IF(ISNUMBER($O883),IF(INT($O883)&lt;TODAY(),"FOLLOW UP REQUIRED",IF(INT($O883)=TODAY(),"ACTION DUE TODAY",IF(INT($O883)-TODAY()&lt;=Set_DueSoonDays,"DUE SOON",""))),IF(AND($M883="Applied",$AA883=""),IF(ISNUMBER($C883),IF(TODAY()-$C883&gt;=Set_FollowUpDays,"NO RESPONSE",""),""),"")))</f>
        <v/>
      </c>
      <c r="AD883" s="87">
        <f>IF(ISNUMBER($L883),IF($L883&gt;=90,"Excellent Match",IF($L883&gt;=75,"Strong Match",IF($L883&gt;=60,"Moderate Match","Low Match"))),"")</f>
        <v/>
      </c>
      <c r="AE883" s="87">
        <f>IF($D883="","",IF(OR($M883="Rejected",$M883="Withdrawn"),IF($AB883&lt;&gt;"",$AB883,IF(OR($M883="Rejected",ISNUMBER($C883)),"Applied","Wishlist")),IF($M883="",IF(ISNUMBER($C883),"Applied","Wishlist"),$M883)))</f>
        <v/>
      </c>
      <c r="AF883" s="88">
        <f>IF(AND(ISNUMBER($C883),ISNUMBER($AA883)),$AA883-$C883,"")</f>
        <v/>
      </c>
      <c r="AG883" s="87">
        <f>IF($AE883="","",IFERROR(MATCH($AE883,{"Wishlist","Applied","Screening","Interview 1","Interview 2","Final","Offer","Accepted"},0)-1,""))</f>
        <v/>
      </c>
      <c r="AH883" s="87">
        <f>IF($AC883="","",MATCH($AC883,{"FOLLOW UP REQUIRED","ACTION DUE TODAY","NO RESPONSE","DUE SOON"},0)*100000+IF(ISNUMBER($O883),$O883,IF(ISNUMBER($C883),$C883,0))+ROW()/10000)</f>
        <v/>
      </c>
      <c r="AI883" s="87">
        <f>IF(AND(ISNUMBER($AG883),$AG883&gt;=1,$AG883&lt;=6,$M883&lt;&gt;"Rejected",$M883&lt;&gt;"Withdrawn"),(10-$AG883)*100000+IF(ISNUMBER($C883),$C883,0)+ROW()/10000,"")</f>
        <v/>
      </c>
    </row>
    <row r="884">
      <c r="A884" s="80" t="n"/>
      <c r="B884" s="81" t="n"/>
      <c r="C884" s="81" t="n"/>
      <c r="D884" s="82" t="n"/>
      <c r="E884" s="82" t="n"/>
      <c r="F884" s="82" t="n"/>
      <c r="G884" s="82" t="n"/>
      <c r="H884" s="82" t="n"/>
      <c r="I884" s="83" t="n"/>
      <c r="J884" s="82" t="n"/>
      <c r="K884" s="84" t="n"/>
      <c r="L884" s="85" t="n"/>
      <c r="M884" s="82" t="n"/>
      <c r="N884" s="86" t="n"/>
      <c r="O884" s="81" t="n"/>
      <c r="P884" s="82" t="n"/>
      <c r="Q884" s="83" t="n"/>
      <c r="R884" s="82" t="n"/>
      <c r="S884" s="84" t="n"/>
      <c r="T884" s="84" t="n"/>
      <c r="U884" s="82" t="n"/>
      <c r="V884" s="86" t="n"/>
      <c r="W884" s="86" t="n"/>
      <c r="X884" s="86" t="n"/>
      <c r="Y884" s="81" t="n"/>
      <c r="Z884" s="82" t="n"/>
      <c r="AA884" s="81" t="n"/>
      <c r="AB884" s="82" t="n"/>
      <c r="AC884" s="87">
        <f>IF(OR($D884="",$M884="Rejected",$M884="Withdrawn",$M884="Accepted"),"",IF(ISNUMBER($O884),IF(INT($O884)&lt;TODAY(),"FOLLOW UP REQUIRED",IF(INT($O884)=TODAY(),"ACTION DUE TODAY",IF(INT($O884)-TODAY()&lt;=Set_DueSoonDays,"DUE SOON",""))),IF(AND($M884="Applied",$AA884=""),IF(ISNUMBER($C884),IF(TODAY()-$C884&gt;=Set_FollowUpDays,"NO RESPONSE",""),""),"")))</f>
        <v/>
      </c>
      <c r="AD884" s="87">
        <f>IF(ISNUMBER($L884),IF($L884&gt;=90,"Excellent Match",IF($L884&gt;=75,"Strong Match",IF($L884&gt;=60,"Moderate Match","Low Match"))),"")</f>
        <v/>
      </c>
      <c r="AE884" s="87">
        <f>IF($D884="","",IF(OR($M884="Rejected",$M884="Withdrawn"),IF($AB884&lt;&gt;"",$AB884,IF(OR($M884="Rejected",ISNUMBER($C884)),"Applied","Wishlist")),IF($M884="",IF(ISNUMBER($C884),"Applied","Wishlist"),$M884)))</f>
        <v/>
      </c>
      <c r="AF884" s="88">
        <f>IF(AND(ISNUMBER($C884),ISNUMBER($AA884)),$AA884-$C884,"")</f>
        <v/>
      </c>
      <c r="AG884" s="87">
        <f>IF($AE884="","",IFERROR(MATCH($AE884,{"Wishlist","Applied","Screening","Interview 1","Interview 2","Final","Offer","Accepted"},0)-1,""))</f>
        <v/>
      </c>
      <c r="AH884" s="87">
        <f>IF($AC884="","",MATCH($AC884,{"FOLLOW UP REQUIRED","ACTION DUE TODAY","NO RESPONSE","DUE SOON"},0)*100000+IF(ISNUMBER($O884),$O884,IF(ISNUMBER($C884),$C884,0))+ROW()/10000)</f>
        <v/>
      </c>
      <c r="AI884" s="87">
        <f>IF(AND(ISNUMBER($AG884),$AG884&gt;=1,$AG884&lt;=6,$M884&lt;&gt;"Rejected",$M884&lt;&gt;"Withdrawn"),(10-$AG884)*100000+IF(ISNUMBER($C884),$C884,0)+ROW()/10000,"")</f>
        <v/>
      </c>
    </row>
    <row r="885">
      <c r="A885" s="80" t="n"/>
      <c r="B885" s="81" t="n"/>
      <c r="C885" s="81" t="n"/>
      <c r="D885" s="82" t="n"/>
      <c r="E885" s="82" t="n"/>
      <c r="F885" s="82" t="n"/>
      <c r="G885" s="82" t="n"/>
      <c r="H885" s="82" t="n"/>
      <c r="I885" s="83" t="n"/>
      <c r="J885" s="82" t="n"/>
      <c r="K885" s="84" t="n"/>
      <c r="L885" s="85" t="n"/>
      <c r="M885" s="82" t="n"/>
      <c r="N885" s="86" t="n"/>
      <c r="O885" s="81" t="n"/>
      <c r="P885" s="82" t="n"/>
      <c r="Q885" s="83" t="n"/>
      <c r="R885" s="82" t="n"/>
      <c r="S885" s="84" t="n"/>
      <c r="T885" s="84" t="n"/>
      <c r="U885" s="82" t="n"/>
      <c r="V885" s="86" t="n"/>
      <c r="W885" s="86" t="n"/>
      <c r="X885" s="86" t="n"/>
      <c r="Y885" s="81" t="n"/>
      <c r="Z885" s="82" t="n"/>
      <c r="AA885" s="81" t="n"/>
      <c r="AB885" s="82" t="n"/>
      <c r="AC885" s="87">
        <f>IF(OR($D885="",$M885="Rejected",$M885="Withdrawn",$M885="Accepted"),"",IF(ISNUMBER($O885),IF(INT($O885)&lt;TODAY(),"FOLLOW UP REQUIRED",IF(INT($O885)=TODAY(),"ACTION DUE TODAY",IF(INT($O885)-TODAY()&lt;=Set_DueSoonDays,"DUE SOON",""))),IF(AND($M885="Applied",$AA885=""),IF(ISNUMBER($C885),IF(TODAY()-$C885&gt;=Set_FollowUpDays,"NO RESPONSE",""),""),"")))</f>
        <v/>
      </c>
      <c r="AD885" s="87">
        <f>IF(ISNUMBER($L885),IF($L885&gt;=90,"Excellent Match",IF($L885&gt;=75,"Strong Match",IF($L885&gt;=60,"Moderate Match","Low Match"))),"")</f>
        <v/>
      </c>
      <c r="AE885" s="87">
        <f>IF($D885="","",IF(OR($M885="Rejected",$M885="Withdrawn"),IF($AB885&lt;&gt;"",$AB885,IF(OR($M885="Rejected",ISNUMBER($C885)),"Applied","Wishlist")),IF($M885="",IF(ISNUMBER($C885),"Applied","Wishlist"),$M885)))</f>
        <v/>
      </c>
      <c r="AF885" s="88">
        <f>IF(AND(ISNUMBER($C885),ISNUMBER($AA885)),$AA885-$C885,"")</f>
        <v/>
      </c>
      <c r="AG885" s="87">
        <f>IF($AE885="","",IFERROR(MATCH($AE885,{"Wishlist","Applied","Screening","Interview 1","Interview 2","Final","Offer","Accepted"},0)-1,""))</f>
        <v/>
      </c>
      <c r="AH885" s="87">
        <f>IF($AC885="","",MATCH($AC885,{"FOLLOW UP REQUIRED","ACTION DUE TODAY","NO RESPONSE","DUE SOON"},0)*100000+IF(ISNUMBER($O885),$O885,IF(ISNUMBER($C885),$C885,0))+ROW()/10000)</f>
        <v/>
      </c>
      <c r="AI885" s="87">
        <f>IF(AND(ISNUMBER($AG885),$AG885&gt;=1,$AG885&lt;=6,$M885&lt;&gt;"Rejected",$M885&lt;&gt;"Withdrawn"),(10-$AG885)*100000+IF(ISNUMBER($C885),$C885,0)+ROW()/10000,"")</f>
        <v/>
      </c>
    </row>
    <row r="886">
      <c r="A886" s="80" t="n"/>
      <c r="B886" s="81" t="n"/>
      <c r="C886" s="81" t="n"/>
      <c r="D886" s="82" t="n"/>
      <c r="E886" s="82" t="n"/>
      <c r="F886" s="82" t="n"/>
      <c r="G886" s="82" t="n"/>
      <c r="H886" s="82" t="n"/>
      <c r="I886" s="83" t="n"/>
      <c r="J886" s="82" t="n"/>
      <c r="K886" s="84" t="n"/>
      <c r="L886" s="85" t="n"/>
      <c r="M886" s="82" t="n"/>
      <c r="N886" s="86" t="n"/>
      <c r="O886" s="81" t="n"/>
      <c r="P886" s="82" t="n"/>
      <c r="Q886" s="83" t="n"/>
      <c r="R886" s="82" t="n"/>
      <c r="S886" s="84" t="n"/>
      <c r="T886" s="84" t="n"/>
      <c r="U886" s="82" t="n"/>
      <c r="V886" s="86" t="n"/>
      <c r="W886" s="86" t="n"/>
      <c r="X886" s="86" t="n"/>
      <c r="Y886" s="81" t="n"/>
      <c r="Z886" s="82" t="n"/>
      <c r="AA886" s="81" t="n"/>
      <c r="AB886" s="82" t="n"/>
      <c r="AC886" s="87">
        <f>IF(OR($D886="",$M886="Rejected",$M886="Withdrawn",$M886="Accepted"),"",IF(ISNUMBER($O886),IF(INT($O886)&lt;TODAY(),"FOLLOW UP REQUIRED",IF(INT($O886)=TODAY(),"ACTION DUE TODAY",IF(INT($O886)-TODAY()&lt;=Set_DueSoonDays,"DUE SOON",""))),IF(AND($M886="Applied",$AA886=""),IF(ISNUMBER($C886),IF(TODAY()-$C886&gt;=Set_FollowUpDays,"NO RESPONSE",""),""),"")))</f>
        <v/>
      </c>
      <c r="AD886" s="87">
        <f>IF(ISNUMBER($L886),IF($L886&gt;=90,"Excellent Match",IF($L886&gt;=75,"Strong Match",IF($L886&gt;=60,"Moderate Match","Low Match"))),"")</f>
        <v/>
      </c>
      <c r="AE886" s="87">
        <f>IF($D886="","",IF(OR($M886="Rejected",$M886="Withdrawn"),IF($AB886&lt;&gt;"",$AB886,IF(OR($M886="Rejected",ISNUMBER($C886)),"Applied","Wishlist")),IF($M886="",IF(ISNUMBER($C886),"Applied","Wishlist"),$M886)))</f>
        <v/>
      </c>
      <c r="AF886" s="88">
        <f>IF(AND(ISNUMBER($C886),ISNUMBER($AA886)),$AA886-$C886,"")</f>
        <v/>
      </c>
      <c r="AG886" s="87">
        <f>IF($AE886="","",IFERROR(MATCH($AE886,{"Wishlist","Applied","Screening","Interview 1","Interview 2","Final","Offer","Accepted"},0)-1,""))</f>
        <v/>
      </c>
      <c r="AH886" s="87">
        <f>IF($AC886="","",MATCH($AC886,{"FOLLOW UP REQUIRED","ACTION DUE TODAY","NO RESPONSE","DUE SOON"},0)*100000+IF(ISNUMBER($O886),$O886,IF(ISNUMBER($C886),$C886,0))+ROW()/10000)</f>
        <v/>
      </c>
      <c r="AI886" s="87">
        <f>IF(AND(ISNUMBER($AG886),$AG886&gt;=1,$AG886&lt;=6,$M886&lt;&gt;"Rejected",$M886&lt;&gt;"Withdrawn"),(10-$AG886)*100000+IF(ISNUMBER($C886),$C886,0)+ROW()/10000,"")</f>
        <v/>
      </c>
    </row>
    <row r="887">
      <c r="A887" s="80" t="n"/>
      <c r="B887" s="81" t="n"/>
      <c r="C887" s="81" t="n"/>
      <c r="D887" s="82" t="n"/>
      <c r="E887" s="82" t="n"/>
      <c r="F887" s="82" t="n"/>
      <c r="G887" s="82" t="n"/>
      <c r="H887" s="82" t="n"/>
      <c r="I887" s="83" t="n"/>
      <c r="J887" s="82" t="n"/>
      <c r="K887" s="84" t="n"/>
      <c r="L887" s="85" t="n"/>
      <c r="M887" s="82" t="n"/>
      <c r="N887" s="86" t="n"/>
      <c r="O887" s="81" t="n"/>
      <c r="P887" s="82" t="n"/>
      <c r="Q887" s="83" t="n"/>
      <c r="R887" s="82" t="n"/>
      <c r="S887" s="84" t="n"/>
      <c r="T887" s="84" t="n"/>
      <c r="U887" s="82" t="n"/>
      <c r="V887" s="86" t="n"/>
      <c r="W887" s="86" t="n"/>
      <c r="X887" s="86" t="n"/>
      <c r="Y887" s="81" t="n"/>
      <c r="Z887" s="82" t="n"/>
      <c r="AA887" s="81" t="n"/>
      <c r="AB887" s="82" t="n"/>
      <c r="AC887" s="87">
        <f>IF(OR($D887="",$M887="Rejected",$M887="Withdrawn",$M887="Accepted"),"",IF(ISNUMBER($O887),IF(INT($O887)&lt;TODAY(),"FOLLOW UP REQUIRED",IF(INT($O887)=TODAY(),"ACTION DUE TODAY",IF(INT($O887)-TODAY()&lt;=Set_DueSoonDays,"DUE SOON",""))),IF(AND($M887="Applied",$AA887=""),IF(ISNUMBER($C887),IF(TODAY()-$C887&gt;=Set_FollowUpDays,"NO RESPONSE",""),""),"")))</f>
        <v/>
      </c>
      <c r="AD887" s="87">
        <f>IF(ISNUMBER($L887),IF($L887&gt;=90,"Excellent Match",IF($L887&gt;=75,"Strong Match",IF($L887&gt;=60,"Moderate Match","Low Match"))),"")</f>
        <v/>
      </c>
      <c r="AE887" s="87">
        <f>IF($D887="","",IF(OR($M887="Rejected",$M887="Withdrawn"),IF($AB887&lt;&gt;"",$AB887,IF(OR($M887="Rejected",ISNUMBER($C887)),"Applied","Wishlist")),IF($M887="",IF(ISNUMBER($C887),"Applied","Wishlist"),$M887)))</f>
        <v/>
      </c>
      <c r="AF887" s="88">
        <f>IF(AND(ISNUMBER($C887),ISNUMBER($AA887)),$AA887-$C887,"")</f>
        <v/>
      </c>
      <c r="AG887" s="87">
        <f>IF($AE887="","",IFERROR(MATCH($AE887,{"Wishlist","Applied","Screening","Interview 1","Interview 2","Final","Offer","Accepted"},0)-1,""))</f>
        <v/>
      </c>
      <c r="AH887" s="87">
        <f>IF($AC887="","",MATCH($AC887,{"FOLLOW UP REQUIRED","ACTION DUE TODAY","NO RESPONSE","DUE SOON"},0)*100000+IF(ISNUMBER($O887),$O887,IF(ISNUMBER($C887),$C887,0))+ROW()/10000)</f>
        <v/>
      </c>
      <c r="AI887" s="87">
        <f>IF(AND(ISNUMBER($AG887),$AG887&gt;=1,$AG887&lt;=6,$M887&lt;&gt;"Rejected",$M887&lt;&gt;"Withdrawn"),(10-$AG887)*100000+IF(ISNUMBER($C887),$C887,0)+ROW()/10000,"")</f>
        <v/>
      </c>
    </row>
    <row r="888">
      <c r="A888" s="80" t="n"/>
      <c r="B888" s="81" t="n"/>
      <c r="C888" s="81" t="n"/>
      <c r="D888" s="82" t="n"/>
      <c r="E888" s="82" t="n"/>
      <c r="F888" s="82" t="n"/>
      <c r="G888" s="82" t="n"/>
      <c r="H888" s="82" t="n"/>
      <c r="I888" s="83" t="n"/>
      <c r="J888" s="82" t="n"/>
      <c r="K888" s="84" t="n"/>
      <c r="L888" s="85" t="n"/>
      <c r="M888" s="82" t="n"/>
      <c r="N888" s="86" t="n"/>
      <c r="O888" s="81" t="n"/>
      <c r="P888" s="82" t="n"/>
      <c r="Q888" s="83" t="n"/>
      <c r="R888" s="82" t="n"/>
      <c r="S888" s="84" t="n"/>
      <c r="T888" s="84" t="n"/>
      <c r="U888" s="82" t="n"/>
      <c r="V888" s="86" t="n"/>
      <c r="W888" s="86" t="n"/>
      <c r="X888" s="86" t="n"/>
      <c r="Y888" s="81" t="n"/>
      <c r="Z888" s="82" t="n"/>
      <c r="AA888" s="81" t="n"/>
      <c r="AB888" s="82" t="n"/>
      <c r="AC888" s="87">
        <f>IF(OR($D888="",$M888="Rejected",$M888="Withdrawn",$M888="Accepted"),"",IF(ISNUMBER($O888),IF(INT($O888)&lt;TODAY(),"FOLLOW UP REQUIRED",IF(INT($O888)=TODAY(),"ACTION DUE TODAY",IF(INT($O888)-TODAY()&lt;=Set_DueSoonDays,"DUE SOON",""))),IF(AND($M888="Applied",$AA888=""),IF(ISNUMBER($C888),IF(TODAY()-$C888&gt;=Set_FollowUpDays,"NO RESPONSE",""),""),"")))</f>
        <v/>
      </c>
      <c r="AD888" s="87">
        <f>IF(ISNUMBER($L888),IF($L888&gt;=90,"Excellent Match",IF($L888&gt;=75,"Strong Match",IF($L888&gt;=60,"Moderate Match","Low Match"))),"")</f>
        <v/>
      </c>
      <c r="AE888" s="87">
        <f>IF($D888="","",IF(OR($M888="Rejected",$M888="Withdrawn"),IF($AB888&lt;&gt;"",$AB888,IF(OR($M888="Rejected",ISNUMBER($C888)),"Applied","Wishlist")),IF($M888="",IF(ISNUMBER($C888),"Applied","Wishlist"),$M888)))</f>
        <v/>
      </c>
      <c r="AF888" s="88">
        <f>IF(AND(ISNUMBER($C888),ISNUMBER($AA888)),$AA888-$C888,"")</f>
        <v/>
      </c>
      <c r="AG888" s="87">
        <f>IF($AE888="","",IFERROR(MATCH($AE888,{"Wishlist","Applied","Screening","Interview 1","Interview 2","Final","Offer","Accepted"},0)-1,""))</f>
        <v/>
      </c>
      <c r="AH888" s="87">
        <f>IF($AC888="","",MATCH($AC888,{"FOLLOW UP REQUIRED","ACTION DUE TODAY","NO RESPONSE","DUE SOON"},0)*100000+IF(ISNUMBER($O888),$O888,IF(ISNUMBER($C888),$C888,0))+ROW()/10000)</f>
        <v/>
      </c>
      <c r="AI888" s="87">
        <f>IF(AND(ISNUMBER($AG888),$AG888&gt;=1,$AG888&lt;=6,$M888&lt;&gt;"Rejected",$M888&lt;&gt;"Withdrawn"),(10-$AG888)*100000+IF(ISNUMBER($C888),$C888,0)+ROW()/10000,"")</f>
        <v/>
      </c>
    </row>
    <row r="889">
      <c r="A889" s="80" t="n"/>
      <c r="B889" s="81" t="n"/>
      <c r="C889" s="81" t="n"/>
      <c r="D889" s="82" t="n"/>
      <c r="E889" s="82" t="n"/>
      <c r="F889" s="82" t="n"/>
      <c r="G889" s="82" t="n"/>
      <c r="H889" s="82" t="n"/>
      <c r="I889" s="83" t="n"/>
      <c r="J889" s="82" t="n"/>
      <c r="K889" s="84" t="n"/>
      <c r="L889" s="85" t="n"/>
      <c r="M889" s="82" t="n"/>
      <c r="N889" s="86" t="n"/>
      <c r="O889" s="81" t="n"/>
      <c r="P889" s="82" t="n"/>
      <c r="Q889" s="83" t="n"/>
      <c r="R889" s="82" t="n"/>
      <c r="S889" s="84" t="n"/>
      <c r="T889" s="84" t="n"/>
      <c r="U889" s="82" t="n"/>
      <c r="V889" s="86" t="n"/>
      <c r="W889" s="86" t="n"/>
      <c r="X889" s="86" t="n"/>
      <c r="Y889" s="81" t="n"/>
      <c r="Z889" s="82" t="n"/>
      <c r="AA889" s="81" t="n"/>
      <c r="AB889" s="82" t="n"/>
      <c r="AC889" s="87">
        <f>IF(OR($D889="",$M889="Rejected",$M889="Withdrawn",$M889="Accepted"),"",IF(ISNUMBER($O889),IF(INT($O889)&lt;TODAY(),"FOLLOW UP REQUIRED",IF(INT($O889)=TODAY(),"ACTION DUE TODAY",IF(INT($O889)-TODAY()&lt;=Set_DueSoonDays,"DUE SOON",""))),IF(AND($M889="Applied",$AA889=""),IF(ISNUMBER($C889),IF(TODAY()-$C889&gt;=Set_FollowUpDays,"NO RESPONSE",""),""),"")))</f>
        <v/>
      </c>
      <c r="AD889" s="87">
        <f>IF(ISNUMBER($L889),IF($L889&gt;=90,"Excellent Match",IF($L889&gt;=75,"Strong Match",IF($L889&gt;=60,"Moderate Match","Low Match"))),"")</f>
        <v/>
      </c>
      <c r="AE889" s="87">
        <f>IF($D889="","",IF(OR($M889="Rejected",$M889="Withdrawn"),IF($AB889&lt;&gt;"",$AB889,IF(OR($M889="Rejected",ISNUMBER($C889)),"Applied","Wishlist")),IF($M889="",IF(ISNUMBER($C889),"Applied","Wishlist"),$M889)))</f>
        <v/>
      </c>
      <c r="AF889" s="88">
        <f>IF(AND(ISNUMBER($C889),ISNUMBER($AA889)),$AA889-$C889,"")</f>
        <v/>
      </c>
      <c r="AG889" s="87">
        <f>IF($AE889="","",IFERROR(MATCH($AE889,{"Wishlist","Applied","Screening","Interview 1","Interview 2","Final","Offer","Accepted"},0)-1,""))</f>
        <v/>
      </c>
      <c r="AH889" s="87">
        <f>IF($AC889="","",MATCH($AC889,{"FOLLOW UP REQUIRED","ACTION DUE TODAY","NO RESPONSE","DUE SOON"},0)*100000+IF(ISNUMBER($O889),$O889,IF(ISNUMBER($C889),$C889,0))+ROW()/10000)</f>
        <v/>
      </c>
      <c r="AI889" s="87">
        <f>IF(AND(ISNUMBER($AG889),$AG889&gt;=1,$AG889&lt;=6,$M889&lt;&gt;"Rejected",$M889&lt;&gt;"Withdrawn"),(10-$AG889)*100000+IF(ISNUMBER($C889),$C889,0)+ROW()/10000,"")</f>
        <v/>
      </c>
    </row>
    <row r="890">
      <c r="A890" s="80" t="n"/>
      <c r="B890" s="81" t="n"/>
      <c r="C890" s="81" t="n"/>
      <c r="D890" s="82" t="n"/>
      <c r="E890" s="82" t="n"/>
      <c r="F890" s="82" t="n"/>
      <c r="G890" s="82" t="n"/>
      <c r="H890" s="82" t="n"/>
      <c r="I890" s="83" t="n"/>
      <c r="J890" s="82" t="n"/>
      <c r="K890" s="84" t="n"/>
      <c r="L890" s="85" t="n"/>
      <c r="M890" s="82" t="n"/>
      <c r="N890" s="86" t="n"/>
      <c r="O890" s="81" t="n"/>
      <c r="P890" s="82" t="n"/>
      <c r="Q890" s="83" t="n"/>
      <c r="R890" s="82" t="n"/>
      <c r="S890" s="84" t="n"/>
      <c r="T890" s="84" t="n"/>
      <c r="U890" s="82" t="n"/>
      <c r="V890" s="86" t="n"/>
      <c r="W890" s="86" t="n"/>
      <c r="X890" s="86" t="n"/>
      <c r="Y890" s="81" t="n"/>
      <c r="Z890" s="82" t="n"/>
      <c r="AA890" s="81" t="n"/>
      <c r="AB890" s="82" t="n"/>
      <c r="AC890" s="87">
        <f>IF(OR($D890="",$M890="Rejected",$M890="Withdrawn",$M890="Accepted"),"",IF(ISNUMBER($O890),IF(INT($O890)&lt;TODAY(),"FOLLOW UP REQUIRED",IF(INT($O890)=TODAY(),"ACTION DUE TODAY",IF(INT($O890)-TODAY()&lt;=Set_DueSoonDays,"DUE SOON",""))),IF(AND($M890="Applied",$AA890=""),IF(ISNUMBER($C890),IF(TODAY()-$C890&gt;=Set_FollowUpDays,"NO RESPONSE",""),""),"")))</f>
        <v/>
      </c>
      <c r="AD890" s="87">
        <f>IF(ISNUMBER($L890),IF($L890&gt;=90,"Excellent Match",IF($L890&gt;=75,"Strong Match",IF($L890&gt;=60,"Moderate Match","Low Match"))),"")</f>
        <v/>
      </c>
      <c r="AE890" s="87">
        <f>IF($D890="","",IF(OR($M890="Rejected",$M890="Withdrawn"),IF($AB890&lt;&gt;"",$AB890,IF(OR($M890="Rejected",ISNUMBER($C890)),"Applied","Wishlist")),IF($M890="",IF(ISNUMBER($C890),"Applied","Wishlist"),$M890)))</f>
        <v/>
      </c>
      <c r="AF890" s="88">
        <f>IF(AND(ISNUMBER($C890),ISNUMBER($AA890)),$AA890-$C890,"")</f>
        <v/>
      </c>
      <c r="AG890" s="87">
        <f>IF($AE890="","",IFERROR(MATCH($AE890,{"Wishlist","Applied","Screening","Interview 1","Interview 2","Final","Offer","Accepted"},0)-1,""))</f>
        <v/>
      </c>
      <c r="AH890" s="87">
        <f>IF($AC890="","",MATCH($AC890,{"FOLLOW UP REQUIRED","ACTION DUE TODAY","NO RESPONSE","DUE SOON"},0)*100000+IF(ISNUMBER($O890),$O890,IF(ISNUMBER($C890),$C890,0))+ROW()/10000)</f>
        <v/>
      </c>
      <c r="AI890" s="87">
        <f>IF(AND(ISNUMBER($AG890),$AG890&gt;=1,$AG890&lt;=6,$M890&lt;&gt;"Rejected",$M890&lt;&gt;"Withdrawn"),(10-$AG890)*100000+IF(ISNUMBER($C890),$C890,0)+ROW()/10000,"")</f>
        <v/>
      </c>
    </row>
    <row r="891">
      <c r="A891" s="80" t="n"/>
      <c r="B891" s="81" t="n"/>
      <c r="C891" s="81" t="n"/>
      <c r="D891" s="82" t="n"/>
      <c r="E891" s="82" t="n"/>
      <c r="F891" s="82" t="n"/>
      <c r="G891" s="82" t="n"/>
      <c r="H891" s="82" t="n"/>
      <c r="I891" s="83" t="n"/>
      <c r="J891" s="82" t="n"/>
      <c r="K891" s="84" t="n"/>
      <c r="L891" s="85" t="n"/>
      <c r="M891" s="82" t="n"/>
      <c r="N891" s="86" t="n"/>
      <c r="O891" s="81" t="n"/>
      <c r="P891" s="82" t="n"/>
      <c r="Q891" s="83" t="n"/>
      <c r="R891" s="82" t="n"/>
      <c r="S891" s="84" t="n"/>
      <c r="T891" s="84" t="n"/>
      <c r="U891" s="82" t="n"/>
      <c r="V891" s="86" t="n"/>
      <c r="W891" s="86" t="n"/>
      <c r="X891" s="86" t="n"/>
      <c r="Y891" s="81" t="n"/>
      <c r="Z891" s="82" t="n"/>
      <c r="AA891" s="81" t="n"/>
      <c r="AB891" s="82" t="n"/>
      <c r="AC891" s="87">
        <f>IF(OR($D891="",$M891="Rejected",$M891="Withdrawn",$M891="Accepted"),"",IF(ISNUMBER($O891),IF(INT($O891)&lt;TODAY(),"FOLLOW UP REQUIRED",IF(INT($O891)=TODAY(),"ACTION DUE TODAY",IF(INT($O891)-TODAY()&lt;=Set_DueSoonDays,"DUE SOON",""))),IF(AND($M891="Applied",$AA891=""),IF(ISNUMBER($C891),IF(TODAY()-$C891&gt;=Set_FollowUpDays,"NO RESPONSE",""),""),"")))</f>
        <v/>
      </c>
      <c r="AD891" s="87">
        <f>IF(ISNUMBER($L891),IF($L891&gt;=90,"Excellent Match",IF($L891&gt;=75,"Strong Match",IF($L891&gt;=60,"Moderate Match","Low Match"))),"")</f>
        <v/>
      </c>
      <c r="AE891" s="87">
        <f>IF($D891="","",IF(OR($M891="Rejected",$M891="Withdrawn"),IF($AB891&lt;&gt;"",$AB891,IF(OR($M891="Rejected",ISNUMBER($C891)),"Applied","Wishlist")),IF($M891="",IF(ISNUMBER($C891),"Applied","Wishlist"),$M891)))</f>
        <v/>
      </c>
      <c r="AF891" s="88">
        <f>IF(AND(ISNUMBER($C891),ISNUMBER($AA891)),$AA891-$C891,"")</f>
        <v/>
      </c>
      <c r="AG891" s="87">
        <f>IF($AE891="","",IFERROR(MATCH($AE891,{"Wishlist","Applied","Screening","Interview 1","Interview 2","Final","Offer","Accepted"},0)-1,""))</f>
        <v/>
      </c>
      <c r="AH891" s="87">
        <f>IF($AC891="","",MATCH($AC891,{"FOLLOW UP REQUIRED","ACTION DUE TODAY","NO RESPONSE","DUE SOON"},0)*100000+IF(ISNUMBER($O891),$O891,IF(ISNUMBER($C891),$C891,0))+ROW()/10000)</f>
        <v/>
      </c>
      <c r="AI891" s="87">
        <f>IF(AND(ISNUMBER($AG891),$AG891&gt;=1,$AG891&lt;=6,$M891&lt;&gt;"Rejected",$M891&lt;&gt;"Withdrawn"),(10-$AG891)*100000+IF(ISNUMBER($C891),$C891,0)+ROW()/10000,"")</f>
        <v/>
      </c>
    </row>
    <row r="892">
      <c r="A892" s="80" t="n"/>
      <c r="B892" s="81" t="n"/>
      <c r="C892" s="81" t="n"/>
      <c r="D892" s="82" t="n"/>
      <c r="E892" s="82" t="n"/>
      <c r="F892" s="82" t="n"/>
      <c r="G892" s="82" t="n"/>
      <c r="H892" s="82" t="n"/>
      <c r="I892" s="83" t="n"/>
      <c r="J892" s="82" t="n"/>
      <c r="K892" s="84" t="n"/>
      <c r="L892" s="85" t="n"/>
      <c r="M892" s="82" t="n"/>
      <c r="N892" s="86" t="n"/>
      <c r="O892" s="81" t="n"/>
      <c r="P892" s="82" t="n"/>
      <c r="Q892" s="83" t="n"/>
      <c r="R892" s="82" t="n"/>
      <c r="S892" s="84" t="n"/>
      <c r="T892" s="84" t="n"/>
      <c r="U892" s="82" t="n"/>
      <c r="V892" s="86" t="n"/>
      <c r="W892" s="86" t="n"/>
      <c r="X892" s="86" t="n"/>
      <c r="Y892" s="81" t="n"/>
      <c r="Z892" s="82" t="n"/>
      <c r="AA892" s="81" t="n"/>
      <c r="AB892" s="82" t="n"/>
      <c r="AC892" s="87">
        <f>IF(OR($D892="",$M892="Rejected",$M892="Withdrawn",$M892="Accepted"),"",IF(ISNUMBER($O892),IF(INT($O892)&lt;TODAY(),"FOLLOW UP REQUIRED",IF(INT($O892)=TODAY(),"ACTION DUE TODAY",IF(INT($O892)-TODAY()&lt;=Set_DueSoonDays,"DUE SOON",""))),IF(AND($M892="Applied",$AA892=""),IF(ISNUMBER($C892),IF(TODAY()-$C892&gt;=Set_FollowUpDays,"NO RESPONSE",""),""),"")))</f>
        <v/>
      </c>
      <c r="AD892" s="87">
        <f>IF(ISNUMBER($L892),IF($L892&gt;=90,"Excellent Match",IF($L892&gt;=75,"Strong Match",IF($L892&gt;=60,"Moderate Match","Low Match"))),"")</f>
        <v/>
      </c>
      <c r="AE892" s="87">
        <f>IF($D892="","",IF(OR($M892="Rejected",$M892="Withdrawn"),IF($AB892&lt;&gt;"",$AB892,IF(OR($M892="Rejected",ISNUMBER($C892)),"Applied","Wishlist")),IF($M892="",IF(ISNUMBER($C892),"Applied","Wishlist"),$M892)))</f>
        <v/>
      </c>
      <c r="AF892" s="88">
        <f>IF(AND(ISNUMBER($C892),ISNUMBER($AA892)),$AA892-$C892,"")</f>
        <v/>
      </c>
      <c r="AG892" s="87">
        <f>IF($AE892="","",IFERROR(MATCH($AE892,{"Wishlist","Applied","Screening","Interview 1","Interview 2","Final","Offer","Accepted"},0)-1,""))</f>
        <v/>
      </c>
      <c r="AH892" s="87">
        <f>IF($AC892="","",MATCH($AC892,{"FOLLOW UP REQUIRED","ACTION DUE TODAY","NO RESPONSE","DUE SOON"},0)*100000+IF(ISNUMBER($O892),$O892,IF(ISNUMBER($C892),$C892,0))+ROW()/10000)</f>
        <v/>
      </c>
      <c r="AI892" s="87">
        <f>IF(AND(ISNUMBER($AG892),$AG892&gt;=1,$AG892&lt;=6,$M892&lt;&gt;"Rejected",$M892&lt;&gt;"Withdrawn"),(10-$AG892)*100000+IF(ISNUMBER($C892),$C892,0)+ROW()/10000,"")</f>
        <v/>
      </c>
    </row>
    <row r="893">
      <c r="A893" s="80" t="n"/>
      <c r="B893" s="81" t="n"/>
      <c r="C893" s="81" t="n"/>
      <c r="D893" s="82" t="n"/>
      <c r="E893" s="82" t="n"/>
      <c r="F893" s="82" t="n"/>
      <c r="G893" s="82" t="n"/>
      <c r="H893" s="82" t="n"/>
      <c r="I893" s="83" t="n"/>
      <c r="J893" s="82" t="n"/>
      <c r="K893" s="84" t="n"/>
      <c r="L893" s="85" t="n"/>
      <c r="M893" s="82" t="n"/>
      <c r="N893" s="86" t="n"/>
      <c r="O893" s="81" t="n"/>
      <c r="P893" s="82" t="n"/>
      <c r="Q893" s="83" t="n"/>
      <c r="R893" s="82" t="n"/>
      <c r="S893" s="84" t="n"/>
      <c r="T893" s="84" t="n"/>
      <c r="U893" s="82" t="n"/>
      <c r="V893" s="86" t="n"/>
      <c r="W893" s="86" t="n"/>
      <c r="X893" s="86" t="n"/>
      <c r="Y893" s="81" t="n"/>
      <c r="Z893" s="82" t="n"/>
      <c r="AA893" s="81" t="n"/>
      <c r="AB893" s="82" t="n"/>
      <c r="AC893" s="87">
        <f>IF(OR($D893="",$M893="Rejected",$M893="Withdrawn",$M893="Accepted"),"",IF(ISNUMBER($O893),IF(INT($O893)&lt;TODAY(),"FOLLOW UP REQUIRED",IF(INT($O893)=TODAY(),"ACTION DUE TODAY",IF(INT($O893)-TODAY()&lt;=Set_DueSoonDays,"DUE SOON",""))),IF(AND($M893="Applied",$AA893=""),IF(ISNUMBER($C893),IF(TODAY()-$C893&gt;=Set_FollowUpDays,"NO RESPONSE",""),""),"")))</f>
        <v/>
      </c>
      <c r="AD893" s="87">
        <f>IF(ISNUMBER($L893),IF($L893&gt;=90,"Excellent Match",IF($L893&gt;=75,"Strong Match",IF($L893&gt;=60,"Moderate Match","Low Match"))),"")</f>
        <v/>
      </c>
      <c r="AE893" s="87">
        <f>IF($D893="","",IF(OR($M893="Rejected",$M893="Withdrawn"),IF($AB893&lt;&gt;"",$AB893,IF(OR($M893="Rejected",ISNUMBER($C893)),"Applied","Wishlist")),IF($M893="",IF(ISNUMBER($C893),"Applied","Wishlist"),$M893)))</f>
        <v/>
      </c>
      <c r="AF893" s="88">
        <f>IF(AND(ISNUMBER($C893),ISNUMBER($AA893)),$AA893-$C893,"")</f>
        <v/>
      </c>
      <c r="AG893" s="87">
        <f>IF($AE893="","",IFERROR(MATCH($AE893,{"Wishlist","Applied","Screening","Interview 1","Interview 2","Final","Offer","Accepted"},0)-1,""))</f>
        <v/>
      </c>
      <c r="AH893" s="87">
        <f>IF($AC893="","",MATCH($AC893,{"FOLLOW UP REQUIRED","ACTION DUE TODAY","NO RESPONSE","DUE SOON"},0)*100000+IF(ISNUMBER($O893),$O893,IF(ISNUMBER($C893),$C893,0))+ROW()/10000)</f>
        <v/>
      </c>
      <c r="AI893" s="87">
        <f>IF(AND(ISNUMBER($AG893),$AG893&gt;=1,$AG893&lt;=6,$M893&lt;&gt;"Rejected",$M893&lt;&gt;"Withdrawn"),(10-$AG893)*100000+IF(ISNUMBER($C893),$C893,0)+ROW()/10000,"")</f>
        <v/>
      </c>
    </row>
    <row r="894">
      <c r="A894" s="80" t="n"/>
      <c r="B894" s="81" t="n"/>
      <c r="C894" s="81" t="n"/>
      <c r="D894" s="82" t="n"/>
      <c r="E894" s="82" t="n"/>
      <c r="F894" s="82" t="n"/>
      <c r="G894" s="82" t="n"/>
      <c r="H894" s="82" t="n"/>
      <c r="I894" s="83" t="n"/>
      <c r="J894" s="82" t="n"/>
      <c r="K894" s="84" t="n"/>
      <c r="L894" s="85" t="n"/>
      <c r="M894" s="82" t="n"/>
      <c r="N894" s="86" t="n"/>
      <c r="O894" s="81" t="n"/>
      <c r="P894" s="82" t="n"/>
      <c r="Q894" s="83" t="n"/>
      <c r="R894" s="82" t="n"/>
      <c r="S894" s="84" t="n"/>
      <c r="T894" s="84" t="n"/>
      <c r="U894" s="82" t="n"/>
      <c r="V894" s="86" t="n"/>
      <c r="W894" s="86" t="n"/>
      <c r="X894" s="86" t="n"/>
      <c r="Y894" s="81" t="n"/>
      <c r="Z894" s="82" t="n"/>
      <c r="AA894" s="81" t="n"/>
      <c r="AB894" s="82" t="n"/>
      <c r="AC894" s="87">
        <f>IF(OR($D894="",$M894="Rejected",$M894="Withdrawn",$M894="Accepted"),"",IF(ISNUMBER($O894),IF(INT($O894)&lt;TODAY(),"FOLLOW UP REQUIRED",IF(INT($O894)=TODAY(),"ACTION DUE TODAY",IF(INT($O894)-TODAY()&lt;=Set_DueSoonDays,"DUE SOON",""))),IF(AND($M894="Applied",$AA894=""),IF(ISNUMBER($C894),IF(TODAY()-$C894&gt;=Set_FollowUpDays,"NO RESPONSE",""),""),"")))</f>
        <v/>
      </c>
      <c r="AD894" s="87">
        <f>IF(ISNUMBER($L894),IF($L894&gt;=90,"Excellent Match",IF($L894&gt;=75,"Strong Match",IF($L894&gt;=60,"Moderate Match","Low Match"))),"")</f>
        <v/>
      </c>
      <c r="AE894" s="87">
        <f>IF($D894="","",IF(OR($M894="Rejected",$M894="Withdrawn"),IF($AB894&lt;&gt;"",$AB894,IF(OR($M894="Rejected",ISNUMBER($C894)),"Applied","Wishlist")),IF($M894="",IF(ISNUMBER($C894),"Applied","Wishlist"),$M894)))</f>
        <v/>
      </c>
      <c r="AF894" s="88">
        <f>IF(AND(ISNUMBER($C894),ISNUMBER($AA894)),$AA894-$C894,"")</f>
        <v/>
      </c>
      <c r="AG894" s="87">
        <f>IF($AE894="","",IFERROR(MATCH($AE894,{"Wishlist","Applied","Screening","Interview 1","Interview 2","Final","Offer","Accepted"},0)-1,""))</f>
        <v/>
      </c>
      <c r="AH894" s="87">
        <f>IF($AC894="","",MATCH($AC894,{"FOLLOW UP REQUIRED","ACTION DUE TODAY","NO RESPONSE","DUE SOON"},0)*100000+IF(ISNUMBER($O894),$O894,IF(ISNUMBER($C894),$C894,0))+ROW()/10000)</f>
        <v/>
      </c>
      <c r="AI894" s="87">
        <f>IF(AND(ISNUMBER($AG894),$AG894&gt;=1,$AG894&lt;=6,$M894&lt;&gt;"Rejected",$M894&lt;&gt;"Withdrawn"),(10-$AG894)*100000+IF(ISNUMBER($C894),$C894,0)+ROW()/10000,"")</f>
        <v/>
      </c>
    </row>
    <row r="895">
      <c r="A895" s="80" t="n"/>
      <c r="B895" s="81" t="n"/>
      <c r="C895" s="81" t="n"/>
      <c r="D895" s="82" t="n"/>
      <c r="E895" s="82" t="n"/>
      <c r="F895" s="82" t="n"/>
      <c r="G895" s="82" t="n"/>
      <c r="H895" s="82" t="n"/>
      <c r="I895" s="83" t="n"/>
      <c r="J895" s="82" t="n"/>
      <c r="K895" s="84" t="n"/>
      <c r="L895" s="85" t="n"/>
      <c r="M895" s="82" t="n"/>
      <c r="N895" s="86" t="n"/>
      <c r="O895" s="81" t="n"/>
      <c r="P895" s="82" t="n"/>
      <c r="Q895" s="83" t="n"/>
      <c r="R895" s="82" t="n"/>
      <c r="S895" s="84" t="n"/>
      <c r="T895" s="84" t="n"/>
      <c r="U895" s="82" t="n"/>
      <c r="V895" s="86" t="n"/>
      <c r="W895" s="86" t="n"/>
      <c r="X895" s="86" t="n"/>
      <c r="Y895" s="81" t="n"/>
      <c r="Z895" s="82" t="n"/>
      <c r="AA895" s="81" t="n"/>
      <c r="AB895" s="82" t="n"/>
      <c r="AC895" s="87">
        <f>IF(OR($D895="",$M895="Rejected",$M895="Withdrawn",$M895="Accepted"),"",IF(ISNUMBER($O895),IF(INT($O895)&lt;TODAY(),"FOLLOW UP REQUIRED",IF(INT($O895)=TODAY(),"ACTION DUE TODAY",IF(INT($O895)-TODAY()&lt;=Set_DueSoonDays,"DUE SOON",""))),IF(AND($M895="Applied",$AA895=""),IF(ISNUMBER($C895),IF(TODAY()-$C895&gt;=Set_FollowUpDays,"NO RESPONSE",""),""),"")))</f>
        <v/>
      </c>
      <c r="AD895" s="87">
        <f>IF(ISNUMBER($L895),IF($L895&gt;=90,"Excellent Match",IF($L895&gt;=75,"Strong Match",IF($L895&gt;=60,"Moderate Match","Low Match"))),"")</f>
        <v/>
      </c>
      <c r="AE895" s="87">
        <f>IF($D895="","",IF(OR($M895="Rejected",$M895="Withdrawn"),IF($AB895&lt;&gt;"",$AB895,IF(OR($M895="Rejected",ISNUMBER($C895)),"Applied","Wishlist")),IF($M895="",IF(ISNUMBER($C895),"Applied","Wishlist"),$M895)))</f>
        <v/>
      </c>
      <c r="AF895" s="88">
        <f>IF(AND(ISNUMBER($C895),ISNUMBER($AA895)),$AA895-$C895,"")</f>
        <v/>
      </c>
      <c r="AG895" s="87">
        <f>IF($AE895="","",IFERROR(MATCH($AE895,{"Wishlist","Applied","Screening","Interview 1","Interview 2","Final","Offer","Accepted"},0)-1,""))</f>
        <v/>
      </c>
      <c r="AH895" s="87">
        <f>IF($AC895="","",MATCH($AC895,{"FOLLOW UP REQUIRED","ACTION DUE TODAY","NO RESPONSE","DUE SOON"},0)*100000+IF(ISNUMBER($O895),$O895,IF(ISNUMBER($C895),$C895,0))+ROW()/10000)</f>
        <v/>
      </c>
      <c r="AI895" s="87">
        <f>IF(AND(ISNUMBER($AG895),$AG895&gt;=1,$AG895&lt;=6,$M895&lt;&gt;"Rejected",$M895&lt;&gt;"Withdrawn"),(10-$AG895)*100000+IF(ISNUMBER($C895),$C895,0)+ROW()/10000,"")</f>
        <v/>
      </c>
    </row>
    <row r="896">
      <c r="A896" s="80" t="n"/>
      <c r="B896" s="81" t="n"/>
      <c r="C896" s="81" t="n"/>
      <c r="D896" s="82" t="n"/>
      <c r="E896" s="82" t="n"/>
      <c r="F896" s="82" t="n"/>
      <c r="G896" s="82" t="n"/>
      <c r="H896" s="82" t="n"/>
      <c r="I896" s="83" t="n"/>
      <c r="J896" s="82" t="n"/>
      <c r="K896" s="84" t="n"/>
      <c r="L896" s="85" t="n"/>
      <c r="M896" s="82" t="n"/>
      <c r="N896" s="86" t="n"/>
      <c r="O896" s="81" t="n"/>
      <c r="P896" s="82" t="n"/>
      <c r="Q896" s="83" t="n"/>
      <c r="R896" s="82" t="n"/>
      <c r="S896" s="84" t="n"/>
      <c r="T896" s="84" t="n"/>
      <c r="U896" s="82" t="n"/>
      <c r="V896" s="86" t="n"/>
      <c r="W896" s="86" t="n"/>
      <c r="X896" s="86" t="n"/>
      <c r="Y896" s="81" t="n"/>
      <c r="Z896" s="82" t="n"/>
      <c r="AA896" s="81" t="n"/>
      <c r="AB896" s="82" t="n"/>
      <c r="AC896" s="87">
        <f>IF(OR($D896="",$M896="Rejected",$M896="Withdrawn",$M896="Accepted"),"",IF(ISNUMBER($O896),IF(INT($O896)&lt;TODAY(),"FOLLOW UP REQUIRED",IF(INT($O896)=TODAY(),"ACTION DUE TODAY",IF(INT($O896)-TODAY()&lt;=Set_DueSoonDays,"DUE SOON",""))),IF(AND($M896="Applied",$AA896=""),IF(ISNUMBER($C896),IF(TODAY()-$C896&gt;=Set_FollowUpDays,"NO RESPONSE",""),""),"")))</f>
        <v/>
      </c>
      <c r="AD896" s="87">
        <f>IF(ISNUMBER($L896),IF($L896&gt;=90,"Excellent Match",IF($L896&gt;=75,"Strong Match",IF($L896&gt;=60,"Moderate Match","Low Match"))),"")</f>
        <v/>
      </c>
      <c r="AE896" s="87">
        <f>IF($D896="","",IF(OR($M896="Rejected",$M896="Withdrawn"),IF($AB896&lt;&gt;"",$AB896,IF(OR($M896="Rejected",ISNUMBER($C896)),"Applied","Wishlist")),IF($M896="",IF(ISNUMBER($C896),"Applied","Wishlist"),$M896)))</f>
        <v/>
      </c>
      <c r="AF896" s="88">
        <f>IF(AND(ISNUMBER($C896),ISNUMBER($AA896)),$AA896-$C896,"")</f>
        <v/>
      </c>
      <c r="AG896" s="87">
        <f>IF($AE896="","",IFERROR(MATCH($AE896,{"Wishlist","Applied","Screening","Interview 1","Interview 2","Final","Offer","Accepted"},0)-1,""))</f>
        <v/>
      </c>
      <c r="AH896" s="87">
        <f>IF($AC896="","",MATCH($AC896,{"FOLLOW UP REQUIRED","ACTION DUE TODAY","NO RESPONSE","DUE SOON"},0)*100000+IF(ISNUMBER($O896),$O896,IF(ISNUMBER($C896),$C896,0))+ROW()/10000)</f>
        <v/>
      </c>
      <c r="AI896" s="87">
        <f>IF(AND(ISNUMBER($AG896),$AG896&gt;=1,$AG896&lt;=6,$M896&lt;&gt;"Rejected",$M896&lt;&gt;"Withdrawn"),(10-$AG896)*100000+IF(ISNUMBER($C896),$C896,0)+ROW()/10000,"")</f>
        <v/>
      </c>
    </row>
    <row r="897">
      <c r="A897" s="80" t="n"/>
      <c r="B897" s="81" t="n"/>
      <c r="C897" s="81" t="n"/>
      <c r="D897" s="82" t="n"/>
      <c r="E897" s="82" t="n"/>
      <c r="F897" s="82" t="n"/>
      <c r="G897" s="82" t="n"/>
      <c r="H897" s="82" t="n"/>
      <c r="I897" s="83" t="n"/>
      <c r="J897" s="82" t="n"/>
      <c r="K897" s="84" t="n"/>
      <c r="L897" s="85" t="n"/>
      <c r="M897" s="82" t="n"/>
      <c r="N897" s="86" t="n"/>
      <c r="O897" s="81" t="n"/>
      <c r="P897" s="82" t="n"/>
      <c r="Q897" s="83" t="n"/>
      <c r="R897" s="82" t="n"/>
      <c r="S897" s="84" t="n"/>
      <c r="T897" s="84" t="n"/>
      <c r="U897" s="82" t="n"/>
      <c r="V897" s="86" t="n"/>
      <c r="W897" s="86" t="n"/>
      <c r="X897" s="86" t="n"/>
      <c r="Y897" s="81" t="n"/>
      <c r="Z897" s="82" t="n"/>
      <c r="AA897" s="81" t="n"/>
      <c r="AB897" s="82" t="n"/>
      <c r="AC897" s="87">
        <f>IF(OR($D897="",$M897="Rejected",$M897="Withdrawn",$M897="Accepted"),"",IF(ISNUMBER($O897),IF(INT($O897)&lt;TODAY(),"FOLLOW UP REQUIRED",IF(INT($O897)=TODAY(),"ACTION DUE TODAY",IF(INT($O897)-TODAY()&lt;=Set_DueSoonDays,"DUE SOON",""))),IF(AND($M897="Applied",$AA897=""),IF(ISNUMBER($C897),IF(TODAY()-$C897&gt;=Set_FollowUpDays,"NO RESPONSE",""),""),"")))</f>
        <v/>
      </c>
      <c r="AD897" s="87">
        <f>IF(ISNUMBER($L897),IF($L897&gt;=90,"Excellent Match",IF($L897&gt;=75,"Strong Match",IF($L897&gt;=60,"Moderate Match","Low Match"))),"")</f>
        <v/>
      </c>
      <c r="AE897" s="87">
        <f>IF($D897="","",IF(OR($M897="Rejected",$M897="Withdrawn"),IF($AB897&lt;&gt;"",$AB897,IF(OR($M897="Rejected",ISNUMBER($C897)),"Applied","Wishlist")),IF($M897="",IF(ISNUMBER($C897),"Applied","Wishlist"),$M897)))</f>
        <v/>
      </c>
      <c r="AF897" s="88">
        <f>IF(AND(ISNUMBER($C897),ISNUMBER($AA897)),$AA897-$C897,"")</f>
        <v/>
      </c>
      <c r="AG897" s="87">
        <f>IF($AE897="","",IFERROR(MATCH($AE897,{"Wishlist","Applied","Screening","Interview 1","Interview 2","Final","Offer","Accepted"},0)-1,""))</f>
        <v/>
      </c>
      <c r="AH897" s="87">
        <f>IF($AC897="","",MATCH($AC897,{"FOLLOW UP REQUIRED","ACTION DUE TODAY","NO RESPONSE","DUE SOON"},0)*100000+IF(ISNUMBER($O897),$O897,IF(ISNUMBER($C897),$C897,0))+ROW()/10000)</f>
        <v/>
      </c>
      <c r="AI897" s="87">
        <f>IF(AND(ISNUMBER($AG897),$AG897&gt;=1,$AG897&lt;=6,$M897&lt;&gt;"Rejected",$M897&lt;&gt;"Withdrawn"),(10-$AG897)*100000+IF(ISNUMBER($C897),$C897,0)+ROW()/10000,"")</f>
        <v/>
      </c>
    </row>
    <row r="898">
      <c r="A898" s="80" t="n"/>
      <c r="B898" s="81" t="n"/>
      <c r="C898" s="81" t="n"/>
      <c r="D898" s="82" t="n"/>
      <c r="E898" s="82" t="n"/>
      <c r="F898" s="82" t="n"/>
      <c r="G898" s="82" t="n"/>
      <c r="H898" s="82" t="n"/>
      <c r="I898" s="83" t="n"/>
      <c r="J898" s="82" t="n"/>
      <c r="K898" s="84" t="n"/>
      <c r="L898" s="85" t="n"/>
      <c r="M898" s="82" t="n"/>
      <c r="N898" s="86" t="n"/>
      <c r="O898" s="81" t="n"/>
      <c r="P898" s="82" t="n"/>
      <c r="Q898" s="83" t="n"/>
      <c r="R898" s="82" t="n"/>
      <c r="S898" s="84" t="n"/>
      <c r="T898" s="84" t="n"/>
      <c r="U898" s="82" t="n"/>
      <c r="V898" s="86" t="n"/>
      <c r="W898" s="86" t="n"/>
      <c r="X898" s="86" t="n"/>
      <c r="Y898" s="81" t="n"/>
      <c r="Z898" s="82" t="n"/>
      <c r="AA898" s="81" t="n"/>
      <c r="AB898" s="82" t="n"/>
      <c r="AC898" s="87">
        <f>IF(OR($D898="",$M898="Rejected",$M898="Withdrawn",$M898="Accepted"),"",IF(ISNUMBER($O898),IF(INT($O898)&lt;TODAY(),"FOLLOW UP REQUIRED",IF(INT($O898)=TODAY(),"ACTION DUE TODAY",IF(INT($O898)-TODAY()&lt;=Set_DueSoonDays,"DUE SOON",""))),IF(AND($M898="Applied",$AA898=""),IF(ISNUMBER($C898),IF(TODAY()-$C898&gt;=Set_FollowUpDays,"NO RESPONSE",""),""),"")))</f>
        <v/>
      </c>
      <c r="AD898" s="87">
        <f>IF(ISNUMBER($L898),IF($L898&gt;=90,"Excellent Match",IF($L898&gt;=75,"Strong Match",IF($L898&gt;=60,"Moderate Match","Low Match"))),"")</f>
        <v/>
      </c>
      <c r="AE898" s="87">
        <f>IF($D898="","",IF(OR($M898="Rejected",$M898="Withdrawn"),IF($AB898&lt;&gt;"",$AB898,IF(OR($M898="Rejected",ISNUMBER($C898)),"Applied","Wishlist")),IF($M898="",IF(ISNUMBER($C898),"Applied","Wishlist"),$M898)))</f>
        <v/>
      </c>
      <c r="AF898" s="88">
        <f>IF(AND(ISNUMBER($C898),ISNUMBER($AA898)),$AA898-$C898,"")</f>
        <v/>
      </c>
      <c r="AG898" s="87">
        <f>IF($AE898="","",IFERROR(MATCH($AE898,{"Wishlist","Applied","Screening","Interview 1","Interview 2","Final","Offer","Accepted"},0)-1,""))</f>
        <v/>
      </c>
      <c r="AH898" s="87">
        <f>IF($AC898="","",MATCH($AC898,{"FOLLOW UP REQUIRED","ACTION DUE TODAY","NO RESPONSE","DUE SOON"},0)*100000+IF(ISNUMBER($O898),$O898,IF(ISNUMBER($C898),$C898,0))+ROW()/10000)</f>
        <v/>
      </c>
      <c r="AI898" s="87">
        <f>IF(AND(ISNUMBER($AG898),$AG898&gt;=1,$AG898&lt;=6,$M898&lt;&gt;"Rejected",$M898&lt;&gt;"Withdrawn"),(10-$AG898)*100000+IF(ISNUMBER($C898),$C898,0)+ROW()/10000,"")</f>
        <v/>
      </c>
    </row>
    <row r="899">
      <c r="A899" s="80" t="n"/>
      <c r="B899" s="81" t="n"/>
      <c r="C899" s="81" t="n"/>
      <c r="D899" s="82" t="n"/>
      <c r="E899" s="82" t="n"/>
      <c r="F899" s="82" t="n"/>
      <c r="G899" s="82" t="n"/>
      <c r="H899" s="82" t="n"/>
      <c r="I899" s="83" t="n"/>
      <c r="J899" s="82" t="n"/>
      <c r="K899" s="84" t="n"/>
      <c r="L899" s="85" t="n"/>
      <c r="M899" s="82" t="n"/>
      <c r="N899" s="86" t="n"/>
      <c r="O899" s="81" t="n"/>
      <c r="P899" s="82" t="n"/>
      <c r="Q899" s="83" t="n"/>
      <c r="R899" s="82" t="n"/>
      <c r="S899" s="84" t="n"/>
      <c r="T899" s="84" t="n"/>
      <c r="U899" s="82" t="n"/>
      <c r="V899" s="86" t="n"/>
      <c r="W899" s="86" t="n"/>
      <c r="X899" s="86" t="n"/>
      <c r="Y899" s="81" t="n"/>
      <c r="Z899" s="82" t="n"/>
      <c r="AA899" s="81" t="n"/>
      <c r="AB899" s="82" t="n"/>
      <c r="AC899" s="87">
        <f>IF(OR($D899="",$M899="Rejected",$M899="Withdrawn",$M899="Accepted"),"",IF(ISNUMBER($O899),IF(INT($O899)&lt;TODAY(),"FOLLOW UP REQUIRED",IF(INT($O899)=TODAY(),"ACTION DUE TODAY",IF(INT($O899)-TODAY()&lt;=Set_DueSoonDays,"DUE SOON",""))),IF(AND($M899="Applied",$AA899=""),IF(ISNUMBER($C899),IF(TODAY()-$C899&gt;=Set_FollowUpDays,"NO RESPONSE",""),""),"")))</f>
        <v/>
      </c>
      <c r="AD899" s="87">
        <f>IF(ISNUMBER($L899),IF($L899&gt;=90,"Excellent Match",IF($L899&gt;=75,"Strong Match",IF($L899&gt;=60,"Moderate Match","Low Match"))),"")</f>
        <v/>
      </c>
      <c r="AE899" s="87">
        <f>IF($D899="","",IF(OR($M899="Rejected",$M899="Withdrawn"),IF($AB899&lt;&gt;"",$AB899,IF(OR($M899="Rejected",ISNUMBER($C899)),"Applied","Wishlist")),IF($M899="",IF(ISNUMBER($C899),"Applied","Wishlist"),$M899)))</f>
        <v/>
      </c>
      <c r="AF899" s="88">
        <f>IF(AND(ISNUMBER($C899),ISNUMBER($AA899)),$AA899-$C899,"")</f>
        <v/>
      </c>
      <c r="AG899" s="87">
        <f>IF($AE899="","",IFERROR(MATCH($AE899,{"Wishlist","Applied","Screening","Interview 1","Interview 2","Final","Offer","Accepted"},0)-1,""))</f>
        <v/>
      </c>
      <c r="AH899" s="87">
        <f>IF($AC899="","",MATCH($AC899,{"FOLLOW UP REQUIRED","ACTION DUE TODAY","NO RESPONSE","DUE SOON"},0)*100000+IF(ISNUMBER($O899),$O899,IF(ISNUMBER($C899),$C899,0))+ROW()/10000)</f>
        <v/>
      </c>
      <c r="AI899" s="87">
        <f>IF(AND(ISNUMBER($AG899),$AG899&gt;=1,$AG899&lt;=6,$M899&lt;&gt;"Rejected",$M899&lt;&gt;"Withdrawn"),(10-$AG899)*100000+IF(ISNUMBER($C899),$C899,0)+ROW()/10000,"")</f>
        <v/>
      </c>
    </row>
    <row r="900">
      <c r="A900" s="80" t="n"/>
      <c r="B900" s="81" t="n"/>
      <c r="C900" s="81" t="n"/>
      <c r="D900" s="82" t="n"/>
      <c r="E900" s="82" t="n"/>
      <c r="F900" s="82" t="n"/>
      <c r="G900" s="82" t="n"/>
      <c r="H900" s="82" t="n"/>
      <c r="I900" s="83" t="n"/>
      <c r="J900" s="82" t="n"/>
      <c r="K900" s="84" t="n"/>
      <c r="L900" s="85" t="n"/>
      <c r="M900" s="82" t="n"/>
      <c r="N900" s="86" t="n"/>
      <c r="O900" s="81" t="n"/>
      <c r="P900" s="82" t="n"/>
      <c r="Q900" s="83" t="n"/>
      <c r="R900" s="82" t="n"/>
      <c r="S900" s="84" t="n"/>
      <c r="T900" s="84" t="n"/>
      <c r="U900" s="82" t="n"/>
      <c r="V900" s="86" t="n"/>
      <c r="W900" s="86" t="n"/>
      <c r="X900" s="86" t="n"/>
      <c r="Y900" s="81" t="n"/>
      <c r="Z900" s="82" t="n"/>
      <c r="AA900" s="81" t="n"/>
      <c r="AB900" s="82" t="n"/>
      <c r="AC900" s="87">
        <f>IF(OR($D900="",$M900="Rejected",$M900="Withdrawn",$M900="Accepted"),"",IF(ISNUMBER($O900),IF(INT($O900)&lt;TODAY(),"FOLLOW UP REQUIRED",IF(INT($O900)=TODAY(),"ACTION DUE TODAY",IF(INT($O900)-TODAY()&lt;=Set_DueSoonDays,"DUE SOON",""))),IF(AND($M900="Applied",$AA900=""),IF(ISNUMBER($C900),IF(TODAY()-$C900&gt;=Set_FollowUpDays,"NO RESPONSE",""),""),"")))</f>
        <v/>
      </c>
      <c r="AD900" s="87">
        <f>IF(ISNUMBER($L900),IF($L900&gt;=90,"Excellent Match",IF($L900&gt;=75,"Strong Match",IF($L900&gt;=60,"Moderate Match","Low Match"))),"")</f>
        <v/>
      </c>
      <c r="AE900" s="87">
        <f>IF($D900="","",IF(OR($M900="Rejected",$M900="Withdrawn"),IF($AB900&lt;&gt;"",$AB900,IF(OR($M900="Rejected",ISNUMBER($C900)),"Applied","Wishlist")),IF($M900="",IF(ISNUMBER($C900),"Applied","Wishlist"),$M900)))</f>
        <v/>
      </c>
      <c r="AF900" s="88">
        <f>IF(AND(ISNUMBER($C900),ISNUMBER($AA900)),$AA900-$C900,"")</f>
        <v/>
      </c>
      <c r="AG900" s="87">
        <f>IF($AE900="","",IFERROR(MATCH($AE900,{"Wishlist","Applied","Screening","Interview 1","Interview 2","Final","Offer","Accepted"},0)-1,""))</f>
        <v/>
      </c>
      <c r="AH900" s="87">
        <f>IF($AC900="","",MATCH($AC900,{"FOLLOW UP REQUIRED","ACTION DUE TODAY","NO RESPONSE","DUE SOON"},0)*100000+IF(ISNUMBER($O900),$O900,IF(ISNUMBER($C900),$C900,0))+ROW()/10000)</f>
        <v/>
      </c>
      <c r="AI900" s="87">
        <f>IF(AND(ISNUMBER($AG900),$AG900&gt;=1,$AG900&lt;=6,$M900&lt;&gt;"Rejected",$M900&lt;&gt;"Withdrawn"),(10-$AG900)*100000+IF(ISNUMBER($C900),$C900,0)+ROW()/10000,"")</f>
        <v/>
      </c>
    </row>
    <row r="901">
      <c r="A901" s="80" t="n"/>
      <c r="B901" s="81" t="n"/>
      <c r="C901" s="81" t="n"/>
      <c r="D901" s="82" t="n"/>
      <c r="E901" s="82" t="n"/>
      <c r="F901" s="82" t="n"/>
      <c r="G901" s="82" t="n"/>
      <c r="H901" s="82" t="n"/>
      <c r="I901" s="83" t="n"/>
      <c r="J901" s="82" t="n"/>
      <c r="K901" s="84" t="n"/>
      <c r="L901" s="85" t="n"/>
      <c r="M901" s="82" t="n"/>
      <c r="N901" s="86" t="n"/>
      <c r="O901" s="81" t="n"/>
      <c r="P901" s="82" t="n"/>
      <c r="Q901" s="83" t="n"/>
      <c r="R901" s="82" t="n"/>
      <c r="S901" s="84" t="n"/>
      <c r="T901" s="84" t="n"/>
      <c r="U901" s="82" t="n"/>
      <c r="V901" s="86" t="n"/>
      <c r="W901" s="86" t="n"/>
      <c r="X901" s="86" t="n"/>
      <c r="Y901" s="81" t="n"/>
      <c r="Z901" s="82" t="n"/>
      <c r="AA901" s="81" t="n"/>
      <c r="AB901" s="82" t="n"/>
      <c r="AC901" s="87">
        <f>IF(OR($D901="",$M901="Rejected",$M901="Withdrawn",$M901="Accepted"),"",IF(ISNUMBER($O901),IF(INT($O901)&lt;TODAY(),"FOLLOW UP REQUIRED",IF(INT($O901)=TODAY(),"ACTION DUE TODAY",IF(INT($O901)-TODAY()&lt;=Set_DueSoonDays,"DUE SOON",""))),IF(AND($M901="Applied",$AA901=""),IF(ISNUMBER($C901),IF(TODAY()-$C901&gt;=Set_FollowUpDays,"NO RESPONSE",""),""),"")))</f>
        <v/>
      </c>
      <c r="AD901" s="87">
        <f>IF(ISNUMBER($L901),IF($L901&gt;=90,"Excellent Match",IF($L901&gt;=75,"Strong Match",IF($L901&gt;=60,"Moderate Match","Low Match"))),"")</f>
        <v/>
      </c>
      <c r="AE901" s="87">
        <f>IF($D901="","",IF(OR($M901="Rejected",$M901="Withdrawn"),IF($AB901&lt;&gt;"",$AB901,IF(OR($M901="Rejected",ISNUMBER($C901)),"Applied","Wishlist")),IF($M901="",IF(ISNUMBER($C901),"Applied","Wishlist"),$M901)))</f>
        <v/>
      </c>
      <c r="AF901" s="88">
        <f>IF(AND(ISNUMBER($C901),ISNUMBER($AA901)),$AA901-$C901,"")</f>
        <v/>
      </c>
      <c r="AG901" s="87">
        <f>IF($AE901="","",IFERROR(MATCH($AE901,{"Wishlist","Applied","Screening","Interview 1","Interview 2","Final","Offer","Accepted"},0)-1,""))</f>
        <v/>
      </c>
      <c r="AH901" s="87">
        <f>IF($AC901="","",MATCH($AC901,{"FOLLOW UP REQUIRED","ACTION DUE TODAY","NO RESPONSE","DUE SOON"},0)*100000+IF(ISNUMBER($O901),$O901,IF(ISNUMBER($C901),$C901,0))+ROW()/10000)</f>
        <v/>
      </c>
      <c r="AI901" s="87">
        <f>IF(AND(ISNUMBER($AG901),$AG901&gt;=1,$AG901&lt;=6,$M901&lt;&gt;"Rejected",$M901&lt;&gt;"Withdrawn"),(10-$AG901)*100000+IF(ISNUMBER($C901),$C901,0)+ROW()/10000,"")</f>
        <v/>
      </c>
    </row>
    <row r="902">
      <c r="A902" s="80" t="n"/>
      <c r="B902" s="81" t="n"/>
      <c r="C902" s="81" t="n"/>
      <c r="D902" s="82" t="n"/>
      <c r="E902" s="82" t="n"/>
      <c r="F902" s="82" t="n"/>
      <c r="G902" s="82" t="n"/>
      <c r="H902" s="82" t="n"/>
      <c r="I902" s="83" t="n"/>
      <c r="J902" s="82" t="n"/>
      <c r="K902" s="84" t="n"/>
      <c r="L902" s="85" t="n"/>
      <c r="M902" s="82" t="n"/>
      <c r="N902" s="86" t="n"/>
      <c r="O902" s="81" t="n"/>
      <c r="P902" s="82" t="n"/>
      <c r="Q902" s="83" t="n"/>
      <c r="R902" s="82" t="n"/>
      <c r="S902" s="84" t="n"/>
      <c r="T902" s="84" t="n"/>
      <c r="U902" s="82" t="n"/>
      <c r="V902" s="86" t="n"/>
      <c r="W902" s="86" t="n"/>
      <c r="X902" s="86" t="n"/>
      <c r="Y902" s="81" t="n"/>
      <c r="Z902" s="82" t="n"/>
      <c r="AA902" s="81" t="n"/>
      <c r="AB902" s="82" t="n"/>
      <c r="AC902" s="87">
        <f>IF(OR($D902="",$M902="Rejected",$M902="Withdrawn",$M902="Accepted"),"",IF(ISNUMBER($O902),IF(INT($O902)&lt;TODAY(),"FOLLOW UP REQUIRED",IF(INT($O902)=TODAY(),"ACTION DUE TODAY",IF(INT($O902)-TODAY()&lt;=Set_DueSoonDays,"DUE SOON",""))),IF(AND($M902="Applied",$AA902=""),IF(ISNUMBER($C902),IF(TODAY()-$C902&gt;=Set_FollowUpDays,"NO RESPONSE",""),""),"")))</f>
        <v/>
      </c>
      <c r="AD902" s="87">
        <f>IF(ISNUMBER($L902),IF($L902&gt;=90,"Excellent Match",IF($L902&gt;=75,"Strong Match",IF($L902&gt;=60,"Moderate Match","Low Match"))),"")</f>
        <v/>
      </c>
      <c r="AE902" s="87">
        <f>IF($D902="","",IF(OR($M902="Rejected",$M902="Withdrawn"),IF($AB902&lt;&gt;"",$AB902,IF(OR($M902="Rejected",ISNUMBER($C902)),"Applied","Wishlist")),IF($M902="",IF(ISNUMBER($C902),"Applied","Wishlist"),$M902)))</f>
        <v/>
      </c>
      <c r="AF902" s="88">
        <f>IF(AND(ISNUMBER($C902),ISNUMBER($AA902)),$AA902-$C902,"")</f>
        <v/>
      </c>
      <c r="AG902" s="87">
        <f>IF($AE902="","",IFERROR(MATCH($AE902,{"Wishlist","Applied","Screening","Interview 1","Interview 2","Final","Offer","Accepted"},0)-1,""))</f>
        <v/>
      </c>
      <c r="AH902" s="87">
        <f>IF($AC902="","",MATCH($AC902,{"FOLLOW UP REQUIRED","ACTION DUE TODAY","NO RESPONSE","DUE SOON"},0)*100000+IF(ISNUMBER($O902),$O902,IF(ISNUMBER($C902),$C902,0))+ROW()/10000)</f>
        <v/>
      </c>
      <c r="AI902" s="87">
        <f>IF(AND(ISNUMBER($AG902),$AG902&gt;=1,$AG902&lt;=6,$M902&lt;&gt;"Rejected",$M902&lt;&gt;"Withdrawn"),(10-$AG902)*100000+IF(ISNUMBER($C902),$C902,0)+ROW()/10000,"")</f>
        <v/>
      </c>
    </row>
    <row r="903">
      <c r="A903" s="80" t="n"/>
      <c r="B903" s="81" t="n"/>
      <c r="C903" s="81" t="n"/>
      <c r="D903" s="82" t="n"/>
      <c r="E903" s="82" t="n"/>
      <c r="F903" s="82" t="n"/>
      <c r="G903" s="82" t="n"/>
      <c r="H903" s="82" t="n"/>
      <c r="I903" s="83" t="n"/>
      <c r="J903" s="82" t="n"/>
      <c r="K903" s="84" t="n"/>
      <c r="L903" s="85" t="n"/>
      <c r="M903" s="82" t="n"/>
      <c r="N903" s="86" t="n"/>
      <c r="O903" s="81" t="n"/>
      <c r="P903" s="82" t="n"/>
      <c r="Q903" s="83" t="n"/>
      <c r="R903" s="82" t="n"/>
      <c r="S903" s="84" t="n"/>
      <c r="T903" s="84" t="n"/>
      <c r="U903" s="82" t="n"/>
      <c r="V903" s="86" t="n"/>
      <c r="W903" s="86" t="n"/>
      <c r="X903" s="86" t="n"/>
      <c r="Y903" s="81" t="n"/>
      <c r="Z903" s="82" t="n"/>
      <c r="AA903" s="81" t="n"/>
      <c r="AB903" s="82" t="n"/>
      <c r="AC903" s="87">
        <f>IF(OR($D903="",$M903="Rejected",$M903="Withdrawn",$M903="Accepted"),"",IF(ISNUMBER($O903),IF(INT($O903)&lt;TODAY(),"FOLLOW UP REQUIRED",IF(INT($O903)=TODAY(),"ACTION DUE TODAY",IF(INT($O903)-TODAY()&lt;=Set_DueSoonDays,"DUE SOON",""))),IF(AND($M903="Applied",$AA903=""),IF(ISNUMBER($C903),IF(TODAY()-$C903&gt;=Set_FollowUpDays,"NO RESPONSE",""),""),"")))</f>
        <v/>
      </c>
      <c r="AD903" s="87">
        <f>IF(ISNUMBER($L903),IF($L903&gt;=90,"Excellent Match",IF($L903&gt;=75,"Strong Match",IF($L903&gt;=60,"Moderate Match","Low Match"))),"")</f>
        <v/>
      </c>
      <c r="AE903" s="87">
        <f>IF($D903="","",IF(OR($M903="Rejected",$M903="Withdrawn"),IF($AB903&lt;&gt;"",$AB903,IF(OR($M903="Rejected",ISNUMBER($C903)),"Applied","Wishlist")),IF($M903="",IF(ISNUMBER($C903),"Applied","Wishlist"),$M903)))</f>
        <v/>
      </c>
      <c r="AF903" s="88">
        <f>IF(AND(ISNUMBER($C903),ISNUMBER($AA903)),$AA903-$C903,"")</f>
        <v/>
      </c>
      <c r="AG903" s="87">
        <f>IF($AE903="","",IFERROR(MATCH($AE903,{"Wishlist","Applied","Screening","Interview 1","Interview 2","Final","Offer","Accepted"},0)-1,""))</f>
        <v/>
      </c>
      <c r="AH903" s="87">
        <f>IF($AC903="","",MATCH($AC903,{"FOLLOW UP REQUIRED","ACTION DUE TODAY","NO RESPONSE","DUE SOON"},0)*100000+IF(ISNUMBER($O903),$O903,IF(ISNUMBER($C903),$C903,0))+ROW()/10000)</f>
        <v/>
      </c>
      <c r="AI903" s="87">
        <f>IF(AND(ISNUMBER($AG903),$AG903&gt;=1,$AG903&lt;=6,$M903&lt;&gt;"Rejected",$M903&lt;&gt;"Withdrawn"),(10-$AG903)*100000+IF(ISNUMBER($C903),$C903,0)+ROW()/10000,"")</f>
        <v/>
      </c>
    </row>
    <row r="904">
      <c r="A904" s="80" t="n"/>
      <c r="B904" s="81" t="n"/>
      <c r="C904" s="81" t="n"/>
      <c r="D904" s="82" t="n"/>
      <c r="E904" s="82" t="n"/>
      <c r="F904" s="82" t="n"/>
      <c r="G904" s="82" t="n"/>
      <c r="H904" s="82" t="n"/>
      <c r="I904" s="83" t="n"/>
      <c r="J904" s="82" t="n"/>
      <c r="K904" s="84" t="n"/>
      <c r="L904" s="85" t="n"/>
      <c r="M904" s="82" t="n"/>
      <c r="N904" s="86" t="n"/>
      <c r="O904" s="81" t="n"/>
      <c r="P904" s="82" t="n"/>
      <c r="Q904" s="83" t="n"/>
      <c r="R904" s="82" t="n"/>
      <c r="S904" s="84" t="n"/>
      <c r="T904" s="84" t="n"/>
      <c r="U904" s="82" t="n"/>
      <c r="V904" s="86" t="n"/>
      <c r="W904" s="86" t="n"/>
      <c r="X904" s="86" t="n"/>
      <c r="Y904" s="81" t="n"/>
      <c r="Z904" s="82" t="n"/>
      <c r="AA904" s="81" t="n"/>
      <c r="AB904" s="82" t="n"/>
      <c r="AC904" s="87">
        <f>IF(OR($D904="",$M904="Rejected",$M904="Withdrawn",$M904="Accepted"),"",IF(ISNUMBER($O904),IF(INT($O904)&lt;TODAY(),"FOLLOW UP REQUIRED",IF(INT($O904)=TODAY(),"ACTION DUE TODAY",IF(INT($O904)-TODAY()&lt;=Set_DueSoonDays,"DUE SOON",""))),IF(AND($M904="Applied",$AA904=""),IF(ISNUMBER($C904),IF(TODAY()-$C904&gt;=Set_FollowUpDays,"NO RESPONSE",""),""),"")))</f>
        <v/>
      </c>
      <c r="AD904" s="87">
        <f>IF(ISNUMBER($L904),IF($L904&gt;=90,"Excellent Match",IF($L904&gt;=75,"Strong Match",IF($L904&gt;=60,"Moderate Match","Low Match"))),"")</f>
        <v/>
      </c>
      <c r="AE904" s="87">
        <f>IF($D904="","",IF(OR($M904="Rejected",$M904="Withdrawn"),IF($AB904&lt;&gt;"",$AB904,IF(OR($M904="Rejected",ISNUMBER($C904)),"Applied","Wishlist")),IF($M904="",IF(ISNUMBER($C904),"Applied","Wishlist"),$M904)))</f>
        <v/>
      </c>
      <c r="AF904" s="88">
        <f>IF(AND(ISNUMBER($C904),ISNUMBER($AA904)),$AA904-$C904,"")</f>
        <v/>
      </c>
      <c r="AG904" s="87">
        <f>IF($AE904="","",IFERROR(MATCH($AE904,{"Wishlist","Applied","Screening","Interview 1","Interview 2","Final","Offer","Accepted"},0)-1,""))</f>
        <v/>
      </c>
      <c r="AH904" s="87">
        <f>IF($AC904="","",MATCH($AC904,{"FOLLOW UP REQUIRED","ACTION DUE TODAY","NO RESPONSE","DUE SOON"},0)*100000+IF(ISNUMBER($O904),$O904,IF(ISNUMBER($C904),$C904,0))+ROW()/10000)</f>
        <v/>
      </c>
      <c r="AI904" s="87">
        <f>IF(AND(ISNUMBER($AG904),$AG904&gt;=1,$AG904&lt;=6,$M904&lt;&gt;"Rejected",$M904&lt;&gt;"Withdrawn"),(10-$AG904)*100000+IF(ISNUMBER($C904),$C904,0)+ROW()/10000,"")</f>
        <v/>
      </c>
    </row>
    <row r="905">
      <c r="A905" s="80" t="n"/>
      <c r="B905" s="81" t="n"/>
      <c r="C905" s="81" t="n"/>
      <c r="D905" s="82" t="n"/>
      <c r="E905" s="82" t="n"/>
      <c r="F905" s="82" t="n"/>
      <c r="G905" s="82" t="n"/>
      <c r="H905" s="82" t="n"/>
      <c r="I905" s="83" t="n"/>
      <c r="J905" s="82" t="n"/>
      <c r="K905" s="84" t="n"/>
      <c r="L905" s="85" t="n"/>
      <c r="M905" s="82" t="n"/>
      <c r="N905" s="86" t="n"/>
      <c r="O905" s="81" t="n"/>
      <c r="P905" s="82" t="n"/>
      <c r="Q905" s="83" t="n"/>
      <c r="R905" s="82" t="n"/>
      <c r="S905" s="84" t="n"/>
      <c r="T905" s="84" t="n"/>
      <c r="U905" s="82" t="n"/>
      <c r="V905" s="86" t="n"/>
      <c r="W905" s="86" t="n"/>
      <c r="X905" s="86" t="n"/>
      <c r="Y905" s="81" t="n"/>
      <c r="Z905" s="82" t="n"/>
      <c r="AA905" s="81" t="n"/>
      <c r="AB905" s="82" t="n"/>
      <c r="AC905" s="87">
        <f>IF(OR($D905="",$M905="Rejected",$M905="Withdrawn",$M905="Accepted"),"",IF(ISNUMBER($O905),IF(INT($O905)&lt;TODAY(),"FOLLOW UP REQUIRED",IF(INT($O905)=TODAY(),"ACTION DUE TODAY",IF(INT($O905)-TODAY()&lt;=Set_DueSoonDays,"DUE SOON",""))),IF(AND($M905="Applied",$AA905=""),IF(ISNUMBER($C905),IF(TODAY()-$C905&gt;=Set_FollowUpDays,"NO RESPONSE",""),""),"")))</f>
        <v/>
      </c>
      <c r="AD905" s="87">
        <f>IF(ISNUMBER($L905),IF($L905&gt;=90,"Excellent Match",IF($L905&gt;=75,"Strong Match",IF($L905&gt;=60,"Moderate Match","Low Match"))),"")</f>
        <v/>
      </c>
      <c r="AE905" s="87">
        <f>IF($D905="","",IF(OR($M905="Rejected",$M905="Withdrawn"),IF($AB905&lt;&gt;"",$AB905,IF(OR($M905="Rejected",ISNUMBER($C905)),"Applied","Wishlist")),IF($M905="",IF(ISNUMBER($C905),"Applied","Wishlist"),$M905)))</f>
        <v/>
      </c>
      <c r="AF905" s="88">
        <f>IF(AND(ISNUMBER($C905),ISNUMBER($AA905)),$AA905-$C905,"")</f>
        <v/>
      </c>
      <c r="AG905" s="87">
        <f>IF($AE905="","",IFERROR(MATCH($AE905,{"Wishlist","Applied","Screening","Interview 1","Interview 2","Final","Offer","Accepted"},0)-1,""))</f>
        <v/>
      </c>
      <c r="AH905" s="87">
        <f>IF($AC905="","",MATCH($AC905,{"FOLLOW UP REQUIRED","ACTION DUE TODAY","NO RESPONSE","DUE SOON"},0)*100000+IF(ISNUMBER($O905),$O905,IF(ISNUMBER($C905),$C905,0))+ROW()/10000)</f>
        <v/>
      </c>
      <c r="AI905" s="87">
        <f>IF(AND(ISNUMBER($AG905),$AG905&gt;=1,$AG905&lt;=6,$M905&lt;&gt;"Rejected",$M905&lt;&gt;"Withdrawn"),(10-$AG905)*100000+IF(ISNUMBER($C905),$C905,0)+ROW()/10000,"")</f>
        <v/>
      </c>
    </row>
    <row r="906">
      <c r="A906" s="80" t="n"/>
      <c r="B906" s="81" t="n"/>
      <c r="C906" s="81" t="n"/>
      <c r="D906" s="82" t="n"/>
      <c r="E906" s="82" t="n"/>
      <c r="F906" s="82" t="n"/>
      <c r="G906" s="82" t="n"/>
      <c r="H906" s="82" t="n"/>
      <c r="I906" s="83" t="n"/>
      <c r="J906" s="82" t="n"/>
      <c r="K906" s="84" t="n"/>
      <c r="L906" s="85" t="n"/>
      <c r="M906" s="82" t="n"/>
      <c r="N906" s="86" t="n"/>
      <c r="O906" s="81" t="n"/>
      <c r="P906" s="82" t="n"/>
      <c r="Q906" s="83" t="n"/>
      <c r="R906" s="82" t="n"/>
      <c r="S906" s="84" t="n"/>
      <c r="T906" s="84" t="n"/>
      <c r="U906" s="82" t="n"/>
      <c r="V906" s="86" t="n"/>
      <c r="W906" s="86" t="n"/>
      <c r="X906" s="86" t="n"/>
      <c r="Y906" s="81" t="n"/>
      <c r="Z906" s="82" t="n"/>
      <c r="AA906" s="81" t="n"/>
      <c r="AB906" s="82" t="n"/>
      <c r="AC906" s="87">
        <f>IF(OR($D906="",$M906="Rejected",$M906="Withdrawn",$M906="Accepted"),"",IF(ISNUMBER($O906),IF(INT($O906)&lt;TODAY(),"FOLLOW UP REQUIRED",IF(INT($O906)=TODAY(),"ACTION DUE TODAY",IF(INT($O906)-TODAY()&lt;=Set_DueSoonDays,"DUE SOON",""))),IF(AND($M906="Applied",$AA906=""),IF(ISNUMBER($C906),IF(TODAY()-$C906&gt;=Set_FollowUpDays,"NO RESPONSE",""),""),"")))</f>
        <v/>
      </c>
      <c r="AD906" s="87">
        <f>IF(ISNUMBER($L906),IF($L906&gt;=90,"Excellent Match",IF($L906&gt;=75,"Strong Match",IF($L906&gt;=60,"Moderate Match","Low Match"))),"")</f>
        <v/>
      </c>
      <c r="AE906" s="87">
        <f>IF($D906="","",IF(OR($M906="Rejected",$M906="Withdrawn"),IF($AB906&lt;&gt;"",$AB906,IF(OR($M906="Rejected",ISNUMBER($C906)),"Applied","Wishlist")),IF($M906="",IF(ISNUMBER($C906),"Applied","Wishlist"),$M906)))</f>
        <v/>
      </c>
      <c r="AF906" s="88">
        <f>IF(AND(ISNUMBER($C906),ISNUMBER($AA906)),$AA906-$C906,"")</f>
        <v/>
      </c>
      <c r="AG906" s="87">
        <f>IF($AE906="","",IFERROR(MATCH($AE906,{"Wishlist","Applied","Screening","Interview 1","Interview 2","Final","Offer","Accepted"},0)-1,""))</f>
        <v/>
      </c>
      <c r="AH906" s="87">
        <f>IF($AC906="","",MATCH($AC906,{"FOLLOW UP REQUIRED","ACTION DUE TODAY","NO RESPONSE","DUE SOON"},0)*100000+IF(ISNUMBER($O906),$O906,IF(ISNUMBER($C906),$C906,0))+ROW()/10000)</f>
        <v/>
      </c>
      <c r="AI906" s="87">
        <f>IF(AND(ISNUMBER($AG906),$AG906&gt;=1,$AG906&lt;=6,$M906&lt;&gt;"Rejected",$M906&lt;&gt;"Withdrawn"),(10-$AG906)*100000+IF(ISNUMBER($C906),$C906,0)+ROW()/10000,"")</f>
        <v/>
      </c>
    </row>
    <row r="907">
      <c r="A907" s="80" t="n"/>
      <c r="B907" s="81" t="n"/>
      <c r="C907" s="81" t="n"/>
      <c r="D907" s="82" t="n"/>
      <c r="E907" s="82" t="n"/>
      <c r="F907" s="82" t="n"/>
      <c r="G907" s="82" t="n"/>
      <c r="H907" s="82" t="n"/>
      <c r="I907" s="83" t="n"/>
      <c r="J907" s="82" t="n"/>
      <c r="K907" s="84" t="n"/>
      <c r="L907" s="85" t="n"/>
      <c r="M907" s="82" t="n"/>
      <c r="N907" s="86" t="n"/>
      <c r="O907" s="81" t="n"/>
      <c r="P907" s="82" t="n"/>
      <c r="Q907" s="83" t="n"/>
      <c r="R907" s="82" t="n"/>
      <c r="S907" s="84" t="n"/>
      <c r="T907" s="84" t="n"/>
      <c r="U907" s="82" t="n"/>
      <c r="V907" s="86" t="n"/>
      <c r="W907" s="86" t="n"/>
      <c r="X907" s="86" t="n"/>
      <c r="Y907" s="81" t="n"/>
      <c r="Z907" s="82" t="n"/>
      <c r="AA907" s="81" t="n"/>
      <c r="AB907" s="82" t="n"/>
      <c r="AC907" s="87">
        <f>IF(OR($D907="",$M907="Rejected",$M907="Withdrawn",$M907="Accepted"),"",IF(ISNUMBER($O907),IF(INT($O907)&lt;TODAY(),"FOLLOW UP REQUIRED",IF(INT($O907)=TODAY(),"ACTION DUE TODAY",IF(INT($O907)-TODAY()&lt;=Set_DueSoonDays,"DUE SOON",""))),IF(AND($M907="Applied",$AA907=""),IF(ISNUMBER($C907),IF(TODAY()-$C907&gt;=Set_FollowUpDays,"NO RESPONSE",""),""),"")))</f>
        <v/>
      </c>
      <c r="AD907" s="87">
        <f>IF(ISNUMBER($L907),IF($L907&gt;=90,"Excellent Match",IF($L907&gt;=75,"Strong Match",IF($L907&gt;=60,"Moderate Match","Low Match"))),"")</f>
        <v/>
      </c>
      <c r="AE907" s="87">
        <f>IF($D907="","",IF(OR($M907="Rejected",$M907="Withdrawn"),IF($AB907&lt;&gt;"",$AB907,IF(OR($M907="Rejected",ISNUMBER($C907)),"Applied","Wishlist")),IF($M907="",IF(ISNUMBER($C907),"Applied","Wishlist"),$M907)))</f>
        <v/>
      </c>
      <c r="AF907" s="88">
        <f>IF(AND(ISNUMBER($C907),ISNUMBER($AA907)),$AA907-$C907,"")</f>
        <v/>
      </c>
      <c r="AG907" s="87">
        <f>IF($AE907="","",IFERROR(MATCH($AE907,{"Wishlist","Applied","Screening","Interview 1","Interview 2","Final","Offer","Accepted"},0)-1,""))</f>
        <v/>
      </c>
      <c r="AH907" s="87">
        <f>IF($AC907="","",MATCH($AC907,{"FOLLOW UP REQUIRED","ACTION DUE TODAY","NO RESPONSE","DUE SOON"},0)*100000+IF(ISNUMBER($O907),$O907,IF(ISNUMBER($C907),$C907,0))+ROW()/10000)</f>
        <v/>
      </c>
      <c r="AI907" s="87">
        <f>IF(AND(ISNUMBER($AG907),$AG907&gt;=1,$AG907&lt;=6,$M907&lt;&gt;"Rejected",$M907&lt;&gt;"Withdrawn"),(10-$AG907)*100000+IF(ISNUMBER($C907),$C907,0)+ROW()/10000,"")</f>
        <v/>
      </c>
    </row>
    <row r="908">
      <c r="A908" s="80" t="n"/>
      <c r="B908" s="81" t="n"/>
      <c r="C908" s="81" t="n"/>
      <c r="D908" s="82" t="n"/>
      <c r="E908" s="82" t="n"/>
      <c r="F908" s="82" t="n"/>
      <c r="G908" s="82" t="n"/>
      <c r="H908" s="82" t="n"/>
      <c r="I908" s="83" t="n"/>
      <c r="J908" s="82" t="n"/>
      <c r="K908" s="84" t="n"/>
      <c r="L908" s="85" t="n"/>
      <c r="M908" s="82" t="n"/>
      <c r="N908" s="86" t="n"/>
      <c r="O908" s="81" t="n"/>
      <c r="P908" s="82" t="n"/>
      <c r="Q908" s="83" t="n"/>
      <c r="R908" s="82" t="n"/>
      <c r="S908" s="84" t="n"/>
      <c r="T908" s="84" t="n"/>
      <c r="U908" s="82" t="n"/>
      <c r="V908" s="86" t="n"/>
      <c r="W908" s="86" t="n"/>
      <c r="X908" s="86" t="n"/>
      <c r="Y908" s="81" t="n"/>
      <c r="Z908" s="82" t="n"/>
      <c r="AA908" s="81" t="n"/>
      <c r="AB908" s="82" t="n"/>
      <c r="AC908" s="87">
        <f>IF(OR($D908="",$M908="Rejected",$M908="Withdrawn",$M908="Accepted"),"",IF(ISNUMBER($O908),IF(INT($O908)&lt;TODAY(),"FOLLOW UP REQUIRED",IF(INT($O908)=TODAY(),"ACTION DUE TODAY",IF(INT($O908)-TODAY()&lt;=Set_DueSoonDays,"DUE SOON",""))),IF(AND($M908="Applied",$AA908=""),IF(ISNUMBER($C908),IF(TODAY()-$C908&gt;=Set_FollowUpDays,"NO RESPONSE",""),""),"")))</f>
        <v/>
      </c>
      <c r="AD908" s="87">
        <f>IF(ISNUMBER($L908),IF($L908&gt;=90,"Excellent Match",IF($L908&gt;=75,"Strong Match",IF($L908&gt;=60,"Moderate Match","Low Match"))),"")</f>
        <v/>
      </c>
      <c r="AE908" s="87">
        <f>IF($D908="","",IF(OR($M908="Rejected",$M908="Withdrawn"),IF($AB908&lt;&gt;"",$AB908,IF(OR($M908="Rejected",ISNUMBER($C908)),"Applied","Wishlist")),IF($M908="",IF(ISNUMBER($C908),"Applied","Wishlist"),$M908)))</f>
        <v/>
      </c>
      <c r="AF908" s="88">
        <f>IF(AND(ISNUMBER($C908),ISNUMBER($AA908)),$AA908-$C908,"")</f>
        <v/>
      </c>
      <c r="AG908" s="87">
        <f>IF($AE908="","",IFERROR(MATCH($AE908,{"Wishlist","Applied","Screening","Interview 1","Interview 2","Final","Offer","Accepted"},0)-1,""))</f>
        <v/>
      </c>
      <c r="AH908" s="87">
        <f>IF($AC908="","",MATCH($AC908,{"FOLLOW UP REQUIRED","ACTION DUE TODAY","NO RESPONSE","DUE SOON"},0)*100000+IF(ISNUMBER($O908),$O908,IF(ISNUMBER($C908),$C908,0))+ROW()/10000)</f>
        <v/>
      </c>
      <c r="AI908" s="87">
        <f>IF(AND(ISNUMBER($AG908),$AG908&gt;=1,$AG908&lt;=6,$M908&lt;&gt;"Rejected",$M908&lt;&gt;"Withdrawn"),(10-$AG908)*100000+IF(ISNUMBER($C908),$C908,0)+ROW()/10000,"")</f>
        <v/>
      </c>
    </row>
    <row r="909">
      <c r="A909" s="80" t="n"/>
      <c r="B909" s="81" t="n"/>
      <c r="C909" s="81" t="n"/>
      <c r="D909" s="82" t="n"/>
      <c r="E909" s="82" t="n"/>
      <c r="F909" s="82" t="n"/>
      <c r="G909" s="82" t="n"/>
      <c r="H909" s="82" t="n"/>
      <c r="I909" s="83" t="n"/>
      <c r="J909" s="82" t="n"/>
      <c r="K909" s="84" t="n"/>
      <c r="L909" s="85" t="n"/>
      <c r="M909" s="82" t="n"/>
      <c r="N909" s="86" t="n"/>
      <c r="O909" s="81" t="n"/>
      <c r="P909" s="82" t="n"/>
      <c r="Q909" s="83" t="n"/>
      <c r="R909" s="82" t="n"/>
      <c r="S909" s="84" t="n"/>
      <c r="T909" s="84" t="n"/>
      <c r="U909" s="82" t="n"/>
      <c r="V909" s="86" t="n"/>
      <c r="W909" s="86" t="n"/>
      <c r="X909" s="86" t="n"/>
      <c r="Y909" s="81" t="n"/>
      <c r="Z909" s="82" t="n"/>
      <c r="AA909" s="81" t="n"/>
      <c r="AB909" s="82" t="n"/>
      <c r="AC909" s="87">
        <f>IF(OR($D909="",$M909="Rejected",$M909="Withdrawn",$M909="Accepted"),"",IF(ISNUMBER($O909),IF(INT($O909)&lt;TODAY(),"FOLLOW UP REQUIRED",IF(INT($O909)=TODAY(),"ACTION DUE TODAY",IF(INT($O909)-TODAY()&lt;=Set_DueSoonDays,"DUE SOON",""))),IF(AND($M909="Applied",$AA909=""),IF(ISNUMBER($C909),IF(TODAY()-$C909&gt;=Set_FollowUpDays,"NO RESPONSE",""),""),"")))</f>
        <v/>
      </c>
      <c r="AD909" s="87">
        <f>IF(ISNUMBER($L909),IF($L909&gt;=90,"Excellent Match",IF($L909&gt;=75,"Strong Match",IF($L909&gt;=60,"Moderate Match","Low Match"))),"")</f>
        <v/>
      </c>
      <c r="AE909" s="87">
        <f>IF($D909="","",IF(OR($M909="Rejected",$M909="Withdrawn"),IF($AB909&lt;&gt;"",$AB909,IF(OR($M909="Rejected",ISNUMBER($C909)),"Applied","Wishlist")),IF($M909="",IF(ISNUMBER($C909),"Applied","Wishlist"),$M909)))</f>
        <v/>
      </c>
      <c r="AF909" s="88">
        <f>IF(AND(ISNUMBER($C909),ISNUMBER($AA909)),$AA909-$C909,"")</f>
        <v/>
      </c>
      <c r="AG909" s="87">
        <f>IF($AE909="","",IFERROR(MATCH($AE909,{"Wishlist","Applied","Screening","Interview 1","Interview 2","Final","Offer","Accepted"},0)-1,""))</f>
        <v/>
      </c>
      <c r="AH909" s="87">
        <f>IF($AC909="","",MATCH($AC909,{"FOLLOW UP REQUIRED","ACTION DUE TODAY","NO RESPONSE","DUE SOON"},0)*100000+IF(ISNUMBER($O909),$O909,IF(ISNUMBER($C909),$C909,0))+ROW()/10000)</f>
        <v/>
      </c>
      <c r="AI909" s="87">
        <f>IF(AND(ISNUMBER($AG909),$AG909&gt;=1,$AG909&lt;=6,$M909&lt;&gt;"Rejected",$M909&lt;&gt;"Withdrawn"),(10-$AG909)*100000+IF(ISNUMBER($C909),$C909,0)+ROW()/10000,"")</f>
        <v/>
      </c>
    </row>
    <row r="910">
      <c r="A910" s="80" t="n"/>
      <c r="B910" s="81" t="n"/>
      <c r="C910" s="81" t="n"/>
      <c r="D910" s="82" t="n"/>
      <c r="E910" s="82" t="n"/>
      <c r="F910" s="82" t="n"/>
      <c r="G910" s="82" t="n"/>
      <c r="H910" s="82" t="n"/>
      <c r="I910" s="83" t="n"/>
      <c r="J910" s="82" t="n"/>
      <c r="K910" s="84" t="n"/>
      <c r="L910" s="85" t="n"/>
      <c r="M910" s="82" t="n"/>
      <c r="N910" s="86" t="n"/>
      <c r="O910" s="81" t="n"/>
      <c r="P910" s="82" t="n"/>
      <c r="Q910" s="83" t="n"/>
      <c r="R910" s="82" t="n"/>
      <c r="S910" s="84" t="n"/>
      <c r="T910" s="84" t="n"/>
      <c r="U910" s="82" t="n"/>
      <c r="V910" s="86" t="n"/>
      <c r="W910" s="86" t="n"/>
      <c r="X910" s="86" t="n"/>
      <c r="Y910" s="81" t="n"/>
      <c r="Z910" s="82" t="n"/>
      <c r="AA910" s="81" t="n"/>
      <c r="AB910" s="82" t="n"/>
      <c r="AC910" s="87">
        <f>IF(OR($D910="",$M910="Rejected",$M910="Withdrawn",$M910="Accepted"),"",IF(ISNUMBER($O910),IF(INT($O910)&lt;TODAY(),"FOLLOW UP REQUIRED",IF(INT($O910)=TODAY(),"ACTION DUE TODAY",IF(INT($O910)-TODAY()&lt;=Set_DueSoonDays,"DUE SOON",""))),IF(AND($M910="Applied",$AA910=""),IF(ISNUMBER($C910),IF(TODAY()-$C910&gt;=Set_FollowUpDays,"NO RESPONSE",""),""),"")))</f>
        <v/>
      </c>
      <c r="AD910" s="87">
        <f>IF(ISNUMBER($L910),IF($L910&gt;=90,"Excellent Match",IF($L910&gt;=75,"Strong Match",IF($L910&gt;=60,"Moderate Match","Low Match"))),"")</f>
        <v/>
      </c>
      <c r="AE910" s="87">
        <f>IF($D910="","",IF(OR($M910="Rejected",$M910="Withdrawn"),IF($AB910&lt;&gt;"",$AB910,IF(OR($M910="Rejected",ISNUMBER($C910)),"Applied","Wishlist")),IF($M910="",IF(ISNUMBER($C910),"Applied","Wishlist"),$M910)))</f>
        <v/>
      </c>
      <c r="AF910" s="88">
        <f>IF(AND(ISNUMBER($C910),ISNUMBER($AA910)),$AA910-$C910,"")</f>
        <v/>
      </c>
      <c r="AG910" s="87">
        <f>IF($AE910="","",IFERROR(MATCH($AE910,{"Wishlist","Applied","Screening","Interview 1","Interview 2","Final","Offer","Accepted"},0)-1,""))</f>
        <v/>
      </c>
      <c r="AH910" s="87">
        <f>IF($AC910="","",MATCH($AC910,{"FOLLOW UP REQUIRED","ACTION DUE TODAY","NO RESPONSE","DUE SOON"},0)*100000+IF(ISNUMBER($O910),$O910,IF(ISNUMBER($C910),$C910,0))+ROW()/10000)</f>
        <v/>
      </c>
      <c r="AI910" s="87">
        <f>IF(AND(ISNUMBER($AG910),$AG910&gt;=1,$AG910&lt;=6,$M910&lt;&gt;"Rejected",$M910&lt;&gt;"Withdrawn"),(10-$AG910)*100000+IF(ISNUMBER($C910),$C910,0)+ROW()/10000,"")</f>
        <v/>
      </c>
    </row>
    <row r="911">
      <c r="A911" s="80" t="n"/>
      <c r="B911" s="81" t="n"/>
      <c r="C911" s="81" t="n"/>
      <c r="D911" s="82" t="n"/>
      <c r="E911" s="82" t="n"/>
      <c r="F911" s="82" t="n"/>
      <c r="G911" s="82" t="n"/>
      <c r="H911" s="82" t="n"/>
      <c r="I911" s="83" t="n"/>
      <c r="J911" s="82" t="n"/>
      <c r="K911" s="84" t="n"/>
      <c r="L911" s="85" t="n"/>
      <c r="M911" s="82" t="n"/>
      <c r="N911" s="86" t="n"/>
      <c r="O911" s="81" t="n"/>
      <c r="P911" s="82" t="n"/>
      <c r="Q911" s="83" t="n"/>
      <c r="R911" s="82" t="n"/>
      <c r="S911" s="84" t="n"/>
      <c r="T911" s="84" t="n"/>
      <c r="U911" s="82" t="n"/>
      <c r="V911" s="86" t="n"/>
      <c r="W911" s="86" t="n"/>
      <c r="X911" s="86" t="n"/>
      <c r="Y911" s="81" t="n"/>
      <c r="Z911" s="82" t="n"/>
      <c r="AA911" s="81" t="n"/>
      <c r="AB911" s="82" t="n"/>
      <c r="AC911" s="87">
        <f>IF(OR($D911="",$M911="Rejected",$M911="Withdrawn",$M911="Accepted"),"",IF(ISNUMBER($O911),IF(INT($O911)&lt;TODAY(),"FOLLOW UP REQUIRED",IF(INT($O911)=TODAY(),"ACTION DUE TODAY",IF(INT($O911)-TODAY()&lt;=Set_DueSoonDays,"DUE SOON",""))),IF(AND($M911="Applied",$AA911=""),IF(ISNUMBER($C911),IF(TODAY()-$C911&gt;=Set_FollowUpDays,"NO RESPONSE",""),""),"")))</f>
        <v/>
      </c>
      <c r="AD911" s="87">
        <f>IF(ISNUMBER($L911),IF($L911&gt;=90,"Excellent Match",IF($L911&gt;=75,"Strong Match",IF($L911&gt;=60,"Moderate Match","Low Match"))),"")</f>
        <v/>
      </c>
      <c r="AE911" s="87">
        <f>IF($D911="","",IF(OR($M911="Rejected",$M911="Withdrawn"),IF($AB911&lt;&gt;"",$AB911,IF(OR($M911="Rejected",ISNUMBER($C911)),"Applied","Wishlist")),IF($M911="",IF(ISNUMBER($C911),"Applied","Wishlist"),$M911)))</f>
        <v/>
      </c>
      <c r="AF911" s="88">
        <f>IF(AND(ISNUMBER($C911),ISNUMBER($AA911)),$AA911-$C911,"")</f>
        <v/>
      </c>
      <c r="AG911" s="87">
        <f>IF($AE911="","",IFERROR(MATCH($AE911,{"Wishlist","Applied","Screening","Interview 1","Interview 2","Final","Offer","Accepted"},0)-1,""))</f>
        <v/>
      </c>
      <c r="AH911" s="87">
        <f>IF($AC911="","",MATCH($AC911,{"FOLLOW UP REQUIRED","ACTION DUE TODAY","NO RESPONSE","DUE SOON"},0)*100000+IF(ISNUMBER($O911),$O911,IF(ISNUMBER($C911),$C911,0))+ROW()/10000)</f>
        <v/>
      </c>
      <c r="AI911" s="87">
        <f>IF(AND(ISNUMBER($AG911),$AG911&gt;=1,$AG911&lt;=6,$M911&lt;&gt;"Rejected",$M911&lt;&gt;"Withdrawn"),(10-$AG911)*100000+IF(ISNUMBER($C911),$C911,0)+ROW()/10000,"")</f>
        <v/>
      </c>
    </row>
    <row r="912">
      <c r="A912" s="80" t="n"/>
      <c r="B912" s="81" t="n"/>
      <c r="C912" s="81" t="n"/>
      <c r="D912" s="82" t="n"/>
      <c r="E912" s="82" t="n"/>
      <c r="F912" s="82" t="n"/>
      <c r="G912" s="82" t="n"/>
      <c r="H912" s="82" t="n"/>
      <c r="I912" s="83" t="n"/>
      <c r="J912" s="82" t="n"/>
      <c r="K912" s="84" t="n"/>
      <c r="L912" s="85" t="n"/>
      <c r="M912" s="82" t="n"/>
      <c r="N912" s="86" t="n"/>
      <c r="O912" s="81" t="n"/>
      <c r="P912" s="82" t="n"/>
      <c r="Q912" s="83" t="n"/>
      <c r="R912" s="82" t="n"/>
      <c r="S912" s="84" t="n"/>
      <c r="T912" s="84" t="n"/>
      <c r="U912" s="82" t="n"/>
      <c r="V912" s="86" t="n"/>
      <c r="W912" s="86" t="n"/>
      <c r="X912" s="86" t="n"/>
      <c r="Y912" s="81" t="n"/>
      <c r="Z912" s="82" t="n"/>
      <c r="AA912" s="81" t="n"/>
      <c r="AB912" s="82" t="n"/>
      <c r="AC912" s="87">
        <f>IF(OR($D912="",$M912="Rejected",$M912="Withdrawn",$M912="Accepted"),"",IF(ISNUMBER($O912),IF(INT($O912)&lt;TODAY(),"FOLLOW UP REQUIRED",IF(INT($O912)=TODAY(),"ACTION DUE TODAY",IF(INT($O912)-TODAY()&lt;=Set_DueSoonDays,"DUE SOON",""))),IF(AND($M912="Applied",$AA912=""),IF(ISNUMBER($C912),IF(TODAY()-$C912&gt;=Set_FollowUpDays,"NO RESPONSE",""),""),"")))</f>
        <v/>
      </c>
      <c r="AD912" s="87">
        <f>IF(ISNUMBER($L912),IF($L912&gt;=90,"Excellent Match",IF($L912&gt;=75,"Strong Match",IF($L912&gt;=60,"Moderate Match","Low Match"))),"")</f>
        <v/>
      </c>
      <c r="AE912" s="87">
        <f>IF($D912="","",IF(OR($M912="Rejected",$M912="Withdrawn"),IF($AB912&lt;&gt;"",$AB912,IF(OR($M912="Rejected",ISNUMBER($C912)),"Applied","Wishlist")),IF($M912="",IF(ISNUMBER($C912),"Applied","Wishlist"),$M912)))</f>
        <v/>
      </c>
      <c r="AF912" s="88">
        <f>IF(AND(ISNUMBER($C912),ISNUMBER($AA912)),$AA912-$C912,"")</f>
        <v/>
      </c>
      <c r="AG912" s="87">
        <f>IF($AE912="","",IFERROR(MATCH($AE912,{"Wishlist","Applied","Screening","Interview 1","Interview 2","Final","Offer","Accepted"},0)-1,""))</f>
        <v/>
      </c>
      <c r="AH912" s="87">
        <f>IF($AC912="","",MATCH($AC912,{"FOLLOW UP REQUIRED","ACTION DUE TODAY","NO RESPONSE","DUE SOON"},0)*100000+IF(ISNUMBER($O912),$O912,IF(ISNUMBER($C912),$C912,0))+ROW()/10000)</f>
        <v/>
      </c>
      <c r="AI912" s="87">
        <f>IF(AND(ISNUMBER($AG912),$AG912&gt;=1,$AG912&lt;=6,$M912&lt;&gt;"Rejected",$M912&lt;&gt;"Withdrawn"),(10-$AG912)*100000+IF(ISNUMBER($C912),$C912,0)+ROW()/10000,"")</f>
        <v/>
      </c>
    </row>
    <row r="913">
      <c r="A913" s="80" t="n"/>
      <c r="B913" s="81" t="n"/>
      <c r="C913" s="81" t="n"/>
      <c r="D913" s="82" t="n"/>
      <c r="E913" s="82" t="n"/>
      <c r="F913" s="82" t="n"/>
      <c r="G913" s="82" t="n"/>
      <c r="H913" s="82" t="n"/>
      <c r="I913" s="83" t="n"/>
      <c r="J913" s="82" t="n"/>
      <c r="K913" s="84" t="n"/>
      <c r="L913" s="85" t="n"/>
      <c r="M913" s="82" t="n"/>
      <c r="N913" s="86" t="n"/>
      <c r="O913" s="81" t="n"/>
      <c r="P913" s="82" t="n"/>
      <c r="Q913" s="83" t="n"/>
      <c r="R913" s="82" t="n"/>
      <c r="S913" s="84" t="n"/>
      <c r="T913" s="84" t="n"/>
      <c r="U913" s="82" t="n"/>
      <c r="V913" s="86" t="n"/>
      <c r="W913" s="86" t="n"/>
      <c r="X913" s="86" t="n"/>
      <c r="Y913" s="81" t="n"/>
      <c r="Z913" s="82" t="n"/>
      <c r="AA913" s="81" t="n"/>
      <c r="AB913" s="82" t="n"/>
      <c r="AC913" s="87">
        <f>IF(OR($D913="",$M913="Rejected",$M913="Withdrawn",$M913="Accepted"),"",IF(ISNUMBER($O913),IF(INT($O913)&lt;TODAY(),"FOLLOW UP REQUIRED",IF(INT($O913)=TODAY(),"ACTION DUE TODAY",IF(INT($O913)-TODAY()&lt;=Set_DueSoonDays,"DUE SOON",""))),IF(AND($M913="Applied",$AA913=""),IF(ISNUMBER($C913),IF(TODAY()-$C913&gt;=Set_FollowUpDays,"NO RESPONSE",""),""),"")))</f>
        <v/>
      </c>
      <c r="AD913" s="87">
        <f>IF(ISNUMBER($L913),IF($L913&gt;=90,"Excellent Match",IF($L913&gt;=75,"Strong Match",IF($L913&gt;=60,"Moderate Match","Low Match"))),"")</f>
        <v/>
      </c>
      <c r="AE913" s="87">
        <f>IF($D913="","",IF(OR($M913="Rejected",$M913="Withdrawn"),IF($AB913&lt;&gt;"",$AB913,IF(OR($M913="Rejected",ISNUMBER($C913)),"Applied","Wishlist")),IF($M913="",IF(ISNUMBER($C913),"Applied","Wishlist"),$M913)))</f>
        <v/>
      </c>
      <c r="AF913" s="88">
        <f>IF(AND(ISNUMBER($C913),ISNUMBER($AA913)),$AA913-$C913,"")</f>
        <v/>
      </c>
      <c r="AG913" s="87">
        <f>IF($AE913="","",IFERROR(MATCH($AE913,{"Wishlist","Applied","Screening","Interview 1","Interview 2","Final","Offer","Accepted"},0)-1,""))</f>
        <v/>
      </c>
      <c r="AH913" s="87">
        <f>IF($AC913="","",MATCH($AC913,{"FOLLOW UP REQUIRED","ACTION DUE TODAY","NO RESPONSE","DUE SOON"},0)*100000+IF(ISNUMBER($O913),$O913,IF(ISNUMBER($C913),$C913,0))+ROW()/10000)</f>
        <v/>
      </c>
      <c r="AI913" s="87">
        <f>IF(AND(ISNUMBER($AG913),$AG913&gt;=1,$AG913&lt;=6,$M913&lt;&gt;"Rejected",$M913&lt;&gt;"Withdrawn"),(10-$AG913)*100000+IF(ISNUMBER($C913),$C913,0)+ROW()/10000,"")</f>
        <v/>
      </c>
    </row>
    <row r="914">
      <c r="A914" s="80" t="n"/>
      <c r="B914" s="81" t="n"/>
      <c r="C914" s="81" t="n"/>
      <c r="D914" s="82" t="n"/>
      <c r="E914" s="82" t="n"/>
      <c r="F914" s="82" t="n"/>
      <c r="G914" s="82" t="n"/>
      <c r="H914" s="82" t="n"/>
      <c r="I914" s="83" t="n"/>
      <c r="J914" s="82" t="n"/>
      <c r="K914" s="84" t="n"/>
      <c r="L914" s="85" t="n"/>
      <c r="M914" s="82" t="n"/>
      <c r="N914" s="86" t="n"/>
      <c r="O914" s="81" t="n"/>
      <c r="P914" s="82" t="n"/>
      <c r="Q914" s="83" t="n"/>
      <c r="R914" s="82" t="n"/>
      <c r="S914" s="84" t="n"/>
      <c r="T914" s="84" t="n"/>
      <c r="U914" s="82" t="n"/>
      <c r="V914" s="86" t="n"/>
      <c r="W914" s="86" t="n"/>
      <c r="X914" s="86" t="n"/>
      <c r="Y914" s="81" t="n"/>
      <c r="Z914" s="82" t="n"/>
      <c r="AA914" s="81" t="n"/>
      <c r="AB914" s="82" t="n"/>
      <c r="AC914" s="87">
        <f>IF(OR($D914="",$M914="Rejected",$M914="Withdrawn",$M914="Accepted"),"",IF(ISNUMBER($O914),IF(INT($O914)&lt;TODAY(),"FOLLOW UP REQUIRED",IF(INT($O914)=TODAY(),"ACTION DUE TODAY",IF(INT($O914)-TODAY()&lt;=Set_DueSoonDays,"DUE SOON",""))),IF(AND($M914="Applied",$AA914=""),IF(ISNUMBER($C914),IF(TODAY()-$C914&gt;=Set_FollowUpDays,"NO RESPONSE",""),""),"")))</f>
        <v/>
      </c>
      <c r="AD914" s="87">
        <f>IF(ISNUMBER($L914),IF($L914&gt;=90,"Excellent Match",IF($L914&gt;=75,"Strong Match",IF($L914&gt;=60,"Moderate Match","Low Match"))),"")</f>
        <v/>
      </c>
      <c r="AE914" s="87">
        <f>IF($D914="","",IF(OR($M914="Rejected",$M914="Withdrawn"),IF($AB914&lt;&gt;"",$AB914,IF(OR($M914="Rejected",ISNUMBER($C914)),"Applied","Wishlist")),IF($M914="",IF(ISNUMBER($C914),"Applied","Wishlist"),$M914)))</f>
        <v/>
      </c>
      <c r="AF914" s="88">
        <f>IF(AND(ISNUMBER($C914),ISNUMBER($AA914)),$AA914-$C914,"")</f>
        <v/>
      </c>
      <c r="AG914" s="87">
        <f>IF($AE914="","",IFERROR(MATCH($AE914,{"Wishlist","Applied","Screening","Interview 1","Interview 2","Final","Offer","Accepted"},0)-1,""))</f>
        <v/>
      </c>
      <c r="AH914" s="87">
        <f>IF($AC914="","",MATCH($AC914,{"FOLLOW UP REQUIRED","ACTION DUE TODAY","NO RESPONSE","DUE SOON"},0)*100000+IF(ISNUMBER($O914),$O914,IF(ISNUMBER($C914),$C914,0))+ROW()/10000)</f>
        <v/>
      </c>
      <c r="AI914" s="87">
        <f>IF(AND(ISNUMBER($AG914),$AG914&gt;=1,$AG914&lt;=6,$M914&lt;&gt;"Rejected",$M914&lt;&gt;"Withdrawn"),(10-$AG914)*100000+IF(ISNUMBER($C914),$C914,0)+ROW()/10000,"")</f>
        <v/>
      </c>
    </row>
    <row r="915">
      <c r="A915" s="80" t="n"/>
      <c r="B915" s="81" t="n"/>
      <c r="C915" s="81" t="n"/>
      <c r="D915" s="82" t="n"/>
      <c r="E915" s="82" t="n"/>
      <c r="F915" s="82" t="n"/>
      <c r="G915" s="82" t="n"/>
      <c r="H915" s="82" t="n"/>
      <c r="I915" s="83" t="n"/>
      <c r="J915" s="82" t="n"/>
      <c r="K915" s="84" t="n"/>
      <c r="L915" s="85" t="n"/>
      <c r="M915" s="82" t="n"/>
      <c r="N915" s="86" t="n"/>
      <c r="O915" s="81" t="n"/>
      <c r="P915" s="82" t="n"/>
      <c r="Q915" s="83" t="n"/>
      <c r="R915" s="82" t="n"/>
      <c r="S915" s="84" t="n"/>
      <c r="T915" s="84" t="n"/>
      <c r="U915" s="82" t="n"/>
      <c r="V915" s="86" t="n"/>
      <c r="W915" s="86" t="n"/>
      <c r="X915" s="86" t="n"/>
      <c r="Y915" s="81" t="n"/>
      <c r="Z915" s="82" t="n"/>
      <c r="AA915" s="81" t="n"/>
      <c r="AB915" s="82" t="n"/>
      <c r="AC915" s="87">
        <f>IF(OR($D915="",$M915="Rejected",$M915="Withdrawn",$M915="Accepted"),"",IF(ISNUMBER($O915),IF(INT($O915)&lt;TODAY(),"FOLLOW UP REQUIRED",IF(INT($O915)=TODAY(),"ACTION DUE TODAY",IF(INT($O915)-TODAY()&lt;=Set_DueSoonDays,"DUE SOON",""))),IF(AND($M915="Applied",$AA915=""),IF(ISNUMBER($C915),IF(TODAY()-$C915&gt;=Set_FollowUpDays,"NO RESPONSE",""),""),"")))</f>
        <v/>
      </c>
      <c r="AD915" s="87">
        <f>IF(ISNUMBER($L915),IF($L915&gt;=90,"Excellent Match",IF($L915&gt;=75,"Strong Match",IF($L915&gt;=60,"Moderate Match","Low Match"))),"")</f>
        <v/>
      </c>
      <c r="AE915" s="87">
        <f>IF($D915="","",IF(OR($M915="Rejected",$M915="Withdrawn"),IF($AB915&lt;&gt;"",$AB915,IF(OR($M915="Rejected",ISNUMBER($C915)),"Applied","Wishlist")),IF($M915="",IF(ISNUMBER($C915),"Applied","Wishlist"),$M915)))</f>
        <v/>
      </c>
      <c r="AF915" s="88">
        <f>IF(AND(ISNUMBER($C915),ISNUMBER($AA915)),$AA915-$C915,"")</f>
        <v/>
      </c>
      <c r="AG915" s="87">
        <f>IF($AE915="","",IFERROR(MATCH($AE915,{"Wishlist","Applied","Screening","Interview 1","Interview 2","Final","Offer","Accepted"},0)-1,""))</f>
        <v/>
      </c>
      <c r="AH915" s="87">
        <f>IF($AC915="","",MATCH($AC915,{"FOLLOW UP REQUIRED","ACTION DUE TODAY","NO RESPONSE","DUE SOON"},0)*100000+IF(ISNUMBER($O915),$O915,IF(ISNUMBER($C915),$C915,0))+ROW()/10000)</f>
        <v/>
      </c>
      <c r="AI915" s="87">
        <f>IF(AND(ISNUMBER($AG915),$AG915&gt;=1,$AG915&lt;=6,$M915&lt;&gt;"Rejected",$M915&lt;&gt;"Withdrawn"),(10-$AG915)*100000+IF(ISNUMBER($C915),$C915,0)+ROW()/10000,"")</f>
        <v/>
      </c>
    </row>
    <row r="916">
      <c r="A916" s="80" t="n"/>
      <c r="B916" s="81" t="n"/>
      <c r="C916" s="81" t="n"/>
      <c r="D916" s="82" t="n"/>
      <c r="E916" s="82" t="n"/>
      <c r="F916" s="82" t="n"/>
      <c r="G916" s="82" t="n"/>
      <c r="H916" s="82" t="n"/>
      <c r="I916" s="83" t="n"/>
      <c r="J916" s="82" t="n"/>
      <c r="K916" s="84" t="n"/>
      <c r="L916" s="85" t="n"/>
      <c r="M916" s="82" t="n"/>
      <c r="N916" s="86" t="n"/>
      <c r="O916" s="81" t="n"/>
      <c r="P916" s="82" t="n"/>
      <c r="Q916" s="83" t="n"/>
      <c r="R916" s="82" t="n"/>
      <c r="S916" s="84" t="n"/>
      <c r="T916" s="84" t="n"/>
      <c r="U916" s="82" t="n"/>
      <c r="V916" s="86" t="n"/>
      <c r="W916" s="86" t="n"/>
      <c r="X916" s="86" t="n"/>
      <c r="Y916" s="81" t="n"/>
      <c r="Z916" s="82" t="n"/>
      <c r="AA916" s="81" t="n"/>
      <c r="AB916" s="82" t="n"/>
      <c r="AC916" s="87">
        <f>IF(OR($D916="",$M916="Rejected",$M916="Withdrawn",$M916="Accepted"),"",IF(ISNUMBER($O916),IF(INT($O916)&lt;TODAY(),"FOLLOW UP REQUIRED",IF(INT($O916)=TODAY(),"ACTION DUE TODAY",IF(INT($O916)-TODAY()&lt;=Set_DueSoonDays,"DUE SOON",""))),IF(AND($M916="Applied",$AA916=""),IF(ISNUMBER($C916),IF(TODAY()-$C916&gt;=Set_FollowUpDays,"NO RESPONSE",""),""),"")))</f>
        <v/>
      </c>
      <c r="AD916" s="87">
        <f>IF(ISNUMBER($L916),IF($L916&gt;=90,"Excellent Match",IF($L916&gt;=75,"Strong Match",IF($L916&gt;=60,"Moderate Match","Low Match"))),"")</f>
        <v/>
      </c>
      <c r="AE916" s="87">
        <f>IF($D916="","",IF(OR($M916="Rejected",$M916="Withdrawn"),IF($AB916&lt;&gt;"",$AB916,IF(OR($M916="Rejected",ISNUMBER($C916)),"Applied","Wishlist")),IF($M916="",IF(ISNUMBER($C916),"Applied","Wishlist"),$M916)))</f>
        <v/>
      </c>
      <c r="AF916" s="88">
        <f>IF(AND(ISNUMBER($C916),ISNUMBER($AA916)),$AA916-$C916,"")</f>
        <v/>
      </c>
      <c r="AG916" s="87">
        <f>IF($AE916="","",IFERROR(MATCH($AE916,{"Wishlist","Applied","Screening","Interview 1","Interview 2","Final","Offer","Accepted"},0)-1,""))</f>
        <v/>
      </c>
      <c r="AH916" s="87">
        <f>IF($AC916="","",MATCH($AC916,{"FOLLOW UP REQUIRED","ACTION DUE TODAY","NO RESPONSE","DUE SOON"},0)*100000+IF(ISNUMBER($O916),$O916,IF(ISNUMBER($C916),$C916,0))+ROW()/10000)</f>
        <v/>
      </c>
      <c r="AI916" s="87">
        <f>IF(AND(ISNUMBER($AG916),$AG916&gt;=1,$AG916&lt;=6,$M916&lt;&gt;"Rejected",$M916&lt;&gt;"Withdrawn"),(10-$AG916)*100000+IF(ISNUMBER($C916),$C916,0)+ROW()/10000,"")</f>
        <v/>
      </c>
    </row>
    <row r="917">
      <c r="A917" s="80" t="n"/>
      <c r="B917" s="81" t="n"/>
      <c r="C917" s="81" t="n"/>
      <c r="D917" s="82" t="n"/>
      <c r="E917" s="82" t="n"/>
      <c r="F917" s="82" t="n"/>
      <c r="G917" s="82" t="n"/>
      <c r="H917" s="82" t="n"/>
      <c r="I917" s="83" t="n"/>
      <c r="J917" s="82" t="n"/>
      <c r="K917" s="84" t="n"/>
      <c r="L917" s="85" t="n"/>
      <c r="M917" s="82" t="n"/>
      <c r="N917" s="86" t="n"/>
      <c r="O917" s="81" t="n"/>
      <c r="P917" s="82" t="n"/>
      <c r="Q917" s="83" t="n"/>
      <c r="R917" s="82" t="n"/>
      <c r="S917" s="84" t="n"/>
      <c r="T917" s="84" t="n"/>
      <c r="U917" s="82" t="n"/>
      <c r="V917" s="86" t="n"/>
      <c r="W917" s="86" t="n"/>
      <c r="X917" s="86" t="n"/>
      <c r="Y917" s="81" t="n"/>
      <c r="Z917" s="82" t="n"/>
      <c r="AA917" s="81" t="n"/>
      <c r="AB917" s="82" t="n"/>
      <c r="AC917" s="87">
        <f>IF(OR($D917="",$M917="Rejected",$M917="Withdrawn",$M917="Accepted"),"",IF(ISNUMBER($O917),IF(INT($O917)&lt;TODAY(),"FOLLOW UP REQUIRED",IF(INT($O917)=TODAY(),"ACTION DUE TODAY",IF(INT($O917)-TODAY()&lt;=Set_DueSoonDays,"DUE SOON",""))),IF(AND($M917="Applied",$AA917=""),IF(ISNUMBER($C917),IF(TODAY()-$C917&gt;=Set_FollowUpDays,"NO RESPONSE",""),""),"")))</f>
        <v/>
      </c>
      <c r="AD917" s="87">
        <f>IF(ISNUMBER($L917),IF($L917&gt;=90,"Excellent Match",IF($L917&gt;=75,"Strong Match",IF($L917&gt;=60,"Moderate Match","Low Match"))),"")</f>
        <v/>
      </c>
      <c r="AE917" s="87">
        <f>IF($D917="","",IF(OR($M917="Rejected",$M917="Withdrawn"),IF($AB917&lt;&gt;"",$AB917,IF(OR($M917="Rejected",ISNUMBER($C917)),"Applied","Wishlist")),IF($M917="",IF(ISNUMBER($C917),"Applied","Wishlist"),$M917)))</f>
        <v/>
      </c>
      <c r="AF917" s="88">
        <f>IF(AND(ISNUMBER($C917),ISNUMBER($AA917)),$AA917-$C917,"")</f>
        <v/>
      </c>
      <c r="AG917" s="87">
        <f>IF($AE917="","",IFERROR(MATCH($AE917,{"Wishlist","Applied","Screening","Interview 1","Interview 2","Final","Offer","Accepted"},0)-1,""))</f>
        <v/>
      </c>
      <c r="AH917" s="87">
        <f>IF($AC917="","",MATCH($AC917,{"FOLLOW UP REQUIRED","ACTION DUE TODAY","NO RESPONSE","DUE SOON"},0)*100000+IF(ISNUMBER($O917),$O917,IF(ISNUMBER($C917),$C917,0))+ROW()/10000)</f>
        <v/>
      </c>
      <c r="AI917" s="87">
        <f>IF(AND(ISNUMBER($AG917),$AG917&gt;=1,$AG917&lt;=6,$M917&lt;&gt;"Rejected",$M917&lt;&gt;"Withdrawn"),(10-$AG917)*100000+IF(ISNUMBER($C917),$C917,0)+ROW()/10000,"")</f>
        <v/>
      </c>
    </row>
    <row r="918">
      <c r="A918" s="80" t="n"/>
      <c r="B918" s="81" t="n"/>
      <c r="C918" s="81" t="n"/>
      <c r="D918" s="82" t="n"/>
      <c r="E918" s="82" t="n"/>
      <c r="F918" s="82" t="n"/>
      <c r="G918" s="82" t="n"/>
      <c r="H918" s="82" t="n"/>
      <c r="I918" s="83" t="n"/>
      <c r="J918" s="82" t="n"/>
      <c r="K918" s="84" t="n"/>
      <c r="L918" s="85" t="n"/>
      <c r="M918" s="82" t="n"/>
      <c r="N918" s="86" t="n"/>
      <c r="O918" s="81" t="n"/>
      <c r="P918" s="82" t="n"/>
      <c r="Q918" s="83" t="n"/>
      <c r="R918" s="82" t="n"/>
      <c r="S918" s="84" t="n"/>
      <c r="T918" s="84" t="n"/>
      <c r="U918" s="82" t="n"/>
      <c r="V918" s="86" t="n"/>
      <c r="W918" s="86" t="n"/>
      <c r="X918" s="86" t="n"/>
      <c r="Y918" s="81" t="n"/>
      <c r="Z918" s="82" t="n"/>
      <c r="AA918" s="81" t="n"/>
      <c r="AB918" s="82" t="n"/>
      <c r="AC918" s="87">
        <f>IF(OR($D918="",$M918="Rejected",$M918="Withdrawn",$M918="Accepted"),"",IF(ISNUMBER($O918),IF(INT($O918)&lt;TODAY(),"FOLLOW UP REQUIRED",IF(INT($O918)=TODAY(),"ACTION DUE TODAY",IF(INT($O918)-TODAY()&lt;=Set_DueSoonDays,"DUE SOON",""))),IF(AND($M918="Applied",$AA918=""),IF(ISNUMBER($C918),IF(TODAY()-$C918&gt;=Set_FollowUpDays,"NO RESPONSE",""),""),"")))</f>
        <v/>
      </c>
      <c r="AD918" s="87">
        <f>IF(ISNUMBER($L918),IF($L918&gt;=90,"Excellent Match",IF($L918&gt;=75,"Strong Match",IF($L918&gt;=60,"Moderate Match","Low Match"))),"")</f>
        <v/>
      </c>
      <c r="AE918" s="87">
        <f>IF($D918="","",IF(OR($M918="Rejected",$M918="Withdrawn"),IF($AB918&lt;&gt;"",$AB918,IF(OR($M918="Rejected",ISNUMBER($C918)),"Applied","Wishlist")),IF($M918="",IF(ISNUMBER($C918),"Applied","Wishlist"),$M918)))</f>
        <v/>
      </c>
      <c r="AF918" s="88">
        <f>IF(AND(ISNUMBER($C918),ISNUMBER($AA918)),$AA918-$C918,"")</f>
        <v/>
      </c>
      <c r="AG918" s="87">
        <f>IF($AE918="","",IFERROR(MATCH($AE918,{"Wishlist","Applied","Screening","Interview 1","Interview 2","Final","Offer","Accepted"},0)-1,""))</f>
        <v/>
      </c>
      <c r="AH918" s="87">
        <f>IF($AC918="","",MATCH($AC918,{"FOLLOW UP REQUIRED","ACTION DUE TODAY","NO RESPONSE","DUE SOON"},0)*100000+IF(ISNUMBER($O918),$O918,IF(ISNUMBER($C918),$C918,0))+ROW()/10000)</f>
        <v/>
      </c>
      <c r="AI918" s="87">
        <f>IF(AND(ISNUMBER($AG918),$AG918&gt;=1,$AG918&lt;=6,$M918&lt;&gt;"Rejected",$M918&lt;&gt;"Withdrawn"),(10-$AG918)*100000+IF(ISNUMBER($C918),$C918,0)+ROW()/10000,"")</f>
        <v/>
      </c>
    </row>
    <row r="919">
      <c r="A919" s="80" t="n"/>
      <c r="B919" s="81" t="n"/>
      <c r="C919" s="81" t="n"/>
      <c r="D919" s="82" t="n"/>
      <c r="E919" s="82" t="n"/>
      <c r="F919" s="82" t="n"/>
      <c r="G919" s="82" t="n"/>
      <c r="H919" s="82" t="n"/>
      <c r="I919" s="83" t="n"/>
      <c r="J919" s="82" t="n"/>
      <c r="K919" s="84" t="n"/>
      <c r="L919" s="85" t="n"/>
      <c r="M919" s="82" t="n"/>
      <c r="N919" s="86" t="n"/>
      <c r="O919" s="81" t="n"/>
      <c r="P919" s="82" t="n"/>
      <c r="Q919" s="83" t="n"/>
      <c r="R919" s="82" t="n"/>
      <c r="S919" s="84" t="n"/>
      <c r="T919" s="84" t="n"/>
      <c r="U919" s="82" t="n"/>
      <c r="V919" s="86" t="n"/>
      <c r="W919" s="86" t="n"/>
      <c r="X919" s="86" t="n"/>
      <c r="Y919" s="81" t="n"/>
      <c r="Z919" s="82" t="n"/>
      <c r="AA919" s="81" t="n"/>
      <c r="AB919" s="82" t="n"/>
      <c r="AC919" s="87">
        <f>IF(OR($D919="",$M919="Rejected",$M919="Withdrawn",$M919="Accepted"),"",IF(ISNUMBER($O919),IF(INT($O919)&lt;TODAY(),"FOLLOW UP REQUIRED",IF(INT($O919)=TODAY(),"ACTION DUE TODAY",IF(INT($O919)-TODAY()&lt;=Set_DueSoonDays,"DUE SOON",""))),IF(AND($M919="Applied",$AA919=""),IF(ISNUMBER($C919),IF(TODAY()-$C919&gt;=Set_FollowUpDays,"NO RESPONSE",""),""),"")))</f>
        <v/>
      </c>
      <c r="AD919" s="87">
        <f>IF(ISNUMBER($L919),IF($L919&gt;=90,"Excellent Match",IF($L919&gt;=75,"Strong Match",IF($L919&gt;=60,"Moderate Match","Low Match"))),"")</f>
        <v/>
      </c>
      <c r="AE919" s="87">
        <f>IF($D919="","",IF(OR($M919="Rejected",$M919="Withdrawn"),IF($AB919&lt;&gt;"",$AB919,IF(OR($M919="Rejected",ISNUMBER($C919)),"Applied","Wishlist")),IF($M919="",IF(ISNUMBER($C919),"Applied","Wishlist"),$M919)))</f>
        <v/>
      </c>
      <c r="AF919" s="88">
        <f>IF(AND(ISNUMBER($C919),ISNUMBER($AA919)),$AA919-$C919,"")</f>
        <v/>
      </c>
      <c r="AG919" s="87">
        <f>IF($AE919="","",IFERROR(MATCH($AE919,{"Wishlist","Applied","Screening","Interview 1","Interview 2","Final","Offer","Accepted"},0)-1,""))</f>
        <v/>
      </c>
      <c r="AH919" s="87">
        <f>IF($AC919="","",MATCH($AC919,{"FOLLOW UP REQUIRED","ACTION DUE TODAY","NO RESPONSE","DUE SOON"},0)*100000+IF(ISNUMBER($O919),$O919,IF(ISNUMBER($C919),$C919,0))+ROW()/10000)</f>
        <v/>
      </c>
      <c r="AI919" s="87">
        <f>IF(AND(ISNUMBER($AG919),$AG919&gt;=1,$AG919&lt;=6,$M919&lt;&gt;"Rejected",$M919&lt;&gt;"Withdrawn"),(10-$AG919)*100000+IF(ISNUMBER($C919),$C919,0)+ROW()/10000,"")</f>
        <v/>
      </c>
    </row>
    <row r="920">
      <c r="A920" s="80" t="n"/>
      <c r="B920" s="81" t="n"/>
      <c r="C920" s="81" t="n"/>
      <c r="D920" s="82" t="n"/>
      <c r="E920" s="82" t="n"/>
      <c r="F920" s="82" t="n"/>
      <c r="G920" s="82" t="n"/>
      <c r="H920" s="82" t="n"/>
      <c r="I920" s="83" t="n"/>
      <c r="J920" s="82" t="n"/>
      <c r="K920" s="84" t="n"/>
      <c r="L920" s="85" t="n"/>
      <c r="M920" s="82" t="n"/>
      <c r="N920" s="86" t="n"/>
      <c r="O920" s="81" t="n"/>
      <c r="P920" s="82" t="n"/>
      <c r="Q920" s="83" t="n"/>
      <c r="R920" s="82" t="n"/>
      <c r="S920" s="84" t="n"/>
      <c r="T920" s="84" t="n"/>
      <c r="U920" s="82" t="n"/>
      <c r="V920" s="86" t="n"/>
      <c r="W920" s="86" t="n"/>
      <c r="X920" s="86" t="n"/>
      <c r="Y920" s="81" t="n"/>
      <c r="Z920" s="82" t="n"/>
      <c r="AA920" s="81" t="n"/>
      <c r="AB920" s="82" t="n"/>
      <c r="AC920" s="87">
        <f>IF(OR($D920="",$M920="Rejected",$M920="Withdrawn",$M920="Accepted"),"",IF(ISNUMBER($O920),IF(INT($O920)&lt;TODAY(),"FOLLOW UP REQUIRED",IF(INT($O920)=TODAY(),"ACTION DUE TODAY",IF(INT($O920)-TODAY()&lt;=Set_DueSoonDays,"DUE SOON",""))),IF(AND($M920="Applied",$AA920=""),IF(ISNUMBER($C920),IF(TODAY()-$C920&gt;=Set_FollowUpDays,"NO RESPONSE",""),""),"")))</f>
        <v/>
      </c>
      <c r="AD920" s="87">
        <f>IF(ISNUMBER($L920),IF($L920&gt;=90,"Excellent Match",IF($L920&gt;=75,"Strong Match",IF($L920&gt;=60,"Moderate Match","Low Match"))),"")</f>
        <v/>
      </c>
      <c r="AE920" s="87">
        <f>IF($D920="","",IF(OR($M920="Rejected",$M920="Withdrawn"),IF($AB920&lt;&gt;"",$AB920,IF(OR($M920="Rejected",ISNUMBER($C920)),"Applied","Wishlist")),IF($M920="",IF(ISNUMBER($C920),"Applied","Wishlist"),$M920)))</f>
        <v/>
      </c>
      <c r="AF920" s="88">
        <f>IF(AND(ISNUMBER($C920),ISNUMBER($AA920)),$AA920-$C920,"")</f>
        <v/>
      </c>
      <c r="AG920" s="87">
        <f>IF($AE920="","",IFERROR(MATCH($AE920,{"Wishlist","Applied","Screening","Interview 1","Interview 2","Final","Offer","Accepted"},0)-1,""))</f>
        <v/>
      </c>
      <c r="AH920" s="87">
        <f>IF($AC920="","",MATCH($AC920,{"FOLLOW UP REQUIRED","ACTION DUE TODAY","NO RESPONSE","DUE SOON"},0)*100000+IF(ISNUMBER($O920),$O920,IF(ISNUMBER($C920),$C920,0))+ROW()/10000)</f>
        <v/>
      </c>
      <c r="AI920" s="87">
        <f>IF(AND(ISNUMBER($AG920),$AG920&gt;=1,$AG920&lt;=6,$M920&lt;&gt;"Rejected",$M920&lt;&gt;"Withdrawn"),(10-$AG920)*100000+IF(ISNUMBER($C920),$C920,0)+ROW()/10000,"")</f>
        <v/>
      </c>
    </row>
    <row r="921">
      <c r="A921" s="80" t="n"/>
      <c r="B921" s="81" t="n"/>
      <c r="C921" s="81" t="n"/>
      <c r="D921" s="82" t="n"/>
      <c r="E921" s="82" t="n"/>
      <c r="F921" s="82" t="n"/>
      <c r="G921" s="82" t="n"/>
      <c r="H921" s="82" t="n"/>
      <c r="I921" s="83" t="n"/>
      <c r="J921" s="82" t="n"/>
      <c r="K921" s="84" t="n"/>
      <c r="L921" s="85" t="n"/>
      <c r="M921" s="82" t="n"/>
      <c r="N921" s="86" t="n"/>
      <c r="O921" s="81" t="n"/>
      <c r="P921" s="82" t="n"/>
      <c r="Q921" s="83" t="n"/>
      <c r="R921" s="82" t="n"/>
      <c r="S921" s="84" t="n"/>
      <c r="T921" s="84" t="n"/>
      <c r="U921" s="82" t="n"/>
      <c r="V921" s="86" t="n"/>
      <c r="W921" s="86" t="n"/>
      <c r="X921" s="86" t="n"/>
      <c r="Y921" s="81" t="n"/>
      <c r="Z921" s="82" t="n"/>
      <c r="AA921" s="81" t="n"/>
      <c r="AB921" s="82" t="n"/>
      <c r="AC921" s="87">
        <f>IF(OR($D921="",$M921="Rejected",$M921="Withdrawn",$M921="Accepted"),"",IF(ISNUMBER($O921),IF(INT($O921)&lt;TODAY(),"FOLLOW UP REQUIRED",IF(INT($O921)=TODAY(),"ACTION DUE TODAY",IF(INT($O921)-TODAY()&lt;=Set_DueSoonDays,"DUE SOON",""))),IF(AND($M921="Applied",$AA921=""),IF(ISNUMBER($C921),IF(TODAY()-$C921&gt;=Set_FollowUpDays,"NO RESPONSE",""),""),"")))</f>
        <v/>
      </c>
      <c r="AD921" s="87">
        <f>IF(ISNUMBER($L921),IF($L921&gt;=90,"Excellent Match",IF($L921&gt;=75,"Strong Match",IF($L921&gt;=60,"Moderate Match","Low Match"))),"")</f>
        <v/>
      </c>
      <c r="AE921" s="87">
        <f>IF($D921="","",IF(OR($M921="Rejected",$M921="Withdrawn"),IF($AB921&lt;&gt;"",$AB921,IF(OR($M921="Rejected",ISNUMBER($C921)),"Applied","Wishlist")),IF($M921="",IF(ISNUMBER($C921),"Applied","Wishlist"),$M921)))</f>
        <v/>
      </c>
      <c r="AF921" s="88">
        <f>IF(AND(ISNUMBER($C921),ISNUMBER($AA921)),$AA921-$C921,"")</f>
        <v/>
      </c>
      <c r="AG921" s="87">
        <f>IF($AE921="","",IFERROR(MATCH($AE921,{"Wishlist","Applied","Screening","Interview 1","Interview 2","Final","Offer","Accepted"},0)-1,""))</f>
        <v/>
      </c>
      <c r="AH921" s="87">
        <f>IF($AC921="","",MATCH($AC921,{"FOLLOW UP REQUIRED","ACTION DUE TODAY","NO RESPONSE","DUE SOON"},0)*100000+IF(ISNUMBER($O921),$O921,IF(ISNUMBER($C921),$C921,0))+ROW()/10000)</f>
        <v/>
      </c>
      <c r="AI921" s="87">
        <f>IF(AND(ISNUMBER($AG921),$AG921&gt;=1,$AG921&lt;=6,$M921&lt;&gt;"Rejected",$M921&lt;&gt;"Withdrawn"),(10-$AG921)*100000+IF(ISNUMBER($C921),$C921,0)+ROW()/10000,"")</f>
        <v/>
      </c>
    </row>
    <row r="922">
      <c r="A922" s="80" t="n"/>
      <c r="B922" s="81" t="n"/>
      <c r="C922" s="81" t="n"/>
      <c r="D922" s="82" t="n"/>
      <c r="E922" s="82" t="n"/>
      <c r="F922" s="82" t="n"/>
      <c r="G922" s="82" t="n"/>
      <c r="H922" s="82" t="n"/>
      <c r="I922" s="83" t="n"/>
      <c r="J922" s="82" t="n"/>
      <c r="K922" s="84" t="n"/>
      <c r="L922" s="85" t="n"/>
      <c r="M922" s="82" t="n"/>
      <c r="N922" s="86" t="n"/>
      <c r="O922" s="81" t="n"/>
      <c r="P922" s="82" t="n"/>
      <c r="Q922" s="83" t="n"/>
      <c r="R922" s="82" t="n"/>
      <c r="S922" s="84" t="n"/>
      <c r="T922" s="84" t="n"/>
      <c r="U922" s="82" t="n"/>
      <c r="V922" s="86" t="n"/>
      <c r="W922" s="86" t="n"/>
      <c r="X922" s="86" t="n"/>
      <c r="Y922" s="81" t="n"/>
      <c r="Z922" s="82" t="n"/>
      <c r="AA922" s="81" t="n"/>
      <c r="AB922" s="82" t="n"/>
      <c r="AC922" s="87">
        <f>IF(OR($D922="",$M922="Rejected",$M922="Withdrawn",$M922="Accepted"),"",IF(ISNUMBER($O922),IF(INT($O922)&lt;TODAY(),"FOLLOW UP REQUIRED",IF(INT($O922)=TODAY(),"ACTION DUE TODAY",IF(INT($O922)-TODAY()&lt;=Set_DueSoonDays,"DUE SOON",""))),IF(AND($M922="Applied",$AA922=""),IF(ISNUMBER($C922),IF(TODAY()-$C922&gt;=Set_FollowUpDays,"NO RESPONSE",""),""),"")))</f>
        <v/>
      </c>
      <c r="AD922" s="87">
        <f>IF(ISNUMBER($L922),IF($L922&gt;=90,"Excellent Match",IF($L922&gt;=75,"Strong Match",IF($L922&gt;=60,"Moderate Match","Low Match"))),"")</f>
        <v/>
      </c>
      <c r="AE922" s="87">
        <f>IF($D922="","",IF(OR($M922="Rejected",$M922="Withdrawn"),IF($AB922&lt;&gt;"",$AB922,IF(OR($M922="Rejected",ISNUMBER($C922)),"Applied","Wishlist")),IF($M922="",IF(ISNUMBER($C922),"Applied","Wishlist"),$M922)))</f>
        <v/>
      </c>
      <c r="AF922" s="88">
        <f>IF(AND(ISNUMBER($C922),ISNUMBER($AA922)),$AA922-$C922,"")</f>
        <v/>
      </c>
      <c r="AG922" s="87">
        <f>IF($AE922="","",IFERROR(MATCH($AE922,{"Wishlist","Applied","Screening","Interview 1","Interview 2","Final","Offer","Accepted"},0)-1,""))</f>
        <v/>
      </c>
      <c r="AH922" s="87">
        <f>IF($AC922="","",MATCH($AC922,{"FOLLOW UP REQUIRED","ACTION DUE TODAY","NO RESPONSE","DUE SOON"},0)*100000+IF(ISNUMBER($O922),$O922,IF(ISNUMBER($C922),$C922,0))+ROW()/10000)</f>
        <v/>
      </c>
      <c r="AI922" s="87">
        <f>IF(AND(ISNUMBER($AG922),$AG922&gt;=1,$AG922&lt;=6,$M922&lt;&gt;"Rejected",$M922&lt;&gt;"Withdrawn"),(10-$AG922)*100000+IF(ISNUMBER($C922),$C922,0)+ROW()/10000,"")</f>
        <v/>
      </c>
    </row>
    <row r="923">
      <c r="A923" s="80" t="n"/>
      <c r="B923" s="81" t="n"/>
      <c r="C923" s="81" t="n"/>
      <c r="D923" s="82" t="n"/>
      <c r="E923" s="82" t="n"/>
      <c r="F923" s="82" t="n"/>
      <c r="G923" s="82" t="n"/>
      <c r="H923" s="82" t="n"/>
      <c r="I923" s="83" t="n"/>
      <c r="J923" s="82" t="n"/>
      <c r="K923" s="84" t="n"/>
      <c r="L923" s="85" t="n"/>
      <c r="M923" s="82" t="n"/>
      <c r="N923" s="86" t="n"/>
      <c r="O923" s="81" t="n"/>
      <c r="P923" s="82" t="n"/>
      <c r="Q923" s="83" t="n"/>
      <c r="R923" s="82" t="n"/>
      <c r="S923" s="84" t="n"/>
      <c r="T923" s="84" t="n"/>
      <c r="U923" s="82" t="n"/>
      <c r="V923" s="86" t="n"/>
      <c r="W923" s="86" t="n"/>
      <c r="X923" s="86" t="n"/>
      <c r="Y923" s="81" t="n"/>
      <c r="Z923" s="82" t="n"/>
      <c r="AA923" s="81" t="n"/>
      <c r="AB923" s="82" t="n"/>
      <c r="AC923" s="87">
        <f>IF(OR($D923="",$M923="Rejected",$M923="Withdrawn",$M923="Accepted"),"",IF(ISNUMBER($O923),IF(INT($O923)&lt;TODAY(),"FOLLOW UP REQUIRED",IF(INT($O923)=TODAY(),"ACTION DUE TODAY",IF(INT($O923)-TODAY()&lt;=Set_DueSoonDays,"DUE SOON",""))),IF(AND($M923="Applied",$AA923=""),IF(ISNUMBER($C923),IF(TODAY()-$C923&gt;=Set_FollowUpDays,"NO RESPONSE",""),""),"")))</f>
        <v/>
      </c>
      <c r="AD923" s="87">
        <f>IF(ISNUMBER($L923),IF($L923&gt;=90,"Excellent Match",IF($L923&gt;=75,"Strong Match",IF($L923&gt;=60,"Moderate Match","Low Match"))),"")</f>
        <v/>
      </c>
      <c r="AE923" s="87">
        <f>IF($D923="","",IF(OR($M923="Rejected",$M923="Withdrawn"),IF($AB923&lt;&gt;"",$AB923,IF(OR($M923="Rejected",ISNUMBER($C923)),"Applied","Wishlist")),IF($M923="",IF(ISNUMBER($C923),"Applied","Wishlist"),$M923)))</f>
        <v/>
      </c>
      <c r="AF923" s="88">
        <f>IF(AND(ISNUMBER($C923),ISNUMBER($AA923)),$AA923-$C923,"")</f>
        <v/>
      </c>
      <c r="AG923" s="87">
        <f>IF($AE923="","",IFERROR(MATCH($AE923,{"Wishlist","Applied","Screening","Interview 1","Interview 2","Final","Offer","Accepted"},0)-1,""))</f>
        <v/>
      </c>
      <c r="AH923" s="87">
        <f>IF($AC923="","",MATCH($AC923,{"FOLLOW UP REQUIRED","ACTION DUE TODAY","NO RESPONSE","DUE SOON"},0)*100000+IF(ISNUMBER($O923),$O923,IF(ISNUMBER($C923),$C923,0))+ROW()/10000)</f>
        <v/>
      </c>
      <c r="AI923" s="87">
        <f>IF(AND(ISNUMBER($AG923),$AG923&gt;=1,$AG923&lt;=6,$M923&lt;&gt;"Rejected",$M923&lt;&gt;"Withdrawn"),(10-$AG923)*100000+IF(ISNUMBER($C923),$C923,0)+ROW()/10000,"")</f>
        <v/>
      </c>
    </row>
    <row r="924">
      <c r="A924" s="80" t="n"/>
      <c r="B924" s="81" t="n"/>
      <c r="C924" s="81" t="n"/>
      <c r="D924" s="82" t="n"/>
      <c r="E924" s="82" t="n"/>
      <c r="F924" s="82" t="n"/>
      <c r="G924" s="82" t="n"/>
      <c r="H924" s="82" t="n"/>
      <c r="I924" s="83" t="n"/>
      <c r="J924" s="82" t="n"/>
      <c r="K924" s="84" t="n"/>
      <c r="L924" s="85" t="n"/>
      <c r="M924" s="82" t="n"/>
      <c r="N924" s="86" t="n"/>
      <c r="O924" s="81" t="n"/>
      <c r="P924" s="82" t="n"/>
      <c r="Q924" s="83" t="n"/>
      <c r="R924" s="82" t="n"/>
      <c r="S924" s="84" t="n"/>
      <c r="T924" s="84" t="n"/>
      <c r="U924" s="82" t="n"/>
      <c r="V924" s="86" t="n"/>
      <c r="W924" s="86" t="n"/>
      <c r="X924" s="86" t="n"/>
      <c r="Y924" s="81" t="n"/>
      <c r="Z924" s="82" t="n"/>
      <c r="AA924" s="81" t="n"/>
      <c r="AB924" s="82" t="n"/>
      <c r="AC924" s="87">
        <f>IF(OR($D924="",$M924="Rejected",$M924="Withdrawn",$M924="Accepted"),"",IF(ISNUMBER($O924),IF(INT($O924)&lt;TODAY(),"FOLLOW UP REQUIRED",IF(INT($O924)=TODAY(),"ACTION DUE TODAY",IF(INT($O924)-TODAY()&lt;=Set_DueSoonDays,"DUE SOON",""))),IF(AND($M924="Applied",$AA924=""),IF(ISNUMBER($C924),IF(TODAY()-$C924&gt;=Set_FollowUpDays,"NO RESPONSE",""),""),"")))</f>
        <v/>
      </c>
      <c r="AD924" s="87">
        <f>IF(ISNUMBER($L924),IF($L924&gt;=90,"Excellent Match",IF($L924&gt;=75,"Strong Match",IF($L924&gt;=60,"Moderate Match","Low Match"))),"")</f>
        <v/>
      </c>
      <c r="AE924" s="87">
        <f>IF($D924="","",IF(OR($M924="Rejected",$M924="Withdrawn"),IF($AB924&lt;&gt;"",$AB924,IF(OR($M924="Rejected",ISNUMBER($C924)),"Applied","Wishlist")),IF($M924="",IF(ISNUMBER($C924),"Applied","Wishlist"),$M924)))</f>
        <v/>
      </c>
      <c r="AF924" s="88">
        <f>IF(AND(ISNUMBER($C924),ISNUMBER($AA924)),$AA924-$C924,"")</f>
        <v/>
      </c>
      <c r="AG924" s="87">
        <f>IF($AE924="","",IFERROR(MATCH($AE924,{"Wishlist","Applied","Screening","Interview 1","Interview 2","Final","Offer","Accepted"},0)-1,""))</f>
        <v/>
      </c>
      <c r="AH924" s="87">
        <f>IF($AC924="","",MATCH($AC924,{"FOLLOW UP REQUIRED","ACTION DUE TODAY","NO RESPONSE","DUE SOON"},0)*100000+IF(ISNUMBER($O924),$O924,IF(ISNUMBER($C924),$C924,0))+ROW()/10000)</f>
        <v/>
      </c>
      <c r="AI924" s="87">
        <f>IF(AND(ISNUMBER($AG924),$AG924&gt;=1,$AG924&lt;=6,$M924&lt;&gt;"Rejected",$M924&lt;&gt;"Withdrawn"),(10-$AG924)*100000+IF(ISNUMBER($C924),$C924,0)+ROW()/10000,"")</f>
        <v/>
      </c>
    </row>
    <row r="925">
      <c r="A925" s="80" t="n"/>
      <c r="B925" s="81" t="n"/>
      <c r="C925" s="81" t="n"/>
      <c r="D925" s="82" t="n"/>
      <c r="E925" s="82" t="n"/>
      <c r="F925" s="82" t="n"/>
      <c r="G925" s="82" t="n"/>
      <c r="H925" s="82" t="n"/>
      <c r="I925" s="83" t="n"/>
      <c r="J925" s="82" t="n"/>
      <c r="K925" s="84" t="n"/>
      <c r="L925" s="85" t="n"/>
      <c r="M925" s="82" t="n"/>
      <c r="N925" s="86" t="n"/>
      <c r="O925" s="81" t="n"/>
      <c r="P925" s="82" t="n"/>
      <c r="Q925" s="83" t="n"/>
      <c r="R925" s="82" t="n"/>
      <c r="S925" s="84" t="n"/>
      <c r="T925" s="84" t="n"/>
      <c r="U925" s="82" t="n"/>
      <c r="V925" s="86" t="n"/>
      <c r="W925" s="86" t="n"/>
      <c r="X925" s="86" t="n"/>
      <c r="Y925" s="81" t="n"/>
      <c r="Z925" s="82" t="n"/>
      <c r="AA925" s="81" t="n"/>
      <c r="AB925" s="82" t="n"/>
      <c r="AC925" s="87">
        <f>IF(OR($D925="",$M925="Rejected",$M925="Withdrawn",$M925="Accepted"),"",IF(ISNUMBER($O925),IF(INT($O925)&lt;TODAY(),"FOLLOW UP REQUIRED",IF(INT($O925)=TODAY(),"ACTION DUE TODAY",IF(INT($O925)-TODAY()&lt;=Set_DueSoonDays,"DUE SOON",""))),IF(AND($M925="Applied",$AA925=""),IF(ISNUMBER($C925),IF(TODAY()-$C925&gt;=Set_FollowUpDays,"NO RESPONSE",""),""),"")))</f>
        <v/>
      </c>
      <c r="AD925" s="87">
        <f>IF(ISNUMBER($L925),IF($L925&gt;=90,"Excellent Match",IF($L925&gt;=75,"Strong Match",IF($L925&gt;=60,"Moderate Match","Low Match"))),"")</f>
        <v/>
      </c>
      <c r="AE925" s="87">
        <f>IF($D925="","",IF(OR($M925="Rejected",$M925="Withdrawn"),IF($AB925&lt;&gt;"",$AB925,IF(OR($M925="Rejected",ISNUMBER($C925)),"Applied","Wishlist")),IF($M925="",IF(ISNUMBER($C925),"Applied","Wishlist"),$M925)))</f>
        <v/>
      </c>
      <c r="AF925" s="88">
        <f>IF(AND(ISNUMBER($C925),ISNUMBER($AA925)),$AA925-$C925,"")</f>
        <v/>
      </c>
      <c r="AG925" s="87">
        <f>IF($AE925="","",IFERROR(MATCH($AE925,{"Wishlist","Applied","Screening","Interview 1","Interview 2","Final","Offer","Accepted"},0)-1,""))</f>
        <v/>
      </c>
      <c r="AH925" s="87">
        <f>IF($AC925="","",MATCH($AC925,{"FOLLOW UP REQUIRED","ACTION DUE TODAY","NO RESPONSE","DUE SOON"},0)*100000+IF(ISNUMBER($O925),$O925,IF(ISNUMBER($C925),$C925,0))+ROW()/10000)</f>
        <v/>
      </c>
      <c r="AI925" s="87">
        <f>IF(AND(ISNUMBER($AG925),$AG925&gt;=1,$AG925&lt;=6,$M925&lt;&gt;"Rejected",$M925&lt;&gt;"Withdrawn"),(10-$AG925)*100000+IF(ISNUMBER($C925),$C925,0)+ROW()/10000,"")</f>
        <v/>
      </c>
    </row>
    <row r="926">
      <c r="A926" s="80" t="n"/>
      <c r="B926" s="81" t="n"/>
      <c r="C926" s="81" t="n"/>
      <c r="D926" s="82" t="n"/>
      <c r="E926" s="82" t="n"/>
      <c r="F926" s="82" t="n"/>
      <c r="G926" s="82" t="n"/>
      <c r="H926" s="82" t="n"/>
      <c r="I926" s="83" t="n"/>
      <c r="J926" s="82" t="n"/>
      <c r="K926" s="84" t="n"/>
      <c r="L926" s="85" t="n"/>
      <c r="M926" s="82" t="n"/>
      <c r="N926" s="86" t="n"/>
      <c r="O926" s="81" t="n"/>
      <c r="P926" s="82" t="n"/>
      <c r="Q926" s="83" t="n"/>
      <c r="R926" s="82" t="n"/>
      <c r="S926" s="84" t="n"/>
      <c r="T926" s="84" t="n"/>
      <c r="U926" s="82" t="n"/>
      <c r="V926" s="86" t="n"/>
      <c r="W926" s="86" t="n"/>
      <c r="X926" s="86" t="n"/>
      <c r="Y926" s="81" t="n"/>
      <c r="Z926" s="82" t="n"/>
      <c r="AA926" s="81" t="n"/>
      <c r="AB926" s="82" t="n"/>
      <c r="AC926" s="87">
        <f>IF(OR($D926="",$M926="Rejected",$M926="Withdrawn",$M926="Accepted"),"",IF(ISNUMBER($O926),IF(INT($O926)&lt;TODAY(),"FOLLOW UP REQUIRED",IF(INT($O926)=TODAY(),"ACTION DUE TODAY",IF(INT($O926)-TODAY()&lt;=Set_DueSoonDays,"DUE SOON",""))),IF(AND($M926="Applied",$AA926=""),IF(ISNUMBER($C926),IF(TODAY()-$C926&gt;=Set_FollowUpDays,"NO RESPONSE",""),""),"")))</f>
        <v/>
      </c>
      <c r="AD926" s="87">
        <f>IF(ISNUMBER($L926),IF($L926&gt;=90,"Excellent Match",IF($L926&gt;=75,"Strong Match",IF($L926&gt;=60,"Moderate Match","Low Match"))),"")</f>
        <v/>
      </c>
      <c r="AE926" s="87">
        <f>IF($D926="","",IF(OR($M926="Rejected",$M926="Withdrawn"),IF($AB926&lt;&gt;"",$AB926,IF(OR($M926="Rejected",ISNUMBER($C926)),"Applied","Wishlist")),IF($M926="",IF(ISNUMBER($C926),"Applied","Wishlist"),$M926)))</f>
        <v/>
      </c>
      <c r="AF926" s="88">
        <f>IF(AND(ISNUMBER($C926),ISNUMBER($AA926)),$AA926-$C926,"")</f>
        <v/>
      </c>
      <c r="AG926" s="87">
        <f>IF($AE926="","",IFERROR(MATCH($AE926,{"Wishlist","Applied","Screening","Interview 1","Interview 2","Final","Offer","Accepted"},0)-1,""))</f>
        <v/>
      </c>
      <c r="AH926" s="87">
        <f>IF($AC926="","",MATCH($AC926,{"FOLLOW UP REQUIRED","ACTION DUE TODAY","NO RESPONSE","DUE SOON"},0)*100000+IF(ISNUMBER($O926),$O926,IF(ISNUMBER($C926),$C926,0))+ROW()/10000)</f>
        <v/>
      </c>
      <c r="AI926" s="87">
        <f>IF(AND(ISNUMBER($AG926),$AG926&gt;=1,$AG926&lt;=6,$M926&lt;&gt;"Rejected",$M926&lt;&gt;"Withdrawn"),(10-$AG926)*100000+IF(ISNUMBER($C926),$C926,0)+ROW()/10000,"")</f>
        <v/>
      </c>
    </row>
    <row r="927">
      <c r="A927" s="80" t="n"/>
      <c r="B927" s="81" t="n"/>
      <c r="C927" s="81" t="n"/>
      <c r="D927" s="82" t="n"/>
      <c r="E927" s="82" t="n"/>
      <c r="F927" s="82" t="n"/>
      <c r="G927" s="82" t="n"/>
      <c r="H927" s="82" t="n"/>
      <c r="I927" s="83" t="n"/>
      <c r="J927" s="82" t="n"/>
      <c r="K927" s="84" t="n"/>
      <c r="L927" s="85" t="n"/>
      <c r="M927" s="82" t="n"/>
      <c r="N927" s="86" t="n"/>
      <c r="O927" s="81" t="n"/>
      <c r="P927" s="82" t="n"/>
      <c r="Q927" s="83" t="n"/>
      <c r="R927" s="82" t="n"/>
      <c r="S927" s="84" t="n"/>
      <c r="T927" s="84" t="n"/>
      <c r="U927" s="82" t="n"/>
      <c r="V927" s="86" t="n"/>
      <c r="W927" s="86" t="n"/>
      <c r="X927" s="86" t="n"/>
      <c r="Y927" s="81" t="n"/>
      <c r="Z927" s="82" t="n"/>
      <c r="AA927" s="81" t="n"/>
      <c r="AB927" s="82" t="n"/>
      <c r="AC927" s="87">
        <f>IF(OR($D927="",$M927="Rejected",$M927="Withdrawn",$M927="Accepted"),"",IF(ISNUMBER($O927),IF(INT($O927)&lt;TODAY(),"FOLLOW UP REQUIRED",IF(INT($O927)=TODAY(),"ACTION DUE TODAY",IF(INT($O927)-TODAY()&lt;=Set_DueSoonDays,"DUE SOON",""))),IF(AND($M927="Applied",$AA927=""),IF(ISNUMBER($C927),IF(TODAY()-$C927&gt;=Set_FollowUpDays,"NO RESPONSE",""),""),"")))</f>
        <v/>
      </c>
      <c r="AD927" s="87">
        <f>IF(ISNUMBER($L927),IF($L927&gt;=90,"Excellent Match",IF($L927&gt;=75,"Strong Match",IF($L927&gt;=60,"Moderate Match","Low Match"))),"")</f>
        <v/>
      </c>
      <c r="AE927" s="87">
        <f>IF($D927="","",IF(OR($M927="Rejected",$M927="Withdrawn"),IF($AB927&lt;&gt;"",$AB927,IF(OR($M927="Rejected",ISNUMBER($C927)),"Applied","Wishlist")),IF($M927="",IF(ISNUMBER($C927),"Applied","Wishlist"),$M927)))</f>
        <v/>
      </c>
      <c r="AF927" s="88">
        <f>IF(AND(ISNUMBER($C927),ISNUMBER($AA927)),$AA927-$C927,"")</f>
        <v/>
      </c>
      <c r="AG927" s="87">
        <f>IF($AE927="","",IFERROR(MATCH($AE927,{"Wishlist","Applied","Screening","Interview 1","Interview 2","Final","Offer","Accepted"},0)-1,""))</f>
        <v/>
      </c>
      <c r="AH927" s="87">
        <f>IF($AC927="","",MATCH($AC927,{"FOLLOW UP REQUIRED","ACTION DUE TODAY","NO RESPONSE","DUE SOON"},0)*100000+IF(ISNUMBER($O927),$O927,IF(ISNUMBER($C927),$C927,0))+ROW()/10000)</f>
        <v/>
      </c>
      <c r="AI927" s="87">
        <f>IF(AND(ISNUMBER($AG927),$AG927&gt;=1,$AG927&lt;=6,$M927&lt;&gt;"Rejected",$M927&lt;&gt;"Withdrawn"),(10-$AG927)*100000+IF(ISNUMBER($C927),$C927,0)+ROW()/10000,"")</f>
        <v/>
      </c>
    </row>
    <row r="928">
      <c r="A928" s="80" t="n"/>
      <c r="B928" s="81" t="n"/>
      <c r="C928" s="81" t="n"/>
      <c r="D928" s="82" t="n"/>
      <c r="E928" s="82" t="n"/>
      <c r="F928" s="82" t="n"/>
      <c r="G928" s="82" t="n"/>
      <c r="H928" s="82" t="n"/>
      <c r="I928" s="83" t="n"/>
      <c r="J928" s="82" t="n"/>
      <c r="K928" s="84" t="n"/>
      <c r="L928" s="85" t="n"/>
      <c r="M928" s="82" t="n"/>
      <c r="N928" s="86" t="n"/>
      <c r="O928" s="81" t="n"/>
      <c r="P928" s="82" t="n"/>
      <c r="Q928" s="83" t="n"/>
      <c r="R928" s="82" t="n"/>
      <c r="S928" s="84" t="n"/>
      <c r="T928" s="84" t="n"/>
      <c r="U928" s="82" t="n"/>
      <c r="V928" s="86" t="n"/>
      <c r="W928" s="86" t="n"/>
      <c r="X928" s="86" t="n"/>
      <c r="Y928" s="81" t="n"/>
      <c r="Z928" s="82" t="n"/>
      <c r="AA928" s="81" t="n"/>
      <c r="AB928" s="82" t="n"/>
      <c r="AC928" s="87">
        <f>IF(OR($D928="",$M928="Rejected",$M928="Withdrawn",$M928="Accepted"),"",IF(ISNUMBER($O928),IF(INT($O928)&lt;TODAY(),"FOLLOW UP REQUIRED",IF(INT($O928)=TODAY(),"ACTION DUE TODAY",IF(INT($O928)-TODAY()&lt;=Set_DueSoonDays,"DUE SOON",""))),IF(AND($M928="Applied",$AA928=""),IF(ISNUMBER($C928),IF(TODAY()-$C928&gt;=Set_FollowUpDays,"NO RESPONSE",""),""),"")))</f>
        <v/>
      </c>
      <c r="AD928" s="87">
        <f>IF(ISNUMBER($L928),IF($L928&gt;=90,"Excellent Match",IF($L928&gt;=75,"Strong Match",IF($L928&gt;=60,"Moderate Match","Low Match"))),"")</f>
        <v/>
      </c>
      <c r="AE928" s="87">
        <f>IF($D928="","",IF(OR($M928="Rejected",$M928="Withdrawn"),IF($AB928&lt;&gt;"",$AB928,IF(OR($M928="Rejected",ISNUMBER($C928)),"Applied","Wishlist")),IF($M928="",IF(ISNUMBER($C928),"Applied","Wishlist"),$M928)))</f>
        <v/>
      </c>
      <c r="AF928" s="88">
        <f>IF(AND(ISNUMBER($C928),ISNUMBER($AA928)),$AA928-$C928,"")</f>
        <v/>
      </c>
      <c r="AG928" s="87">
        <f>IF($AE928="","",IFERROR(MATCH($AE928,{"Wishlist","Applied","Screening","Interview 1","Interview 2","Final","Offer","Accepted"},0)-1,""))</f>
        <v/>
      </c>
      <c r="AH928" s="87">
        <f>IF($AC928="","",MATCH($AC928,{"FOLLOW UP REQUIRED","ACTION DUE TODAY","NO RESPONSE","DUE SOON"},0)*100000+IF(ISNUMBER($O928),$O928,IF(ISNUMBER($C928),$C928,0))+ROW()/10000)</f>
        <v/>
      </c>
      <c r="AI928" s="87">
        <f>IF(AND(ISNUMBER($AG928),$AG928&gt;=1,$AG928&lt;=6,$M928&lt;&gt;"Rejected",$M928&lt;&gt;"Withdrawn"),(10-$AG928)*100000+IF(ISNUMBER($C928),$C928,0)+ROW()/10000,"")</f>
        <v/>
      </c>
    </row>
    <row r="929">
      <c r="A929" s="80" t="n"/>
      <c r="B929" s="81" t="n"/>
      <c r="C929" s="81" t="n"/>
      <c r="D929" s="82" t="n"/>
      <c r="E929" s="82" t="n"/>
      <c r="F929" s="82" t="n"/>
      <c r="G929" s="82" t="n"/>
      <c r="H929" s="82" t="n"/>
      <c r="I929" s="83" t="n"/>
      <c r="J929" s="82" t="n"/>
      <c r="K929" s="84" t="n"/>
      <c r="L929" s="85" t="n"/>
      <c r="M929" s="82" t="n"/>
      <c r="N929" s="86" t="n"/>
      <c r="O929" s="81" t="n"/>
      <c r="P929" s="82" t="n"/>
      <c r="Q929" s="83" t="n"/>
      <c r="R929" s="82" t="n"/>
      <c r="S929" s="84" t="n"/>
      <c r="T929" s="84" t="n"/>
      <c r="U929" s="82" t="n"/>
      <c r="V929" s="86" t="n"/>
      <c r="W929" s="86" t="n"/>
      <c r="X929" s="86" t="n"/>
      <c r="Y929" s="81" t="n"/>
      <c r="Z929" s="82" t="n"/>
      <c r="AA929" s="81" t="n"/>
      <c r="AB929" s="82" t="n"/>
      <c r="AC929" s="87">
        <f>IF(OR($D929="",$M929="Rejected",$M929="Withdrawn",$M929="Accepted"),"",IF(ISNUMBER($O929),IF(INT($O929)&lt;TODAY(),"FOLLOW UP REQUIRED",IF(INT($O929)=TODAY(),"ACTION DUE TODAY",IF(INT($O929)-TODAY()&lt;=Set_DueSoonDays,"DUE SOON",""))),IF(AND($M929="Applied",$AA929=""),IF(ISNUMBER($C929),IF(TODAY()-$C929&gt;=Set_FollowUpDays,"NO RESPONSE",""),""),"")))</f>
        <v/>
      </c>
      <c r="AD929" s="87">
        <f>IF(ISNUMBER($L929),IF($L929&gt;=90,"Excellent Match",IF($L929&gt;=75,"Strong Match",IF($L929&gt;=60,"Moderate Match","Low Match"))),"")</f>
        <v/>
      </c>
      <c r="AE929" s="87">
        <f>IF($D929="","",IF(OR($M929="Rejected",$M929="Withdrawn"),IF($AB929&lt;&gt;"",$AB929,IF(OR($M929="Rejected",ISNUMBER($C929)),"Applied","Wishlist")),IF($M929="",IF(ISNUMBER($C929),"Applied","Wishlist"),$M929)))</f>
        <v/>
      </c>
      <c r="AF929" s="88">
        <f>IF(AND(ISNUMBER($C929),ISNUMBER($AA929)),$AA929-$C929,"")</f>
        <v/>
      </c>
      <c r="AG929" s="87">
        <f>IF($AE929="","",IFERROR(MATCH($AE929,{"Wishlist","Applied","Screening","Interview 1","Interview 2","Final","Offer","Accepted"},0)-1,""))</f>
        <v/>
      </c>
      <c r="AH929" s="87">
        <f>IF($AC929="","",MATCH($AC929,{"FOLLOW UP REQUIRED","ACTION DUE TODAY","NO RESPONSE","DUE SOON"},0)*100000+IF(ISNUMBER($O929),$O929,IF(ISNUMBER($C929),$C929,0))+ROW()/10000)</f>
        <v/>
      </c>
      <c r="AI929" s="87">
        <f>IF(AND(ISNUMBER($AG929),$AG929&gt;=1,$AG929&lt;=6,$M929&lt;&gt;"Rejected",$M929&lt;&gt;"Withdrawn"),(10-$AG929)*100000+IF(ISNUMBER($C929),$C929,0)+ROW()/10000,"")</f>
        <v/>
      </c>
    </row>
    <row r="930">
      <c r="A930" s="80" t="n"/>
      <c r="B930" s="81" t="n"/>
      <c r="C930" s="81" t="n"/>
      <c r="D930" s="82" t="n"/>
      <c r="E930" s="82" t="n"/>
      <c r="F930" s="82" t="n"/>
      <c r="G930" s="82" t="n"/>
      <c r="H930" s="82" t="n"/>
      <c r="I930" s="83" t="n"/>
      <c r="J930" s="82" t="n"/>
      <c r="K930" s="84" t="n"/>
      <c r="L930" s="85" t="n"/>
      <c r="M930" s="82" t="n"/>
      <c r="N930" s="86" t="n"/>
      <c r="O930" s="81" t="n"/>
      <c r="P930" s="82" t="n"/>
      <c r="Q930" s="83" t="n"/>
      <c r="R930" s="82" t="n"/>
      <c r="S930" s="84" t="n"/>
      <c r="T930" s="84" t="n"/>
      <c r="U930" s="82" t="n"/>
      <c r="V930" s="86" t="n"/>
      <c r="W930" s="86" t="n"/>
      <c r="X930" s="86" t="n"/>
      <c r="Y930" s="81" t="n"/>
      <c r="Z930" s="82" t="n"/>
      <c r="AA930" s="81" t="n"/>
      <c r="AB930" s="82" t="n"/>
      <c r="AC930" s="87">
        <f>IF(OR($D930="",$M930="Rejected",$M930="Withdrawn",$M930="Accepted"),"",IF(ISNUMBER($O930),IF(INT($O930)&lt;TODAY(),"FOLLOW UP REQUIRED",IF(INT($O930)=TODAY(),"ACTION DUE TODAY",IF(INT($O930)-TODAY()&lt;=Set_DueSoonDays,"DUE SOON",""))),IF(AND($M930="Applied",$AA930=""),IF(ISNUMBER($C930),IF(TODAY()-$C930&gt;=Set_FollowUpDays,"NO RESPONSE",""),""),"")))</f>
        <v/>
      </c>
      <c r="AD930" s="87">
        <f>IF(ISNUMBER($L930),IF($L930&gt;=90,"Excellent Match",IF($L930&gt;=75,"Strong Match",IF($L930&gt;=60,"Moderate Match","Low Match"))),"")</f>
        <v/>
      </c>
      <c r="AE930" s="87">
        <f>IF($D930="","",IF(OR($M930="Rejected",$M930="Withdrawn"),IF($AB930&lt;&gt;"",$AB930,IF(OR($M930="Rejected",ISNUMBER($C930)),"Applied","Wishlist")),IF($M930="",IF(ISNUMBER($C930),"Applied","Wishlist"),$M930)))</f>
        <v/>
      </c>
      <c r="AF930" s="88">
        <f>IF(AND(ISNUMBER($C930),ISNUMBER($AA930)),$AA930-$C930,"")</f>
        <v/>
      </c>
      <c r="AG930" s="87">
        <f>IF($AE930="","",IFERROR(MATCH($AE930,{"Wishlist","Applied","Screening","Interview 1","Interview 2","Final","Offer","Accepted"},0)-1,""))</f>
        <v/>
      </c>
      <c r="AH930" s="87">
        <f>IF($AC930="","",MATCH($AC930,{"FOLLOW UP REQUIRED","ACTION DUE TODAY","NO RESPONSE","DUE SOON"},0)*100000+IF(ISNUMBER($O930),$O930,IF(ISNUMBER($C930),$C930,0))+ROW()/10000)</f>
        <v/>
      </c>
      <c r="AI930" s="87">
        <f>IF(AND(ISNUMBER($AG930),$AG930&gt;=1,$AG930&lt;=6,$M930&lt;&gt;"Rejected",$M930&lt;&gt;"Withdrawn"),(10-$AG930)*100000+IF(ISNUMBER($C930),$C930,0)+ROW()/10000,"")</f>
        <v/>
      </c>
    </row>
    <row r="931">
      <c r="A931" s="80" t="n"/>
      <c r="B931" s="81" t="n"/>
      <c r="C931" s="81" t="n"/>
      <c r="D931" s="82" t="n"/>
      <c r="E931" s="82" t="n"/>
      <c r="F931" s="82" t="n"/>
      <c r="G931" s="82" t="n"/>
      <c r="H931" s="82" t="n"/>
      <c r="I931" s="83" t="n"/>
      <c r="J931" s="82" t="n"/>
      <c r="K931" s="84" t="n"/>
      <c r="L931" s="85" t="n"/>
      <c r="M931" s="82" t="n"/>
      <c r="N931" s="86" t="n"/>
      <c r="O931" s="81" t="n"/>
      <c r="P931" s="82" t="n"/>
      <c r="Q931" s="83" t="n"/>
      <c r="R931" s="82" t="n"/>
      <c r="S931" s="84" t="n"/>
      <c r="T931" s="84" t="n"/>
      <c r="U931" s="82" t="n"/>
      <c r="V931" s="86" t="n"/>
      <c r="W931" s="86" t="n"/>
      <c r="X931" s="86" t="n"/>
      <c r="Y931" s="81" t="n"/>
      <c r="Z931" s="82" t="n"/>
      <c r="AA931" s="81" t="n"/>
      <c r="AB931" s="82" t="n"/>
      <c r="AC931" s="87">
        <f>IF(OR($D931="",$M931="Rejected",$M931="Withdrawn",$M931="Accepted"),"",IF(ISNUMBER($O931),IF(INT($O931)&lt;TODAY(),"FOLLOW UP REQUIRED",IF(INT($O931)=TODAY(),"ACTION DUE TODAY",IF(INT($O931)-TODAY()&lt;=Set_DueSoonDays,"DUE SOON",""))),IF(AND($M931="Applied",$AA931=""),IF(ISNUMBER($C931),IF(TODAY()-$C931&gt;=Set_FollowUpDays,"NO RESPONSE",""),""),"")))</f>
        <v/>
      </c>
      <c r="AD931" s="87">
        <f>IF(ISNUMBER($L931),IF($L931&gt;=90,"Excellent Match",IF($L931&gt;=75,"Strong Match",IF($L931&gt;=60,"Moderate Match","Low Match"))),"")</f>
        <v/>
      </c>
      <c r="AE931" s="87">
        <f>IF($D931="","",IF(OR($M931="Rejected",$M931="Withdrawn"),IF($AB931&lt;&gt;"",$AB931,IF(OR($M931="Rejected",ISNUMBER($C931)),"Applied","Wishlist")),IF($M931="",IF(ISNUMBER($C931),"Applied","Wishlist"),$M931)))</f>
        <v/>
      </c>
      <c r="AF931" s="88">
        <f>IF(AND(ISNUMBER($C931),ISNUMBER($AA931)),$AA931-$C931,"")</f>
        <v/>
      </c>
      <c r="AG931" s="87">
        <f>IF($AE931="","",IFERROR(MATCH($AE931,{"Wishlist","Applied","Screening","Interview 1","Interview 2","Final","Offer","Accepted"},0)-1,""))</f>
        <v/>
      </c>
      <c r="AH931" s="87">
        <f>IF($AC931="","",MATCH($AC931,{"FOLLOW UP REQUIRED","ACTION DUE TODAY","NO RESPONSE","DUE SOON"},0)*100000+IF(ISNUMBER($O931),$O931,IF(ISNUMBER($C931),$C931,0))+ROW()/10000)</f>
        <v/>
      </c>
      <c r="AI931" s="87">
        <f>IF(AND(ISNUMBER($AG931),$AG931&gt;=1,$AG931&lt;=6,$M931&lt;&gt;"Rejected",$M931&lt;&gt;"Withdrawn"),(10-$AG931)*100000+IF(ISNUMBER($C931),$C931,0)+ROW()/10000,"")</f>
        <v/>
      </c>
    </row>
    <row r="932">
      <c r="A932" s="80" t="n"/>
      <c r="B932" s="81" t="n"/>
      <c r="C932" s="81" t="n"/>
      <c r="D932" s="82" t="n"/>
      <c r="E932" s="82" t="n"/>
      <c r="F932" s="82" t="n"/>
      <c r="G932" s="82" t="n"/>
      <c r="H932" s="82" t="n"/>
      <c r="I932" s="83" t="n"/>
      <c r="J932" s="82" t="n"/>
      <c r="K932" s="84" t="n"/>
      <c r="L932" s="85" t="n"/>
      <c r="M932" s="82" t="n"/>
      <c r="N932" s="86" t="n"/>
      <c r="O932" s="81" t="n"/>
      <c r="P932" s="82" t="n"/>
      <c r="Q932" s="83" t="n"/>
      <c r="R932" s="82" t="n"/>
      <c r="S932" s="84" t="n"/>
      <c r="T932" s="84" t="n"/>
      <c r="U932" s="82" t="n"/>
      <c r="V932" s="86" t="n"/>
      <c r="W932" s="86" t="n"/>
      <c r="X932" s="86" t="n"/>
      <c r="Y932" s="81" t="n"/>
      <c r="Z932" s="82" t="n"/>
      <c r="AA932" s="81" t="n"/>
      <c r="AB932" s="82" t="n"/>
      <c r="AC932" s="87">
        <f>IF(OR($D932="",$M932="Rejected",$M932="Withdrawn",$M932="Accepted"),"",IF(ISNUMBER($O932),IF(INT($O932)&lt;TODAY(),"FOLLOW UP REQUIRED",IF(INT($O932)=TODAY(),"ACTION DUE TODAY",IF(INT($O932)-TODAY()&lt;=Set_DueSoonDays,"DUE SOON",""))),IF(AND($M932="Applied",$AA932=""),IF(ISNUMBER($C932),IF(TODAY()-$C932&gt;=Set_FollowUpDays,"NO RESPONSE",""),""),"")))</f>
        <v/>
      </c>
      <c r="AD932" s="87">
        <f>IF(ISNUMBER($L932),IF($L932&gt;=90,"Excellent Match",IF($L932&gt;=75,"Strong Match",IF($L932&gt;=60,"Moderate Match","Low Match"))),"")</f>
        <v/>
      </c>
      <c r="AE932" s="87">
        <f>IF($D932="","",IF(OR($M932="Rejected",$M932="Withdrawn"),IF($AB932&lt;&gt;"",$AB932,IF(OR($M932="Rejected",ISNUMBER($C932)),"Applied","Wishlist")),IF($M932="",IF(ISNUMBER($C932),"Applied","Wishlist"),$M932)))</f>
        <v/>
      </c>
      <c r="AF932" s="88">
        <f>IF(AND(ISNUMBER($C932),ISNUMBER($AA932)),$AA932-$C932,"")</f>
        <v/>
      </c>
      <c r="AG932" s="87">
        <f>IF($AE932="","",IFERROR(MATCH($AE932,{"Wishlist","Applied","Screening","Interview 1","Interview 2","Final","Offer","Accepted"},0)-1,""))</f>
        <v/>
      </c>
      <c r="AH932" s="87">
        <f>IF($AC932="","",MATCH($AC932,{"FOLLOW UP REQUIRED","ACTION DUE TODAY","NO RESPONSE","DUE SOON"},0)*100000+IF(ISNUMBER($O932),$O932,IF(ISNUMBER($C932),$C932,0))+ROW()/10000)</f>
        <v/>
      </c>
      <c r="AI932" s="87">
        <f>IF(AND(ISNUMBER($AG932),$AG932&gt;=1,$AG932&lt;=6,$M932&lt;&gt;"Rejected",$M932&lt;&gt;"Withdrawn"),(10-$AG932)*100000+IF(ISNUMBER($C932),$C932,0)+ROW()/10000,"")</f>
        <v/>
      </c>
    </row>
    <row r="933">
      <c r="A933" s="80" t="n"/>
      <c r="B933" s="81" t="n"/>
      <c r="C933" s="81" t="n"/>
      <c r="D933" s="82" t="n"/>
      <c r="E933" s="82" t="n"/>
      <c r="F933" s="82" t="n"/>
      <c r="G933" s="82" t="n"/>
      <c r="H933" s="82" t="n"/>
      <c r="I933" s="83" t="n"/>
      <c r="J933" s="82" t="n"/>
      <c r="K933" s="84" t="n"/>
      <c r="L933" s="85" t="n"/>
      <c r="M933" s="82" t="n"/>
      <c r="N933" s="86" t="n"/>
      <c r="O933" s="81" t="n"/>
      <c r="P933" s="82" t="n"/>
      <c r="Q933" s="83" t="n"/>
      <c r="R933" s="82" t="n"/>
      <c r="S933" s="84" t="n"/>
      <c r="T933" s="84" t="n"/>
      <c r="U933" s="82" t="n"/>
      <c r="V933" s="86" t="n"/>
      <c r="W933" s="86" t="n"/>
      <c r="X933" s="86" t="n"/>
      <c r="Y933" s="81" t="n"/>
      <c r="Z933" s="82" t="n"/>
      <c r="AA933" s="81" t="n"/>
      <c r="AB933" s="82" t="n"/>
      <c r="AC933" s="87">
        <f>IF(OR($D933="",$M933="Rejected",$M933="Withdrawn",$M933="Accepted"),"",IF(ISNUMBER($O933),IF(INT($O933)&lt;TODAY(),"FOLLOW UP REQUIRED",IF(INT($O933)=TODAY(),"ACTION DUE TODAY",IF(INT($O933)-TODAY()&lt;=Set_DueSoonDays,"DUE SOON",""))),IF(AND($M933="Applied",$AA933=""),IF(ISNUMBER($C933),IF(TODAY()-$C933&gt;=Set_FollowUpDays,"NO RESPONSE",""),""),"")))</f>
        <v/>
      </c>
      <c r="AD933" s="87">
        <f>IF(ISNUMBER($L933),IF($L933&gt;=90,"Excellent Match",IF($L933&gt;=75,"Strong Match",IF($L933&gt;=60,"Moderate Match","Low Match"))),"")</f>
        <v/>
      </c>
      <c r="AE933" s="87">
        <f>IF($D933="","",IF(OR($M933="Rejected",$M933="Withdrawn"),IF($AB933&lt;&gt;"",$AB933,IF(OR($M933="Rejected",ISNUMBER($C933)),"Applied","Wishlist")),IF($M933="",IF(ISNUMBER($C933),"Applied","Wishlist"),$M933)))</f>
        <v/>
      </c>
      <c r="AF933" s="88">
        <f>IF(AND(ISNUMBER($C933),ISNUMBER($AA933)),$AA933-$C933,"")</f>
        <v/>
      </c>
      <c r="AG933" s="87">
        <f>IF($AE933="","",IFERROR(MATCH($AE933,{"Wishlist","Applied","Screening","Interview 1","Interview 2","Final","Offer","Accepted"},0)-1,""))</f>
        <v/>
      </c>
      <c r="AH933" s="87">
        <f>IF($AC933="","",MATCH($AC933,{"FOLLOW UP REQUIRED","ACTION DUE TODAY","NO RESPONSE","DUE SOON"},0)*100000+IF(ISNUMBER($O933),$O933,IF(ISNUMBER($C933),$C933,0))+ROW()/10000)</f>
        <v/>
      </c>
      <c r="AI933" s="87">
        <f>IF(AND(ISNUMBER($AG933),$AG933&gt;=1,$AG933&lt;=6,$M933&lt;&gt;"Rejected",$M933&lt;&gt;"Withdrawn"),(10-$AG933)*100000+IF(ISNUMBER($C933),$C933,0)+ROW()/10000,"")</f>
        <v/>
      </c>
    </row>
    <row r="934">
      <c r="A934" s="80" t="n"/>
      <c r="B934" s="81" t="n"/>
      <c r="C934" s="81" t="n"/>
      <c r="D934" s="82" t="n"/>
      <c r="E934" s="82" t="n"/>
      <c r="F934" s="82" t="n"/>
      <c r="G934" s="82" t="n"/>
      <c r="H934" s="82" t="n"/>
      <c r="I934" s="83" t="n"/>
      <c r="J934" s="82" t="n"/>
      <c r="K934" s="84" t="n"/>
      <c r="L934" s="85" t="n"/>
      <c r="M934" s="82" t="n"/>
      <c r="N934" s="86" t="n"/>
      <c r="O934" s="81" t="n"/>
      <c r="P934" s="82" t="n"/>
      <c r="Q934" s="83" t="n"/>
      <c r="R934" s="82" t="n"/>
      <c r="S934" s="84" t="n"/>
      <c r="T934" s="84" t="n"/>
      <c r="U934" s="82" t="n"/>
      <c r="V934" s="86" t="n"/>
      <c r="W934" s="86" t="n"/>
      <c r="X934" s="86" t="n"/>
      <c r="Y934" s="81" t="n"/>
      <c r="Z934" s="82" t="n"/>
      <c r="AA934" s="81" t="n"/>
      <c r="AB934" s="82" t="n"/>
      <c r="AC934" s="87">
        <f>IF(OR($D934="",$M934="Rejected",$M934="Withdrawn",$M934="Accepted"),"",IF(ISNUMBER($O934),IF(INT($O934)&lt;TODAY(),"FOLLOW UP REQUIRED",IF(INT($O934)=TODAY(),"ACTION DUE TODAY",IF(INT($O934)-TODAY()&lt;=Set_DueSoonDays,"DUE SOON",""))),IF(AND($M934="Applied",$AA934=""),IF(ISNUMBER($C934),IF(TODAY()-$C934&gt;=Set_FollowUpDays,"NO RESPONSE",""),""),"")))</f>
        <v/>
      </c>
      <c r="AD934" s="87">
        <f>IF(ISNUMBER($L934),IF($L934&gt;=90,"Excellent Match",IF($L934&gt;=75,"Strong Match",IF($L934&gt;=60,"Moderate Match","Low Match"))),"")</f>
        <v/>
      </c>
      <c r="AE934" s="87">
        <f>IF($D934="","",IF(OR($M934="Rejected",$M934="Withdrawn"),IF($AB934&lt;&gt;"",$AB934,IF(OR($M934="Rejected",ISNUMBER($C934)),"Applied","Wishlist")),IF($M934="",IF(ISNUMBER($C934),"Applied","Wishlist"),$M934)))</f>
        <v/>
      </c>
      <c r="AF934" s="88">
        <f>IF(AND(ISNUMBER($C934),ISNUMBER($AA934)),$AA934-$C934,"")</f>
        <v/>
      </c>
      <c r="AG934" s="87">
        <f>IF($AE934="","",IFERROR(MATCH($AE934,{"Wishlist","Applied","Screening","Interview 1","Interview 2","Final","Offer","Accepted"},0)-1,""))</f>
        <v/>
      </c>
      <c r="AH934" s="87">
        <f>IF($AC934="","",MATCH($AC934,{"FOLLOW UP REQUIRED","ACTION DUE TODAY","NO RESPONSE","DUE SOON"},0)*100000+IF(ISNUMBER($O934),$O934,IF(ISNUMBER($C934),$C934,0))+ROW()/10000)</f>
        <v/>
      </c>
      <c r="AI934" s="87">
        <f>IF(AND(ISNUMBER($AG934),$AG934&gt;=1,$AG934&lt;=6,$M934&lt;&gt;"Rejected",$M934&lt;&gt;"Withdrawn"),(10-$AG934)*100000+IF(ISNUMBER($C934),$C934,0)+ROW()/10000,"")</f>
        <v/>
      </c>
    </row>
    <row r="935">
      <c r="A935" s="80" t="n"/>
      <c r="B935" s="81" t="n"/>
      <c r="C935" s="81" t="n"/>
      <c r="D935" s="82" t="n"/>
      <c r="E935" s="82" t="n"/>
      <c r="F935" s="82" t="n"/>
      <c r="G935" s="82" t="n"/>
      <c r="H935" s="82" t="n"/>
      <c r="I935" s="83" t="n"/>
      <c r="J935" s="82" t="n"/>
      <c r="K935" s="84" t="n"/>
      <c r="L935" s="85" t="n"/>
      <c r="M935" s="82" t="n"/>
      <c r="N935" s="86" t="n"/>
      <c r="O935" s="81" t="n"/>
      <c r="P935" s="82" t="n"/>
      <c r="Q935" s="83" t="n"/>
      <c r="R935" s="82" t="n"/>
      <c r="S935" s="84" t="n"/>
      <c r="T935" s="84" t="n"/>
      <c r="U935" s="82" t="n"/>
      <c r="V935" s="86" t="n"/>
      <c r="W935" s="86" t="n"/>
      <c r="X935" s="86" t="n"/>
      <c r="Y935" s="81" t="n"/>
      <c r="Z935" s="82" t="n"/>
      <c r="AA935" s="81" t="n"/>
      <c r="AB935" s="82" t="n"/>
      <c r="AC935" s="87">
        <f>IF(OR($D935="",$M935="Rejected",$M935="Withdrawn",$M935="Accepted"),"",IF(ISNUMBER($O935),IF(INT($O935)&lt;TODAY(),"FOLLOW UP REQUIRED",IF(INT($O935)=TODAY(),"ACTION DUE TODAY",IF(INT($O935)-TODAY()&lt;=Set_DueSoonDays,"DUE SOON",""))),IF(AND($M935="Applied",$AA935=""),IF(ISNUMBER($C935),IF(TODAY()-$C935&gt;=Set_FollowUpDays,"NO RESPONSE",""),""),"")))</f>
        <v/>
      </c>
      <c r="AD935" s="87">
        <f>IF(ISNUMBER($L935),IF($L935&gt;=90,"Excellent Match",IF($L935&gt;=75,"Strong Match",IF($L935&gt;=60,"Moderate Match","Low Match"))),"")</f>
        <v/>
      </c>
      <c r="AE935" s="87">
        <f>IF($D935="","",IF(OR($M935="Rejected",$M935="Withdrawn"),IF($AB935&lt;&gt;"",$AB935,IF(OR($M935="Rejected",ISNUMBER($C935)),"Applied","Wishlist")),IF($M935="",IF(ISNUMBER($C935),"Applied","Wishlist"),$M935)))</f>
        <v/>
      </c>
      <c r="AF935" s="88">
        <f>IF(AND(ISNUMBER($C935),ISNUMBER($AA935)),$AA935-$C935,"")</f>
        <v/>
      </c>
      <c r="AG935" s="87">
        <f>IF($AE935="","",IFERROR(MATCH($AE935,{"Wishlist","Applied","Screening","Interview 1","Interview 2","Final","Offer","Accepted"},0)-1,""))</f>
        <v/>
      </c>
      <c r="AH935" s="87">
        <f>IF($AC935="","",MATCH($AC935,{"FOLLOW UP REQUIRED","ACTION DUE TODAY","NO RESPONSE","DUE SOON"},0)*100000+IF(ISNUMBER($O935),$O935,IF(ISNUMBER($C935),$C935,0))+ROW()/10000)</f>
        <v/>
      </c>
      <c r="AI935" s="87">
        <f>IF(AND(ISNUMBER($AG935),$AG935&gt;=1,$AG935&lt;=6,$M935&lt;&gt;"Rejected",$M935&lt;&gt;"Withdrawn"),(10-$AG935)*100000+IF(ISNUMBER($C935),$C935,0)+ROW()/10000,"")</f>
        <v/>
      </c>
    </row>
    <row r="936">
      <c r="A936" s="80" t="n"/>
      <c r="B936" s="81" t="n"/>
      <c r="C936" s="81" t="n"/>
      <c r="D936" s="82" t="n"/>
      <c r="E936" s="82" t="n"/>
      <c r="F936" s="82" t="n"/>
      <c r="G936" s="82" t="n"/>
      <c r="H936" s="82" t="n"/>
      <c r="I936" s="83" t="n"/>
      <c r="J936" s="82" t="n"/>
      <c r="K936" s="84" t="n"/>
      <c r="L936" s="85" t="n"/>
      <c r="M936" s="82" t="n"/>
      <c r="N936" s="86" t="n"/>
      <c r="O936" s="81" t="n"/>
      <c r="P936" s="82" t="n"/>
      <c r="Q936" s="83" t="n"/>
      <c r="R936" s="82" t="n"/>
      <c r="S936" s="84" t="n"/>
      <c r="T936" s="84" t="n"/>
      <c r="U936" s="82" t="n"/>
      <c r="V936" s="86" t="n"/>
      <c r="W936" s="86" t="n"/>
      <c r="X936" s="86" t="n"/>
      <c r="Y936" s="81" t="n"/>
      <c r="Z936" s="82" t="n"/>
      <c r="AA936" s="81" t="n"/>
      <c r="AB936" s="82" t="n"/>
      <c r="AC936" s="87">
        <f>IF(OR($D936="",$M936="Rejected",$M936="Withdrawn",$M936="Accepted"),"",IF(ISNUMBER($O936),IF(INT($O936)&lt;TODAY(),"FOLLOW UP REQUIRED",IF(INT($O936)=TODAY(),"ACTION DUE TODAY",IF(INT($O936)-TODAY()&lt;=Set_DueSoonDays,"DUE SOON",""))),IF(AND($M936="Applied",$AA936=""),IF(ISNUMBER($C936),IF(TODAY()-$C936&gt;=Set_FollowUpDays,"NO RESPONSE",""),""),"")))</f>
        <v/>
      </c>
      <c r="AD936" s="87">
        <f>IF(ISNUMBER($L936),IF($L936&gt;=90,"Excellent Match",IF($L936&gt;=75,"Strong Match",IF($L936&gt;=60,"Moderate Match","Low Match"))),"")</f>
        <v/>
      </c>
      <c r="AE936" s="87">
        <f>IF($D936="","",IF(OR($M936="Rejected",$M936="Withdrawn"),IF($AB936&lt;&gt;"",$AB936,IF(OR($M936="Rejected",ISNUMBER($C936)),"Applied","Wishlist")),IF($M936="",IF(ISNUMBER($C936),"Applied","Wishlist"),$M936)))</f>
        <v/>
      </c>
      <c r="AF936" s="88">
        <f>IF(AND(ISNUMBER($C936),ISNUMBER($AA936)),$AA936-$C936,"")</f>
        <v/>
      </c>
      <c r="AG936" s="87">
        <f>IF($AE936="","",IFERROR(MATCH($AE936,{"Wishlist","Applied","Screening","Interview 1","Interview 2","Final","Offer","Accepted"},0)-1,""))</f>
        <v/>
      </c>
      <c r="AH936" s="87">
        <f>IF($AC936="","",MATCH($AC936,{"FOLLOW UP REQUIRED","ACTION DUE TODAY","NO RESPONSE","DUE SOON"},0)*100000+IF(ISNUMBER($O936),$O936,IF(ISNUMBER($C936),$C936,0))+ROW()/10000)</f>
        <v/>
      </c>
      <c r="AI936" s="87">
        <f>IF(AND(ISNUMBER($AG936),$AG936&gt;=1,$AG936&lt;=6,$M936&lt;&gt;"Rejected",$M936&lt;&gt;"Withdrawn"),(10-$AG936)*100000+IF(ISNUMBER($C936),$C936,0)+ROW()/10000,"")</f>
        <v/>
      </c>
    </row>
    <row r="937">
      <c r="A937" s="80" t="n"/>
      <c r="B937" s="81" t="n"/>
      <c r="C937" s="81" t="n"/>
      <c r="D937" s="82" t="n"/>
      <c r="E937" s="82" t="n"/>
      <c r="F937" s="82" t="n"/>
      <c r="G937" s="82" t="n"/>
      <c r="H937" s="82" t="n"/>
      <c r="I937" s="83" t="n"/>
      <c r="J937" s="82" t="n"/>
      <c r="K937" s="84" t="n"/>
      <c r="L937" s="85" t="n"/>
      <c r="M937" s="82" t="n"/>
      <c r="N937" s="86" t="n"/>
      <c r="O937" s="81" t="n"/>
      <c r="P937" s="82" t="n"/>
      <c r="Q937" s="83" t="n"/>
      <c r="R937" s="82" t="n"/>
      <c r="S937" s="84" t="n"/>
      <c r="T937" s="84" t="n"/>
      <c r="U937" s="82" t="n"/>
      <c r="V937" s="86" t="n"/>
      <c r="W937" s="86" t="n"/>
      <c r="X937" s="86" t="n"/>
      <c r="Y937" s="81" t="n"/>
      <c r="Z937" s="82" t="n"/>
      <c r="AA937" s="81" t="n"/>
      <c r="AB937" s="82" t="n"/>
      <c r="AC937" s="87">
        <f>IF(OR($D937="",$M937="Rejected",$M937="Withdrawn",$M937="Accepted"),"",IF(ISNUMBER($O937),IF(INT($O937)&lt;TODAY(),"FOLLOW UP REQUIRED",IF(INT($O937)=TODAY(),"ACTION DUE TODAY",IF(INT($O937)-TODAY()&lt;=Set_DueSoonDays,"DUE SOON",""))),IF(AND($M937="Applied",$AA937=""),IF(ISNUMBER($C937),IF(TODAY()-$C937&gt;=Set_FollowUpDays,"NO RESPONSE",""),""),"")))</f>
        <v/>
      </c>
      <c r="AD937" s="87">
        <f>IF(ISNUMBER($L937),IF($L937&gt;=90,"Excellent Match",IF($L937&gt;=75,"Strong Match",IF($L937&gt;=60,"Moderate Match","Low Match"))),"")</f>
        <v/>
      </c>
      <c r="AE937" s="87">
        <f>IF($D937="","",IF(OR($M937="Rejected",$M937="Withdrawn"),IF($AB937&lt;&gt;"",$AB937,IF(OR($M937="Rejected",ISNUMBER($C937)),"Applied","Wishlist")),IF($M937="",IF(ISNUMBER($C937),"Applied","Wishlist"),$M937)))</f>
        <v/>
      </c>
      <c r="AF937" s="88">
        <f>IF(AND(ISNUMBER($C937),ISNUMBER($AA937)),$AA937-$C937,"")</f>
        <v/>
      </c>
      <c r="AG937" s="87">
        <f>IF($AE937="","",IFERROR(MATCH($AE937,{"Wishlist","Applied","Screening","Interview 1","Interview 2","Final","Offer","Accepted"},0)-1,""))</f>
        <v/>
      </c>
      <c r="AH937" s="87">
        <f>IF($AC937="","",MATCH($AC937,{"FOLLOW UP REQUIRED","ACTION DUE TODAY","NO RESPONSE","DUE SOON"},0)*100000+IF(ISNUMBER($O937),$O937,IF(ISNUMBER($C937),$C937,0))+ROW()/10000)</f>
        <v/>
      </c>
      <c r="AI937" s="87">
        <f>IF(AND(ISNUMBER($AG937),$AG937&gt;=1,$AG937&lt;=6,$M937&lt;&gt;"Rejected",$M937&lt;&gt;"Withdrawn"),(10-$AG937)*100000+IF(ISNUMBER($C937),$C937,0)+ROW()/10000,"")</f>
        <v/>
      </c>
    </row>
    <row r="938">
      <c r="A938" s="80" t="n"/>
      <c r="B938" s="81" t="n"/>
      <c r="C938" s="81" t="n"/>
      <c r="D938" s="82" t="n"/>
      <c r="E938" s="82" t="n"/>
      <c r="F938" s="82" t="n"/>
      <c r="G938" s="82" t="n"/>
      <c r="H938" s="82" t="n"/>
      <c r="I938" s="83" t="n"/>
      <c r="J938" s="82" t="n"/>
      <c r="K938" s="84" t="n"/>
      <c r="L938" s="85" t="n"/>
      <c r="M938" s="82" t="n"/>
      <c r="N938" s="86" t="n"/>
      <c r="O938" s="81" t="n"/>
      <c r="P938" s="82" t="n"/>
      <c r="Q938" s="83" t="n"/>
      <c r="R938" s="82" t="n"/>
      <c r="S938" s="84" t="n"/>
      <c r="T938" s="84" t="n"/>
      <c r="U938" s="82" t="n"/>
      <c r="V938" s="86" t="n"/>
      <c r="W938" s="86" t="n"/>
      <c r="X938" s="86" t="n"/>
      <c r="Y938" s="81" t="n"/>
      <c r="Z938" s="82" t="n"/>
      <c r="AA938" s="81" t="n"/>
      <c r="AB938" s="82" t="n"/>
      <c r="AC938" s="87">
        <f>IF(OR($D938="",$M938="Rejected",$M938="Withdrawn",$M938="Accepted"),"",IF(ISNUMBER($O938),IF(INT($O938)&lt;TODAY(),"FOLLOW UP REQUIRED",IF(INT($O938)=TODAY(),"ACTION DUE TODAY",IF(INT($O938)-TODAY()&lt;=Set_DueSoonDays,"DUE SOON",""))),IF(AND($M938="Applied",$AA938=""),IF(ISNUMBER($C938),IF(TODAY()-$C938&gt;=Set_FollowUpDays,"NO RESPONSE",""),""),"")))</f>
        <v/>
      </c>
      <c r="AD938" s="87">
        <f>IF(ISNUMBER($L938),IF($L938&gt;=90,"Excellent Match",IF($L938&gt;=75,"Strong Match",IF($L938&gt;=60,"Moderate Match","Low Match"))),"")</f>
        <v/>
      </c>
      <c r="AE938" s="87">
        <f>IF($D938="","",IF(OR($M938="Rejected",$M938="Withdrawn"),IF($AB938&lt;&gt;"",$AB938,IF(OR($M938="Rejected",ISNUMBER($C938)),"Applied","Wishlist")),IF($M938="",IF(ISNUMBER($C938),"Applied","Wishlist"),$M938)))</f>
        <v/>
      </c>
      <c r="AF938" s="88">
        <f>IF(AND(ISNUMBER($C938),ISNUMBER($AA938)),$AA938-$C938,"")</f>
        <v/>
      </c>
      <c r="AG938" s="87">
        <f>IF($AE938="","",IFERROR(MATCH($AE938,{"Wishlist","Applied","Screening","Interview 1","Interview 2","Final","Offer","Accepted"},0)-1,""))</f>
        <v/>
      </c>
      <c r="AH938" s="87">
        <f>IF($AC938="","",MATCH($AC938,{"FOLLOW UP REQUIRED","ACTION DUE TODAY","NO RESPONSE","DUE SOON"},0)*100000+IF(ISNUMBER($O938),$O938,IF(ISNUMBER($C938),$C938,0))+ROW()/10000)</f>
        <v/>
      </c>
      <c r="AI938" s="87">
        <f>IF(AND(ISNUMBER($AG938),$AG938&gt;=1,$AG938&lt;=6,$M938&lt;&gt;"Rejected",$M938&lt;&gt;"Withdrawn"),(10-$AG938)*100000+IF(ISNUMBER($C938),$C938,0)+ROW()/10000,"")</f>
        <v/>
      </c>
    </row>
    <row r="939">
      <c r="A939" s="80" t="n"/>
      <c r="B939" s="81" t="n"/>
      <c r="C939" s="81" t="n"/>
      <c r="D939" s="82" t="n"/>
      <c r="E939" s="82" t="n"/>
      <c r="F939" s="82" t="n"/>
      <c r="G939" s="82" t="n"/>
      <c r="H939" s="82" t="n"/>
      <c r="I939" s="83" t="n"/>
      <c r="J939" s="82" t="n"/>
      <c r="K939" s="84" t="n"/>
      <c r="L939" s="85" t="n"/>
      <c r="M939" s="82" t="n"/>
      <c r="N939" s="86" t="n"/>
      <c r="O939" s="81" t="n"/>
      <c r="P939" s="82" t="n"/>
      <c r="Q939" s="83" t="n"/>
      <c r="R939" s="82" t="n"/>
      <c r="S939" s="84" t="n"/>
      <c r="T939" s="84" t="n"/>
      <c r="U939" s="82" t="n"/>
      <c r="V939" s="86" t="n"/>
      <c r="W939" s="86" t="n"/>
      <c r="X939" s="86" t="n"/>
      <c r="Y939" s="81" t="n"/>
      <c r="Z939" s="82" t="n"/>
      <c r="AA939" s="81" t="n"/>
      <c r="AB939" s="82" t="n"/>
      <c r="AC939" s="87">
        <f>IF(OR($D939="",$M939="Rejected",$M939="Withdrawn",$M939="Accepted"),"",IF(ISNUMBER($O939),IF(INT($O939)&lt;TODAY(),"FOLLOW UP REQUIRED",IF(INT($O939)=TODAY(),"ACTION DUE TODAY",IF(INT($O939)-TODAY()&lt;=Set_DueSoonDays,"DUE SOON",""))),IF(AND($M939="Applied",$AA939=""),IF(ISNUMBER($C939),IF(TODAY()-$C939&gt;=Set_FollowUpDays,"NO RESPONSE",""),""),"")))</f>
        <v/>
      </c>
      <c r="AD939" s="87">
        <f>IF(ISNUMBER($L939),IF($L939&gt;=90,"Excellent Match",IF($L939&gt;=75,"Strong Match",IF($L939&gt;=60,"Moderate Match","Low Match"))),"")</f>
        <v/>
      </c>
      <c r="AE939" s="87">
        <f>IF($D939="","",IF(OR($M939="Rejected",$M939="Withdrawn"),IF($AB939&lt;&gt;"",$AB939,IF(OR($M939="Rejected",ISNUMBER($C939)),"Applied","Wishlist")),IF($M939="",IF(ISNUMBER($C939),"Applied","Wishlist"),$M939)))</f>
        <v/>
      </c>
      <c r="AF939" s="88">
        <f>IF(AND(ISNUMBER($C939),ISNUMBER($AA939)),$AA939-$C939,"")</f>
        <v/>
      </c>
      <c r="AG939" s="87">
        <f>IF($AE939="","",IFERROR(MATCH($AE939,{"Wishlist","Applied","Screening","Interview 1","Interview 2","Final","Offer","Accepted"},0)-1,""))</f>
        <v/>
      </c>
      <c r="AH939" s="87">
        <f>IF($AC939="","",MATCH($AC939,{"FOLLOW UP REQUIRED","ACTION DUE TODAY","NO RESPONSE","DUE SOON"},0)*100000+IF(ISNUMBER($O939),$O939,IF(ISNUMBER($C939),$C939,0))+ROW()/10000)</f>
        <v/>
      </c>
      <c r="AI939" s="87">
        <f>IF(AND(ISNUMBER($AG939),$AG939&gt;=1,$AG939&lt;=6,$M939&lt;&gt;"Rejected",$M939&lt;&gt;"Withdrawn"),(10-$AG939)*100000+IF(ISNUMBER($C939),$C939,0)+ROW()/10000,"")</f>
        <v/>
      </c>
    </row>
    <row r="940">
      <c r="A940" s="80" t="n"/>
      <c r="B940" s="81" t="n"/>
      <c r="C940" s="81" t="n"/>
      <c r="D940" s="82" t="n"/>
      <c r="E940" s="82" t="n"/>
      <c r="F940" s="82" t="n"/>
      <c r="G940" s="82" t="n"/>
      <c r="H940" s="82" t="n"/>
      <c r="I940" s="83" t="n"/>
      <c r="J940" s="82" t="n"/>
      <c r="K940" s="84" t="n"/>
      <c r="L940" s="85" t="n"/>
      <c r="M940" s="82" t="n"/>
      <c r="N940" s="86" t="n"/>
      <c r="O940" s="81" t="n"/>
      <c r="P940" s="82" t="n"/>
      <c r="Q940" s="83" t="n"/>
      <c r="R940" s="82" t="n"/>
      <c r="S940" s="84" t="n"/>
      <c r="T940" s="84" t="n"/>
      <c r="U940" s="82" t="n"/>
      <c r="V940" s="86" t="n"/>
      <c r="W940" s="86" t="n"/>
      <c r="X940" s="86" t="n"/>
      <c r="Y940" s="81" t="n"/>
      <c r="Z940" s="82" t="n"/>
      <c r="AA940" s="81" t="n"/>
      <c r="AB940" s="82" t="n"/>
      <c r="AC940" s="87">
        <f>IF(OR($D940="",$M940="Rejected",$M940="Withdrawn",$M940="Accepted"),"",IF(ISNUMBER($O940),IF(INT($O940)&lt;TODAY(),"FOLLOW UP REQUIRED",IF(INT($O940)=TODAY(),"ACTION DUE TODAY",IF(INT($O940)-TODAY()&lt;=Set_DueSoonDays,"DUE SOON",""))),IF(AND($M940="Applied",$AA940=""),IF(ISNUMBER($C940),IF(TODAY()-$C940&gt;=Set_FollowUpDays,"NO RESPONSE",""),""),"")))</f>
        <v/>
      </c>
      <c r="AD940" s="87">
        <f>IF(ISNUMBER($L940),IF($L940&gt;=90,"Excellent Match",IF($L940&gt;=75,"Strong Match",IF($L940&gt;=60,"Moderate Match","Low Match"))),"")</f>
        <v/>
      </c>
      <c r="AE940" s="87">
        <f>IF($D940="","",IF(OR($M940="Rejected",$M940="Withdrawn"),IF($AB940&lt;&gt;"",$AB940,IF(OR($M940="Rejected",ISNUMBER($C940)),"Applied","Wishlist")),IF($M940="",IF(ISNUMBER($C940),"Applied","Wishlist"),$M940)))</f>
        <v/>
      </c>
      <c r="AF940" s="88">
        <f>IF(AND(ISNUMBER($C940),ISNUMBER($AA940)),$AA940-$C940,"")</f>
        <v/>
      </c>
      <c r="AG940" s="87">
        <f>IF($AE940="","",IFERROR(MATCH($AE940,{"Wishlist","Applied","Screening","Interview 1","Interview 2","Final","Offer","Accepted"},0)-1,""))</f>
        <v/>
      </c>
      <c r="AH940" s="87">
        <f>IF($AC940="","",MATCH($AC940,{"FOLLOW UP REQUIRED","ACTION DUE TODAY","NO RESPONSE","DUE SOON"},0)*100000+IF(ISNUMBER($O940),$O940,IF(ISNUMBER($C940),$C940,0))+ROW()/10000)</f>
        <v/>
      </c>
      <c r="AI940" s="87">
        <f>IF(AND(ISNUMBER($AG940),$AG940&gt;=1,$AG940&lt;=6,$M940&lt;&gt;"Rejected",$M940&lt;&gt;"Withdrawn"),(10-$AG940)*100000+IF(ISNUMBER($C940),$C940,0)+ROW()/10000,"")</f>
        <v/>
      </c>
    </row>
    <row r="941">
      <c r="A941" s="80" t="n"/>
      <c r="B941" s="81" t="n"/>
      <c r="C941" s="81" t="n"/>
      <c r="D941" s="82" t="n"/>
      <c r="E941" s="82" t="n"/>
      <c r="F941" s="82" t="n"/>
      <c r="G941" s="82" t="n"/>
      <c r="H941" s="82" t="n"/>
      <c r="I941" s="83" t="n"/>
      <c r="J941" s="82" t="n"/>
      <c r="K941" s="84" t="n"/>
      <c r="L941" s="85" t="n"/>
      <c r="M941" s="82" t="n"/>
      <c r="N941" s="86" t="n"/>
      <c r="O941" s="81" t="n"/>
      <c r="P941" s="82" t="n"/>
      <c r="Q941" s="83" t="n"/>
      <c r="R941" s="82" t="n"/>
      <c r="S941" s="84" t="n"/>
      <c r="T941" s="84" t="n"/>
      <c r="U941" s="82" t="n"/>
      <c r="V941" s="86" t="n"/>
      <c r="W941" s="86" t="n"/>
      <c r="X941" s="86" t="n"/>
      <c r="Y941" s="81" t="n"/>
      <c r="Z941" s="82" t="n"/>
      <c r="AA941" s="81" t="n"/>
      <c r="AB941" s="82" t="n"/>
      <c r="AC941" s="87">
        <f>IF(OR($D941="",$M941="Rejected",$M941="Withdrawn",$M941="Accepted"),"",IF(ISNUMBER($O941),IF(INT($O941)&lt;TODAY(),"FOLLOW UP REQUIRED",IF(INT($O941)=TODAY(),"ACTION DUE TODAY",IF(INT($O941)-TODAY()&lt;=Set_DueSoonDays,"DUE SOON",""))),IF(AND($M941="Applied",$AA941=""),IF(ISNUMBER($C941),IF(TODAY()-$C941&gt;=Set_FollowUpDays,"NO RESPONSE",""),""),"")))</f>
        <v/>
      </c>
      <c r="AD941" s="87">
        <f>IF(ISNUMBER($L941),IF($L941&gt;=90,"Excellent Match",IF($L941&gt;=75,"Strong Match",IF($L941&gt;=60,"Moderate Match","Low Match"))),"")</f>
        <v/>
      </c>
      <c r="AE941" s="87">
        <f>IF($D941="","",IF(OR($M941="Rejected",$M941="Withdrawn"),IF($AB941&lt;&gt;"",$AB941,IF(OR($M941="Rejected",ISNUMBER($C941)),"Applied","Wishlist")),IF($M941="",IF(ISNUMBER($C941),"Applied","Wishlist"),$M941)))</f>
        <v/>
      </c>
      <c r="AF941" s="88">
        <f>IF(AND(ISNUMBER($C941),ISNUMBER($AA941)),$AA941-$C941,"")</f>
        <v/>
      </c>
      <c r="AG941" s="87">
        <f>IF($AE941="","",IFERROR(MATCH($AE941,{"Wishlist","Applied","Screening","Interview 1","Interview 2","Final","Offer","Accepted"},0)-1,""))</f>
        <v/>
      </c>
      <c r="AH941" s="87">
        <f>IF($AC941="","",MATCH($AC941,{"FOLLOW UP REQUIRED","ACTION DUE TODAY","NO RESPONSE","DUE SOON"},0)*100000+IF(ISNUMBER($O941),$O941,IF(ISNUMBER($C941),$C941,0))+ROW()/10000)</f>
        <v/>
      </c>
      <c r="AI941" s="87">
        <f>IF(AND(ISNUMBER($AG941),$AG941&gt;=1,$AG941&lt;=6,$M941&lt;&gt;"Rejected",$M941&lt;&gt;"Withdrawn"),(10-$AG941)*100000+IF(ISNUMBER($C941),$C941,0)+ROW()/10000,"")</f>
        <v/>
      </c>
    </row>
    <row r="942">
      <c r="A942" s="80" t="n"/>
      <c r="B942" s="81" t="n"/>
      <c r="C942" s="81" t="n"/>
      <c r="D942" s="82" t="n"/>
      <c r="E942" s="82" t="n"/>
      <c r="F942" s="82" t="n"/>
      <c r="G942" s="82" t="n"/>
      <c r="H942" s="82" t="n"/>
      <c r="I942" s="83" t="n"/>
      <c r="J942" s="82" t="n"/>
      <c r="K942" s="84" t="n"/>
      <c r="L942" s="85" t="n"/>
      <c r="M942" s="82" t="n"/>
      <c r="N942" s="86" t="n"/>
      <c r="O942" s="81" t="n"/>
      <c r="P942" s="82" t="n"/>
      <c r="Q942" s="83" t="n"/>
      <c r="R942" s="82" t="n"/>
      <c r="S942" s="84" t="n"/>
      <c r="T942" s="84" t="n"/>
      <c r="U942" s="82" t="n"/>
      <c r="V942" s="86" t="n"/>
      <c r="W942" s="86" t="n"/>
      <c r="X942" s="86" t="n"/>
      <c r="Y942" s="81" t="n"/>
      <c r="Z942" s="82" t="n"/>
      <c r="AA942" s="81" t="n"/>
      <c r="AB942" s="82" t="n"/>
      <c r="AC942" s="87">
        <f>IF(OR($D942="",$M942="Rejected",$M942="Withdrawn",$M942="Accepted"),"",IF(ISNUMBER($O942),IF(INT($O942)&lt;TODAY(),"FOLLOW UP REQUIRED",IF(INT($O942)=TODAY(),"ACTION DUE TODAY",IF(INT($O942)-TODAY()&lt;=Set_DueSoonDays,"DUE SOON",""))),IF(AND($M942="Applied",$AA942=""),IF(ISNUMBER($C942),IF(TODAY()-$C942&gt;=Set_FollowUpDays,"NO RESPONSE",""),""),"")))</f>
        <v/>
      </c>
      <c r="AD942" s="87">
        <f>IF(ISNUMBER($L942),IF($L942&gt;=90,"Excellent Match",IF($L942&gt;=75,"Strong Match",IF($L942&gt;=60,"Moderate Match","Low Match"))),"")</f>
        <v/>
      </c>
      <c r="AE942" s="87">
        <f>IF($D942="","",IF(OR($M942="Rejected",$M942="Withdrawn"),IF($AB942&lt;&gt;"",$AB942,IF(OR($M942="Rejected",ISNUMBER($C942)),"Applied","Wishlist")),IF($M942="",IF(ISNUMBER($C942),"Applied","Wishlist"),$M942)))</f>
        <v/>
      </c>
      <c r="AF942" s="88">
        <f>IF(AND(ISNUMBER($C942),ISNUMBER($AA942)),$AA942-$C942,"")</f>
        <v/>
      </c>
      <c r="AG942" s="87">
        <f>IF($AE942="","",IFERROR(MATCH($AE942,{"Wishlist","Applied","Screening","Interview 1","Interview 2","Final","Offer","Accepted"},0)-1,""))</f>
        <v/>
      </c>
      <c r="AH942" s="87">
        <f>IF($AC942="","",MATCH($AC942,{"FOLLOW UP REQUIRED","ACTION DUE TODAY","NO RESPONSE","DUE SOON"},0)*100000+IF(ISNUMBER($O942),$O942,IF(ISNUMBER($C942),$C942,0))+ROW()/10000)</f>
        <v/>
      </c>
      <c r="AI942" s="87">
        <f>IF(AND(ISNUMBER($AG942),$AG942&gt;=1,$AG942&lt;=6,$M942&lt;&gt;"Rejected",$M942&lt;&gt;"Withdrawn"),(10-$AG942)*100000+IF(ISNUMBER($C942),$C942,0)+ROW()/10000,"")</f>
        <v/>
      </c>
    </row>
    <row r="943">
      <c r="A943" s="80" t="n"/>
      <c r="B943" s="81" t="n"/>
      <c r="C943" s="81" t="n"/>
      <c r="D943" s="82" t="n"/>
      <c r="E943" s="82" t="n"/>
      <c r="F943" s="82" t="n"/>
      <c r="G943" s="82" t="n"/>
      <c r="H943" s="82" t="n"/>
      <c r="I943" s="83" t="n"/>
      <c r="J943" s="82" t="n"/>
      <c r="K943" s="84" t="n"/>
      <c r="L943" s="85" t="n"/>
      <c r="M943" s="82" t="n"/>
      <c r="N943" s="86" t="n"/>
      <c r="O943" s="81" t="n"/>
      <c r="P943" s="82" t="n"/>
      <c r="Q943" s="83" t="n"/>
      <c r="R943" s="82" t="n"/>
      <c r="S943" s="84" t="n"/>
      <c r="T943" s="84" t="n"/>
      <c r="U943" s="82" t="n"/>
      <c r="V943" s="86" t="n"/>
      <c r="W943" s="86" t="n"/>
      <c r="X943" s="86" t="n"/>
      <c r="Y943" s="81" t="n"/>
      <c r="Z943" s="82" t="n"/>
      <c r="AA943" s="81" t="n"/>
      <c r="AB943" s="82" t="n"/>
      <c r="AC943" s="87">
        <f>IF(OR($D943="",$M943="Rejected",$M943="Withdrawn",$M943="Accepted"),"",IF(ISNUMBER($O943),IF(INT($O943)&lt;TODAY(),"FOLLOW UP REQUIRED",IF(INT($O943)=TODAY(),"ACTION DUE TODAY",IF(INT($O943)-TODAY()&lt;=Set_DueSoonDays,"DUE SOON",""))),IF(AND($M943="Applied",$AA943=""),IF(ISNUMBER($C943),IF(TODAY()-$C943&gt;=Set_FollowUpDays,"NO RESPONSE",""),""),"")))</f>
        <v/>
      </c>
      <c r="AD943" s="87">
        <f>IF(ISNUMBER($L943),IF($L943&gt;=90,"Excellent Match",IF($L943&gt;=75,"Strong Match",IF($L943&gt;=60,"Moderate Match","Low Match"))),"")</f>
        <v/>
      </c>
      <c r="AE943" s="87">
        <f>IF($D943="","",IF(OR($M943="Rejected",$M943="Withdrawn"),IF($AB943&lt;&gt;"",$AB943,IF(OR($M943="Rejected",ISNUMBER($C943)),"Applied","Wishlist")),IF($M943="",IF(ISNUMBER($C943),"Applied","Wishlist"),$M943)))</f>
        <v/>
      </c>
      <c r="AF943" s="88">
        <f>IF(AND(ISNUMBER($C943),ISNUMBER($AA943)),$AA943-$C943,"")</f>
        <v/>
      </c>
      <c r="AG943" s="87">
        <f>IF($AE943="","",IFERROR(MATCH($AE943,{"Wishlist","Applied","Screening","Interview 1","Interview 2","Final","Offer","Accepted"},0)-1,""))</f>
        <v/>
      </c>
      <c r="AH943" s="87">
        <f>IF($AC943="","",MATCH($AC943,{"FOLLOW UP REQUIRED","ACTION DUE TODAY","NO RESPONSE","DUE SOON"},0)*100000+IF(ISNUMBER($O943),$O943,IF(ISNUMBER($C943),$C943,0))+ROW()/10000)</f>
        <v/>
      </c>
      <c r="AI943" s="87">
        <f>IF(AND(ISNUMBER($AG943),$AG943&gt;=1,$AG943&lt;=6,$M943&lt;&gt;"Rejected",$M943&lt;&gt;"Withdrawn"),(10-$AG943)*100000+IF(ISNUMBER($C943),$C943,0)+ROW()/10000,"")</f>
        <v/>
      </c>
    </row>
    <row r="944">
      <c r="A944" s="80" t="n"/>
      <c r="B944" s="81" t="n"/>
      <c r="C944" s="81" t="n"/>
      <c r="D944" s="82" t="n"/>
      <c r="E944" s="82" t="n"/>
      <c r="F944" s="82" t="n"/>
      <c r="G944" s="82" t="n"/>
      <c r="H944" s="82" t="n"/>
      <c r="I944" s="83" t="n"/>
      <c r="J944" s="82" t="n"/>
      <c r="K944" s="84" t="n"/>
      <c r="L944" s="85" t="n"/>
      <c r="M944" s="82" t="n"/>
      <c r="N944" s="86" t="n"/>
      <c r="O944" s="81" t="n"/>
      <c r="P944" s="82" t="n"/>
      <c r="Q944" s="83" t="n"/>
      <c r="R944" s="82" t="n"/>
      <c r="S944" s="84" t="n"/>
      <c r="T944" s="84" t="n"/>
      <c r="U944" s="82" t="n"/>
      <c r="V944" s="86" t="n"/>
      <c r="W944" s="86" t="n"/>
      <c r="X944" s="86" t="n"/>
      <c r="Y944" s="81" t="n"/>
      <c r="Z944" s="82" t="n"/>
      <c r="AA944" s="81" t="n"/>
      <c r="AB944" s="82" t="n"/>
      <c r="AC944" s="87">
        <f>IF(OR($D944="",$M944="Rejected",$M944="Withdrawn",$M944="Accepted"),"",IF(ISNUMBER($O944),IF(INT($O944)&lt;TODAY(),"FOLLOW UP REQUIRED",IF(INT($O944)=TODAY(),"ACTION DUE TODAY",IF(INT($O944)-TODAY()&lt;=Set_DueSoonDays,"DUE SOON",""))),IF(AND($M944="Applied",$AA944=""),IF(ISNUMBER($C944),IF(TODAY()-$C944&gt;=Set_FollowUpDays,"NO RESPONSE",""),""),"")))</f>
        <v/>
      </c>
      <c r="AD944" s="87">
        <f>IF(ISNUMBER($L944),IF($L944&gt;=90,"Excellent Match",IF($L944&gt;=75,"Strong Match",IF($L944&gt;=60,"Moderate Match","Low Match"))),"")</f>
        <v/>
      </c>
      <c r="AE944" s="87">
        <f>IF($D944="","",IF(OR($M944="Rejected",$M944="Withdrawn"),IF($AB944&lt;&gt;"",$AB944,IF(OR($M944="Rejected",ISNUMBER($C944)),"Applied","Wishlist")),IF($M944="",IF(ISNUMBER($C944),"Applied","Wishlist"),$M944)))</f>
        <v/>
      </c>
      <c r="AF944" s="88">
        <f>IF(AND(ISNUMBER($C944),ISNUMBER($AA944)),$AA944-$C944,"")</f>
        <v/>
      </c>
      <c r="AG944" s="87">
        <f>IF($AE944="","",IFERROR(MATCH($AE944,{"Wishlist","Applied","Screening","Interview 1","Interview 2","Final","Offer","Accepted"},0)-1,""))</f>
        <v/>
      </c>
      <c r="AH944" s="87">
        <f>IF($AC944="","",MATCH($AC944,{"FOLLOW UP REQUIRED","ACTION DUE TODAY","NO RESPONSE","DUE SOON"},0)*100000+IF(ISNUMBER($O944),$O944,IF(ISNUMBER($C944),$C944,0))+ROW()/10000)</f>
        <v/>
      </c>
      <c r="AI944" s="87">
        <f>IF(AND(ISNUMBER($AG944),$AG944&gt;=1,$AG944&lt;=6,$M944&lt;&gt;"Rejected",$M944&lt;&gt;"Withdrawn"),(10-$AG944)*100000+IF(ISNUMBER($C944),$C944,0)+ROW()/10000,"")</f>
        <v/>
      </c>
    </row>
    <row r="945">
      <c r="A945" s="80" t="n"/>
      <c r="B945" s="81" t="n"/>
      <c r="C945" s="81" t="n"/>
      <c r="D945" s="82" t="n"/>
      <c r="E945" s="82" t="n"/>
      <c r="F945" s="82" t="n"/>
      <c r="G945" s="82" t="n"/>
      <c r="H945" s="82" t="n"/>
      <c r="I945" s="83" t="n"/>
      <c r="J945" s="82" t="n"/>
      <c r="K945" s="84" t="n"/>
      <c r="L945" s="85" t="n"/>
      <c r="M945" s="82" t="n"/>
      <c r="N945" s="86" t="n"/>
      <c r="O945" s="81" t="n"/>
      <c r="P945" s="82" t="n"/>
      <c r="Q945" s="83" t="n"/>
      <c r="R945" s="82" t="n"/>
      <c r="S945" s="84" t="n"/>
      <c r="T945" s="84" t="n"/>
      <c r="U945" s="82" t="n"/>
      <c r="V945" s="86" t="n"/>
      <c r="W945" s="86" t="n"/>
      <c r="X945" s="86" t="n"/>
      <c r="Y945" s="81" t="n"/>
      <c r="Z945" s="82" t="n"/>
      <c r="AA945" s="81" t="n"/>
      <c r="AB945" s="82" t="n"/>
      <c r="AC945" s="87">
        <f>IF(OR($D945="",$M945="Rejected",$M945="Withdrawn",$M945="Accepted"),"",IF(ISNUMBER($O945),IF(INT($O945)&lt;TODAY(),"FOLLOW UP REQUIRED",IF(INT($O945)=TODAY(),"ACTION DUE TODAY",IF(INT($O945)-TODAY()&lt;=Set_DueSoonDays,"DUE SOON",""))),IF(AND($M945="Applied",$AA945=""),IF(ISNUMBER($C945),IF(TODAY()-$C945&gt;=Set_FollowUpDays,"NO RESPONSE",""),""),"")))</f>
        <v/>
      </c>
      <c r="AD945" s="87">
        <f>IF(ISNUMBER($L945),IF($L945&gt;=90,"Excellent Match",IF($L945&gt;=75,"Strong Match",IF($L945&gt;=60,"Moderate Match","Low Match"))),"")</f>
        <v/>
      </c>
      <c r="AE945" s="87">
        <f>IF($D945="","",IF(OR($M945="Rejected",$M945="Withdrawn"),IF($AB945&lt;&gt;"",$AB945,IF(OR($M945="Rejected",ISNUMBER($C945)),"Applied","Wishlist")),IF($M945="",IF(ISNUMBER($C945),"Applied","Wishlist"),$M945)))</f>
        <v/>
      </c>
      <c r="AF945" s="88">
        <f>IF(AND(ISNUMBER($C945),ISNUMBER($AA945)),$AA945-$C945,"")</f>
        <v/>
      </c>
      <c r="AG945" s="87">
        <f>IF($AE945="","",IFERROR(MATCH($AE945,{"Wishlist","Applied","Screening","Interview 1","Interview 2","Final","Offer","Accepted"},0)-1,""))</f>
        <v/>
      </c>
      <c r="AH945" s="87">
        <f>IF($AC945="","",MATCH($AC945,{"FOLLOW UP REQUIRED","ACTION DUE TODAY","NO RESPONSE","DUE SOON"},0)*100000+IF(ISNUMBER($O945),$O945,IF(ISNUMBER($C945),$C945,0))+ROW()/10000)</f>
        <v/>
      </c>
      <c r="AI945" s="87">
        <f>IF(AND(ISNUMBER($AG945),$AG945&gt;=1,$AG945&lt;=6,$M945&lt;&gt;"Rejected",$M945&lt;&gt;"Withdrawn"),(10-$AG945)*100000+IF(ISNUMBER($C945),$C945,0)+ROW()/10000,"")</f>
        <v/>
      </c>
    </row>
    <row r="946">
      <c r="A946" s="80" t="n"/>
      <c r="B946" s="81" t="n"/>
      <c r="C946" s="81" t="n"/>
      <c r="D946" s="82" t="n"/>
      <c r="E946" s="82" t="n"/>
      <c r="F946" s="82" t="n"/>
      <c r="G946" s="82" t="n"/>
      <c r="H946" s="82" t="n"/>
      <c r="I946" s="83" t="n"/>
      <c r="J946" s="82" t="n"/>
      <c r="K946" s="84" t="n"/>
      <c r="L946" s="85" t="n"/>
      <c r="M946" s="82" t="n"/>
      <c r="N946" s="86" t="n"/>
      <c r="O946" s="81" t="n"/>
      <c r="P946" s="82" t="n"/>
      <c r="Q946" s="83" t="n"/>
      <c r="R946" s="82" t="n"/>
      <c r="S946" s="84" t="n"/>
      <c r="T946" s="84" t="n"/>
      <c r="U946" s="82" t="n"/>
      <c r="V946" s="86" t="n"/>
      <c r="W946" s="86" t="n"/>
      <c r="X946" s="86" t="n"/>
      <c r="Y946" s="81" t="n"/>
      <c r="Z946" s="82" t="n"/>
      <c r="AA946" s="81" t="n"/>
      <c r="AB946" s="82" t="n"/>
      <c r="AC946" s="87">
        <f>IF(OR($D946="",$M946="Rejected",$M946="Withdrawn",$M946="Accepted"),"",IF(ISNUMBER($O946),IF(INT($O946)&lt;TODAY(),"FOLLOW UP REQUIRED",IF(INT($O946)=TODAY(),"ACTION DUE TODAY",IF(INT($O946)-TODAY()&lt;=Set_DueSoonDays,"DUE SOON",""))),IF(AND($M946="Applied",$AA946=""),IF(ISNUMBER($C946),IF(TODAY()-$C946&gt;=Set_FollowUpDays,"NO RESPONSE",""),""),"")))</f>
        <v/>
      </c>
      <c r="AD946" s="87">
        <f>IF(ISNUMBER($L946),IF($L946&gt;=90,"Excellent Match",IF($L946&gt;=75,"Strong Match",IF($L946&gt;=60,"Moderate Match","Low Match"))),"")</f>
        <v/>
      </c>
      <c r="AE946" s="87">
        <f>IF($D946="","",IF(OR($M946="Rejected",$M946="Withdrawn"),IF($AB946&lt;&gt;"",$AB946,IF(OR($M946="Rejected",ISNUMBER($C946)),"Applied","Wishlist")),IF($M946="",IF(ISNUMBER($C946),"Applied","Wishlist"),$M946)))</f>
        <v/>
      </c>
      <c r="AF946" s="88">
        <f>IF(AND(ISNUMBER($C946),ISNUMBER($AA946)),$AA946-$C946,"")</f>
        <v/>
      </c>
      <c r="AG946" s="87">
        <f>IF($AE946="","",IFERROR(MATCH($AE946,{"Wishlist","Applied","Screening","Interview 1","Interview 2","Final","Offer","Accepted"},0)-1,""))</f>
        <v/>
      </c>
      <c r="AH946" s="87">
        <f>IF($AC946="","",MATCH($AC946,{"FOLLOW UP REQUIRED","ACTION DUE TODAY","NO RESPONSE","DUE SOON"},0)*100000+IF(ISNUMBER($O946),$O946,IF(ISNUMBER($C946),$C946,0))+ROW()/10000)</f>
        <v/>
      </c>
      <c r="AI946" s="87">
        <f>IF(AND(ISNUMBER($AG946),$AG946&gt;=1,$AG946&lt;=6,$M946&lt;&gt;"Rejected",$M946&lt;&gt;"Withdrawn"),(10-$AG946)*100000+IF(ISNUMBER($C946),$C946,0)+ROW()/10000,"")</f>
        <v/>
      </c>
    </row>
    <row r="947">
      <c r="A947" s="80" t="n"/>
      <c r="B947" s="81" t="n"/>
      <c r="C947" s="81" t="n"/>
      <c r="D947" s="82" t="n"/>
      <c r="E947" s="82" t="n"/>
      <c r="F947" s="82" t="n"/>
      <c r="G947" s="82" t="n"/>
      <c r="H947" s="82" t="n"/>
      <c r="I947" s="83" t="n"/>
      <c r="J947" s="82" t="n"/>
      <c r="K947" s="84" t="n"/>
      <c r="L947" s="85" t="n"/>
      <c r="M947" s="82" t="n"/>
      <c r="N947" s="86" t="n"/>
      <c r="O947" s="81" t="n"/>
      <c r="P947" s="82" t="n"/>
      <c r="Q947" s="83" t="n"/>
      <c r="R947" s="82" t="n"/>
      <c r="S947" s="84" t="n"/>
      <c r="T947" s="84" t="n"/>
      <c r="U947" s="82" t="n"/>
      <c r="V947" s="86" t="n"/>
      <c r="W947" s="86" t="n"/>
      <c r="X947" s="86" t="n"/>
      <c r="Y947" s="81" t="n"/>
      <c r="Z947" s="82" t="n"/>
      <c r="AA947" s="81" t="n"/>
      <c r="AB947" s="82" t="n"/>
      <c r="AC947" s="87">
        <f>IF(OR($D947="",$M947="Rejected",$M947="Withdrawn",$M947="Accepted"),"",IF(ISNUMBER($O947),IF(INT($O947)&lt;TODAY(),"FOLLOW UP REQUIRED",IF(INT($O947)=TODAY(),"ACTION DUE TODAY",IF(INT($O947)-TODAY()&lt;=Set_DueSoonDays,"DUE SOON",""))),IF(AND($M947="Applied",$AA947=""),IF(ISNUMBER($C947),IF(TODAY()-$C947&gt;=Set_FollowUpDays,"NO RESPONSE",""),""),"")))</f>
        <v/>
      </c>
      <c r="AD947" s="87">
        <f>IF(ISNUMBER($L947),IF($L947&gt;=90,"Excellent Match",IF($L947&gt;=75,"Strong Match",IF($L947&gt;=60,"Moderate Match","Low Match"))),"")</f>
        <v/>
      </c>
      <c r="AE947" s="87">
        <f>IF($D947="","",IF(OR($M947="Rejected",$M947="Withdrawn"),IF($AB947&lt;&gt;"",$AB947,IF(OR($M947="Rejected",ISNUMBER($C947)),"Applied","Wishlist")),IF($M947="",IF(ISNUMBER($C947),"Applied","Wishlist"),$M947)))</f>
        <v/>
      </c>
      <c r="AF947" s="88">
        <f>IF(AND(ISNUMBER($C947),ISNUMBER($AA947)),$AA947-$C947,"")</f>
        <v/>
      </c>
      <c r="AG947" s="87">
        <f>IF($AE947="","",IFERROR(MATCH($AE947,{"Wishlist","Applied","Screening","Interview 1","Interview 2","Final","Offer","Accepted"},0)-1,""))</f>
        <v/>
      </c>
      <c r="AH947" s="87">
        <f>IF($AC947="","",MATCH($AC947,{"FOLLOW UP REQUIRED","ACTION DUE TODAY","NO RESPONSE","DUE SOON"},0)*100000+IF(ISNUMBER($O947),$O947,IF(ISNUMBER($C947),$C947,0))+ROW()/10000)</f>
        <v/>
      </c>
      <c r="AI947" s="87">
        <f>IF(AND(ISNUMBER($AG947),$AG947&gt;=1,$AG947&lt;=6,$M947&lt;&gt;"Rejected",$M947&lt;&gt;"Withdrawn"),(10-$AG947)*100000+IF(ISNUMBER($C947),$C947,0)+ROW()/10000,"")</f>
        <v/>
      </c>
    </row>
    <row r="948">
      <c r="A948" s="80" t="n"/>
      <c r="B948" s="81" t="n"/>
      <c r="C948" s="81" t="n"/>
      <c r="D948" s="82" t="n"/>
      <c r="E948" s="82" t="n"/>
      <c r="F948" s="82" t="n"/>
      <c r="G948" s="82" t="n"/>
      <c r="H948" s="82" t="n"/>
      <c r="I948" s="83" t="n"/>
      <c r="J948" s="82" t="n"/>
      <c r="K948" s="84" t="n"/>
      <c r="L948" s="85" t="n"/>
      <c r="M948" s="82" t="n"/>
      <c r="N948" s="86" t="n"/>
      <c r="O948" s="81" t="n"/>
      <c r="P948" s="82" t="n"/>
      <c r="Q948" s="83" t="n"/>
      <c r="R948" s="82" t="n"/>
      <c r="S948" s="84" t="n"/>
      <c r="T948" s="84" t="n"/>
      <c r="U948" s="82" t="n"/>
      <c r="V948" s="86" t="n"/>
      <c r="W948" s="86" t="n"/>
      <c r="X948" s="86" t="n"/>
      <c r="Y948" s="81" t="n"/>
      <c r="Z948" s="82" t="n"/>
      <c r="AA948" s="81" t="n"/>
      <c r="AB948" s="82" t="n"/>
      <c r="AC948" s="87">
        <f>IF(OR($D948="",$M948="Rejected",$M948="Withdrawn",$M948="Accepted"),"",IF(ISNUMBER($O948),IF(INT($O948)&lt;TODAY(),"FOLLOW UP REQUIRED",IF(INT($O948)=TODAY(),"ACTION DUE TODAY",IF(INT($O948)-TODAY()&lt;=Set_DueSoonDays,"DUE SOON",""))),IF(AND($M948="Applied",$AA948=""),IF(ISNUMBER($C948),IF(TODAY()-$C948&gt;=Set_FollowUpDays,"NO RESPONSE",""),""),"")))</f>
        <v/>
      </c>
      <c r="AD948" s="87">
        <f>IF(ISNUMBER($L948),IF($L948&gt;=90,"Excellent Match",IF($L948&gt;=75,"Strong Match",IF($L948&gt;=60,"Moderate Match","Low Match"))),"")</f>
        <v/>
      </c>
      <c r="AE948" s="87">
        <f>IF($D948="","",IF(OR($M948="Rejected",$M948="Withdrawn"),IF($AB948&lt;&gt;"",$AB948,IF(OR($M948="Rejected",ISNUMBER($C948)),"Applied","Wishlist")),IF($M948="",IF(ISNUMBER($C948),"Applied","Wishlist"),$M948)))</f>
        <v/>
      </c>
      <c r="AF948" s="88">
        <f>IF(AND(ISNUMBER($C948),ISNUMBER($AA948)),$AA948-$C948,"")</f>
        <v/>
      </c>
      <c r="AG948" s="87">
        <f>IF($AE948="","",IFERROR(MATCH($AE948,{"Wishlist","Applied","Screening","Interview 1","Interview 2","Final","Offer","Accepted"},0)-1,""))</f>
        <v/>
      </c>
      <c r="AH948" s="87">
        <f>IF($AC948="","",MATCH($AC948,{"FOLLOW UP REQUIRED","ACTION DUE TODAY","NO RESPONSE","DUE SOON"},0)*100000+IF(ISNUMBER($O948),$O948,IF(ISNUMBER($C948),$C948,0))+ROW()/10000)</f>
        <v/>
      </c>
      <c r="AI948" s="87">
        <f>IF(AND(ISNUMBER($AG948),$AG948&gt;=1,$AG948&lt;=6,$M948&lt;&gt;"Rejected",$M948&lt;&gt;"Withdrawn"),(10-$AG948)*100000+IF(ISNUMBER($C948),$C948,0)+ROW()/10000,"")</f>
        <v/>
      </c>
    </row>
    <row r="949">
      <c r="A949" s="80" t="n"/>
      <c r="B949" s="81" t="n"/>
      <c r="C949" s="81" t="n"/>
      <c r="D949" s="82" t="n"/>
      <c r="E949" s="82" t="n"/>
      <c r="F949" s="82" t="n"/>
      <c r="G949" s="82" t="n"/>
      <c r="H949" s="82" t="n"/>
      <c r="I949" s="83" t="n"/>
      <c r="J949" s="82" t="n"/>
      <c r="K949" s="84" t="n"/>
      <c r="L949" s="85" t="n"/>
      <c r="M949" s="82" t="n"/>
      <c r="N949" s="86" t="n"/>
      <c r="O949" s="81" t="n"/>
      <c r="P949" s="82" t="n"/>
      <c r="Q949" s="83" t="n"/>
      <c r="R949" s="82" t="n"/>
      <c r="S949" s="84" t="n"/>
      <c r="T949" s="84" t="n"/>
      <c r="U949" s="82" t="n"/>
      <c r="V949" s="86" t="n"/>
      <c r="W949" s="86" t="n"/>
      <c r="X949" s="86" t="n"/>
      <c r="Y949" s="81" t="n"/>
      <c r="Z949" s="82" t="n"/>
      <c r="AA949" s="81" t="n"/>
      <c r="AB949" s="82" t="n"/>
      <c r="AC949" s="87">
        <f>IF(OR($D949="",$M949="Rejected",$M949="Withdrawn",$M949="Accepted"),"",IF(ISNUMBER($O949),IF(INT($O949)&lt;TODAY(),"FOLLOW UP REQUIRED",IF(INT($O949)=TODAY(),"ACTION DUE TODAY",IF(INT($O949)-TODAY()&lt;=Set_DueSoonDays,"DUE SOON",""))),IF(AND($M949="Applied",$AA949=""),IF(ISNUMBER($C949),IF(TODAY()-$C949&gt;=Set_FollowUpDays,"NO RESPONSE",""),""),"")))</f>
        <v/>
      </c>
      <c r="AD949" s="87">
        <f>IF(ISNUMBER($L949),IF($L949&gt;=90,"Excellent Match",IF($L949&gt;=75,"Strong Match",IF($L949&gt;=60,"Moderate Match","Low Match"))),"")</f>
        <v/>
      </c>
      <c r="AE949" s="87">
        <f>IF($D949="","",IF(OR($M949="Rejected",$M949="Withdrawn"),IF($AB949&lt;&gt;"",$AB949,IF(OR($M949="Rejected",ISNUMBER($C949)),"Applied","Wishlist")),IF($M949="",IF(ISNUMBER($C949),"Applied","Wishlist"),$M949)))</f>
        <v/>
      </c>
      <c r="AF949" s="88">
        <f>IF(AND(ISNUMBER($C949),ISNUMBER($AA949)),$AA949-$C949,"")</f>
        <v/>
      </c>
      <c r="AG949" s="87">
        <f>IF($AE949="","",IFERROR(MATCH($AE949,{"Wishlist","Applied","Screening","Interview 1","Interview 2","Final","Offer","Accepted"},0)-1,""))</f>
        <v/>
      </c>
      <c r="AH949" s="87">
        <f>IF($AC949="","",MATCH($AC949,{"FOLLOW UP REQUIRED","ACTION DUE TODAY","NO RESPONSE","DUE SOON"},0)*100000+IF(ISNUMBER($O949),$O949,IF(ISNUMBER($C949),$C949,0))+ROW()/10000)</f>
        <v/>
      </c>
      <c r="AI949" s="87">
        <f>IF(AND(ISNUMBER($AG949),$AG949&gt;=1,$AG949&lt;=6,$M949&lt;&gt;"Rejected",$M949&lt;&gt;"Withdrawn"),(10-$AG949)*100000+IF(ISNUMBER($C949),$C949,0)+ROW()/10000,"")</f>
        <v/>
      </c>
    </row>
    <row r="950">
      <c r="A950" s="80" t="n"/>
      <c r="B950" s="81" t="n"/>
      <c r="C950" s="81" t="n"/>
      <c r="D950" s="82" t="n"/>
      <c r="E950" s="82" t="n"/>
      <c r="F950" s="82" t="n"/>
      <c r="G950" s="82" t="n"/>
      <c r="H950" s="82" t="n"/>
      <c r="I950" s="83" t="n"/>
      <c r="J950" s="82" t="n"/>
      <c r="K950" s="84" t="n"/>
      <c r="L950" s="85" t="n"/>
      <c r="M950" s="82" t="n"/>
      <c r="N950" s="86" t="n"/>
      <c r="O950" s="81" t="n"/>
      <c r="P950" s="82" t="n"/>
      <c r="Q950" s="83" t="n"/>
      <c r="R950" s="82" t="n"/>
      <c r="S950" s="84" t="n"/>
      <c r="T950" s="84" t="n"/>
      <c r="U950" s="82" t="n"/>
      <c r="V950" s="86" t="n"/>
      <c r="W950" s="86" t="n"/>
      <c r="X950" s="86" t="n"/>
      <c r="Y950" s="81" t="n"/>
      <c r="Z950" s="82" t="n"/>
      <c r="AA950" s="81" t="n"/>
      <c r="AB950" s="82" t="n"/>
      <c r="AC950" s="87">
        <f>IF(OR($D950="",$M950="Rejected",$M950="Withdrawn",$M950="Accepted"),"",IF(ISNUMBER($O950),IF(INT($O950)&lt;TODAY(),"FOLLOW UP REQUIRED",IF(INT($O950)=TODAY(),"ACTION DUE TODAY",IF(INT($O950)-TODAY()&lt;=Set_DueSoonDays,"DUE SOON",""))),IF(AND($M950="Applied",$AA950=""),IF(ISNUMBER($C950),IF(TODAY()-$C950&gt;=Set_FollowUpDays,"NO RESPONSE",""),""),"")))</f>
        <v/>
      </c>
      <c r="AD950" s="87">
        <f>IF(ISNUMBER($L950),IF($L950&gt;=90,"Excellent Match",IF($L950&gt;=75,"Strong Match",IF($L950&gt;=60,"Moderate Match","Low Match"))),"")</f>
        <v/>
      </c>
      <c r="AE950" s="87">
        <f>IF($D950="","",IF(OR($M950="Rejected",$M950="Withdrawn"),IF($AB950&lt;&gt;"",$AB950,IF(OR($M950="Rejected",ISNUMBER($C950)),"Applied","Wishlist")),IF($M950="",IF(ISNUMBER($C950),"Applied","Wishlist"),$M950)))</f>
        <v/>
      </c>
      <c r="AF950" s="88">
        <f>IF(AND(ISNUMBER($C950),ISNUMBER($AA950)),$AA950-$C950,"")</f>
        <v/>
      </c>
      <c r="AG950" s="87">
        <f>IF($AE950="","",IFERROR(MATCH($AE950,{"Wishlist","Applied","Screening","Interview 1","Interview 2","Final","Offer","Accepted"},0)-1,""))</f>
        <v/>
      </c>
      <c r="AH950" s="87">
        <f>IF($AC950="","",MATCH($AC950,{"FOLLOW UP REQUIRED","ACTION DUE TODAY","NO RESPONSE","DUE SOON"},0)*100000+IF(ISNUMBER($O950),$O950,IF(ISNUMBER($C950),$C950,0))+ROW()/10000)</f>
        <v/>
      </c>
      <c r="AI950" s="87">
        <f>IF(AND(ISNUMBER($AG950),$AG950&gt;=1,$AG950&lt;=6,$M950&lt;&gt;"Rejected",$M950&lt;&gt;"Withdrawn"),(10-$AG950)*100000+IF(ISNUMBER($C950),$C950,0)+ROW()/10000,"")</f>
        <v/>
      </c>
    </row>
    <row r="951">
      <c r="A951" s="80" t="n"/>
      <c r="B951" s="81" t="n"/>
      <c r="C951" s="81" t="n"/>
      <c r="D951" s="82" t="n"/>
      <c r="E951" s="82" t="n"/>
      <c r="F951" s="82" t="n"/>
      <c r="G951" s="82" t="n"/>
      <c r="H951" s="82" t="n"/>
      <c r="I951" s="83" t="n"/>
      <c r="J951" s="82" t="n"/>
      <c r="K951" s="84" t="n"/>
      <c r="L951" s="85" t="n"/>
      <c r="M951" s="82" t="n"/>
      <c r="N951" s="86" t="n"/>
      <c r="O951" s="81" t="n"/>
      <c r="P951" s="82" t="n"/>
      <c r="Q951" s="83" t="n"/>
      <c r="R951" s="82" t="n"/>
      <c r="S951" s="84" t="n"/>
      <c r="T951" s="84" t="n"/>
      <c r="U951" s="82" t="n"/>
      <c r="V951" s="86" t="n"/>
      <c r="W951" s="86" t="n"/>
      <c r="X951" s="86" t="n"/>
      <c r="Y951" s="81" t="n"/>
      <c r="Z951" s="82" t="n"/>
      <c r="AA951" s="81" t="n"/>
      <c r="AB951" s="82" t="n"/>
      <c r="AC951" s="87">
        <f>IF(OR($D951="",$M951="Rejected",$M951="Withdrawn",$M951="Accepted"),"",IF(ISNUMBER($O951),IF(INT($O951)&lt;TODAY(),"FOLLOW UP REQUIRED",IF(INT($O951)=TODAY(),"ACTION DUE TODAY",IF(INT($O951)-TODAY()&lt;=Set_DueSoonDays,"DUE SOON",""))),IF(AND($M951="Applied",$AA951=""),IF(ISNUMBER($C951),IF(TODAY()-$C951&gt;=Set_FollowUpDays,"NO RESPONSE",""),""),"")))</f>
        <v/>
      </c>
      <c r="AD951" s="87">
        <f>IF(ISNUMBER($L951),IF($L951&gt;=90,"Excellent Match",IF($L951&gt;=75,"Strong Match",IF($L951&gt;=60,"Moderate Match","Low Match"))),"")</f>
        <v/>
      </c>
      <c r="AE951" s="87">
        <f>IF($D951="","",IF(OR($M951="Rejected",$M951="Withdrawn"),IF($AB951&lt;&gt;"",$AB951,IF(OR($M951="Rejected",ISNUMBER($C951)),"Applied","Wishlist")),IF($M951="",IF(ISNUMBER($C951),"Applied","Wishlist"),$M951)))</f>
        <v/>
      </c>
      <c r="AF951" s="88">
        <f>IF(AND(ISNUMBER($C951),ISNUMBER($AA951)),$AA951-$C951,"")</f>
        <v/>
      </c>
      <c r="AG951" s="87">
        <f>IF($AE951="","",IFERROR(MATCH($AE951,{"Wishlist","Applied","Screening","Interview 1","Interview 2","Final","Offer","Accepted"},0)-1,""))</f>
        <v/>
      </c>
      <c r="AH951" s="87">
        <f>IF($AC951="","",MATCH($AC951,{"FOLLOW UP REQUIRED","ACTION DUE TODAY","NO RESPONSE","DUE SOON"},0)*100000+IF(ISNUMBER($O951),$O951,IF(ISNUMBER($C951),$C951,0))+ROW()/10000)</f>
        <v/>
      </c>
      <c r="AI951" s="87">
        <f>IF(AND(ISNUMBER($AG951),$AG951&gt;=1,$AG951&lt;=6,$M951&lt;&gt;"Rejected",$M951&lt;&gt;"Withdrawn"),(10-$AG951)*100000+IF(ISNUMBER($C951),$C951,0)+ROW()/10000,"")</f>
        <v/>
      </c>
    </row>
    <row r="952">
      <c r="A952" s="80" t="n"/>
      <c r="B952" s="81" t="n"/>
      <c r="C952" s="81" t="n"/>
      <c r="D952" s="82" t="n"/>
      <c r="E952" s="82" t="n"/>
      <c r="F952" s="82" t="n"/>
      <c r="G952" s="82" t="n"/>
      <c r="H952" s="82" t="n"/>
      <c r="I952" s="83" t="n"/>
      <c r="J952" s="82" t="n"/>
      <c r="K952" s="84" t="n"/>
      <c r="L952" s="85" t="n"/>
      <c r="M952" s="82" t="n"/>
      <c r="N952" s="86" t="n"/>
      <c r="O952" s="81" t="n"/>
      <c r="P952" s="82" t="n"/>
      <c r="Q952" s="83" t="n"/>
      <c r="R952" s="82" t="n"/>
      <c r="S952" s="84" t="n"/>
      <c r="T952" s="84" t="n"/>
      <c r="U952" s="82" t="n"/>
      <c r="V952" s="86" t="n"/>
      <c r="W952" s="86" t="n"/>
      <c r="X952" s="86" t="n"/>
      <c r="Y952" s="81" t="n"/>
      <c r="Z952" s="82" t="n"/>
      <c r="AA952" s="81" t="n"/>
      <c r="AB952" s="82" t="n"/>
      <c r="AC952" s="87">
        <f>IF(OR($D952="",$M952="Rejected",$M952="Withdrawn",$M952="Accepted"),"",IF(ISNUMBER($O952),IF(INT($O952)&lt;TODAY(),"FOLLOW UP REQUIRED",IF(INT($O952)=TODAY(),"ACTION DUE TODAY",IF(INT($O952)-TODAY()&lt;=Set_DueSoonDays,"DUE SOON",""))),IF(AND($M952="Applied",$AA952=""),IF(ISNUMBER($C952),IF(TODAY()-$C952&gt;=Set_FollowUpDays,"NO RESPONSE",""),""),"")))</f>
        <v/>
      </c>
      <c r="AD952" s="87">
        <f>IF(ISNUMBER($L952),IF($L952&gt;=90,"Excellent Match",IF($L952&gt;=75,"Strong Match",IF($L952&gt;=60,"Moderate Match","Low Match"))),"")</f>
        <v/>
      </c>
      <c r="AE952" s="87">
        <f>IF($D952="","",IF(OR($M952="Rejected",$M952="Withdrawn"),IF($AB952&lt;&gt;"",$AB952,IF(OR($M952="Rejected",ISNUMBER($C952)),"Applied","Wishlist")),IF($M952="",IF(ISNUMBER($C952),"Applied","Wishlist"),$M952)))</f>
        <v/>
      </c>
      <c r="AF952" s="88">
        <f>IF(AND(ISNUMBER($C952),ISNUMBER($AA952)),$AA952-$C952,"")</f>
        <v/>
      </c>
      <c r="AG952" s="87">
        <f>IF($AE952="","",IFERROR(MATCH($AE952,{"Wishlist","Applied","Screening","Interview 1","Interview 2","Final","Offer","Accepted"},0)-1,""))</f>
        <v/>
      </c>
      <c r="AH952" s="87">
        <f>IF($AC952="","",MATCH($AC952,{"FOLLOW UP REQUIRED","ACTION DUE TODAY","NO RESPONSE","DUE SOON"},0)*100000+IF(ISNUMBER($O952),$O952,IF(ISNUMBER($C952),$C952,0))+ROW()/10000)</f>
        <v/>
      </c>
      <c r="AI952" s="87">
        <f>IF(AND(ISNUMBER($AG952),$AG952&gt;=1,$AG952&lt;=6,$M952&lt;&gt;"Rejected",$M952&lt;&gt;"Withdrawn"),(10-$AG952)*100000+IF(ISNUMBER($C952),$C952,0)+ROW()/10000,"")</f>
        <v/>
      </c>
    </row>
    <row r="953">
      <c r="A953" s="80" t="n"/>
      <c r="B953" s="81" t="n"/>
      <c r="C953" s="81" t="n"/>
      <c r="D953" s="82" t="n"/>
      <c r="E953" s="82" t="n"/>
      <c r="F953" s="82" t="n"/>
      <c r="G953" s="82" t="n"/>
      <c r="H953" s="82" t="n"/>
      <c r="I953" s="83" t="n"/>
      <c r="J953" s="82" t="n"/>
      <c r="K953" s="84" t="n"/>
      <c r="L953" s="85" t="n"/>
      <c r="M953" s="82" t="n"/>
      <c r="N953" s="86" t="n"/>
      <c r="O953" s="81" t="n"/>
      <c r="P953" s="82" t="n"/>
      <c r="Q953" s="83" t="n"/>
      <c r="R953" s="82" t="n"/>
      <c r="S953" s="84" t="n"/>
      <c r="T953" s="84" t="n"/>
      <c r="U953" s="82" t="n"/>
      <c r="V953" s="86" t="n"/>
      <c r="W953" s="86" t="n"/>
      <c r="X953" s="86" t="n"/>
      <c r="Y953" s="81" t="n"/>
      <c r="Z953" s="82" t="n"/>
      <c r="AA953" s="81" t="n"/>
      <c r="AB953" s="82" t="n"/>
      <c r="AC953" s="87">
        <f>IF(OR($D953="",$M953="Rejected",$M953="Withdrawn",$M953="Accepted"),"",IF(ISNUMBER($O953),IF(INT($O953)&lt;TODAY(),"FOLLOW UP REQUIRED",IF(INT($O953)=TODAY(),"ACTION DUE TODAY",IF(INT($O953)-TODAY()&lt;=Set_DueSoonDays,"DUE SOON",""))),IF(AND($M953="Applied",$AA953=""),IF(ISNUMBER($C953),IF(TODAY()-$C953&gt;=Set_FollowUpDays,"NO RESPONSE",""),""),"")))</f>
        <v/>
      </c>
      <c r="AD953" s="87">
        <f>IF(ISNUMBER($L953),IF($L953&gt;=90,"Excellent Match",IF($L953&gt;=75,"Strong Match",IF($L953&gt;=60,"Moderate Match","Low Match"))),"")</f>
        <v/>
      </c>
      <c r="AE953" s="87">
        <f>IF($D953="","",IF(OR($M953="Rejected",$M953="Withdrawn"),IF($AB953&lt;&gt;"",$AB953,IF(OR($M953="Rejected",ISNUMBER($C953)),"Applied","Wishlist")),IF($M953="",IF(ISNUMBER($C953),"Applied","Wishlist"),$M953)))</f>
        <v/>
      </c>
      <c r="AF953" s="88">
        <f>IF(AND(ISNUMBER($C953),ISNUMBER($AA953)),$AA953-$C953,"")</f>
        <v/>
      </c>
      <c r="AG953" s="87">
        <f>IF($AE953="","",IFERROR(MATCH($AE953,{"Wishlist","Applied","Screening","Interview 1","Interview 2","Final","Offer","Accepted"},0)-1,""))</f>
        <v/>
      </c>
      <c r="AH953" s="87">
        <f>IF($AC953="","",MATCH($AC953,{"FOLLOW UP REQUIRED","ACTION DUE TODAY","NO RESPONSE","DUE SOON"},0)*100000+IF(ISNUMBER($O953),$O953,IF(ISNUMBER($C953),$C953,0))+ROW()/10000)</f>
        <v/>
      </c>
      <c r="AI953" s="87">
        <f>IF(AND(ISNUMBER($AG953),$AG953&gt;=1,$AG953&lt;=6,$M953&lt;&gt;"Rejected",$M953&lt;&gt;"Withdrawn"),(10-$AG953)*100000+IF(ISNUMBER($C953),$C953,0)+ROW()/10000,"")</f>
        <v/>
      </c>
    </row>
    <row r="954">
      <c r="A954" s="80" t="n"/>
      <c r="B954" s="81" t="n"/>
      <c r="C954" s="81" t="n"/>
      <c r="D954" s="82" t="n"/>
      <c r="E954" s="82" t="n"/>
      <c r="F954" s="82" t="n"/>
      <c r="G954" s="82" t="n"/>
      <c r="H954" s="82" t="n"/>
      <c r="I954" s="83" t="n"/>
      <c r="J954" s="82" t="n"/>
      <c r="K954" s="84" t="n"/>
      <c r="L954" s="85" t="n"/>
      <c r="M954" s="82" t="n"/>
      <c r="N954" s="86" t="n"/>
      <c r="O954" s="81" t="n"/>
      <c r="P954" s="82" t="n"/>
      <c r="Q954" s="83" t="n"/>
      <c r="R954" s="82" t="n"/>
      <c r="S954" s="84" t="n"/>
      <c r="T954" s="84" t="n"/>
      <c r="U954" s="82" t="n"/>
      <c r="V954" s="86" t="n"/>
      <c r="W954" s="86" t="n"/>
      <c r="X954" s="86" t="n"/>
      <c r="Y954" s="81" t="n"/>
      <c r="Z954" s="82" t="n"/>
      <c r="AA954" s="81" t="n"/>
      <c r="AB954" s="82" t="n"/>
      <c r="AC954" s="87">
        <f>IF(OR($D954="",$M954="Rejected",$M954="Withdrawn",$M954="Accepted"),"",IF(ISNUMBER($O954),IF(INT($O954)&lt;TODAY(),"FOLLOW UP REQUIRED",IF(INT($O954)=TODAY(),"ACTION DUE TODAY",IF(INT($O954)-TODAY()&lt;=Set_DueSoonDays,"DUE SOON",""))),IF(AND($M954="Applied",$AA954=""),IF(ISNUMBER($C954),IF(TODAY()-$C954&gt;=Set_FollowUpDays,"NO RESPONSE",""),""),"")))</f>
        <v/>
      </c>
      <c r="AD954" s="87">
        <f>IF(ISNUMBER($L954),IF($L954&gt;=90,"Excellent Match",IF($L954&gt;=75,"Strong Match",IF($L954&gt;=60,"Moderate Match","Low Match"))),"")</f>
        <v/>
      </c>
      <c r="AE954" s="87">
        <f>IF($D954="","",IF(OR($M954="Rejected",$M954="Withdrawn"),IF($AB954&lt;&gt;"",$AB954,IF(OR($M954="Rejected",ISNUMBER($C954)),"Applied","Wishlist")),IF($M954="",IF(ISNUMBER($C954),"Applied","Wishlist"),$M954)))</f>
        <v/>
      </c>
      <c r="AF954" s="88">
        <f>IF(AND(ISNUMBER($C954),ISNUMBER($AA954)),$AA954-$C954,"")</f>
        <v/>
      </c>
      <c r="AG954" s="87">
        <f>IF($AE954="","",IFERROR(MATCH($AE954,{"Wishlist","Applied","Screening","Interview 1","Interview 2","Final","Offer","Accepted"},0)-1,""))</f>
        <v/>
      </c>
      <c r="AH954" s="87">
        <f>IF($AC954="","",MATCH($AC954,{"FOLLOW UP REQUIRED","ACTION DUE TODAY","NO RESPONSE","DUE SOON"},0)*100000+IF(ISNUMBER($O954),$O954,IF(ISNUMBER($C954),$C954,0))+ROW()/10000)</f>
        <v/>
      </c>
      <c r="AI954" s="87">
        <f>IF(AND(ISNUMBER($AG954),$AG954&gt;=1,$AG954&lt;=6,$M954&lt;&gt;"Rejected",$M954&lt;&gt;"Withdrawn"),(10-$AG954)*100000+IF(ISNUMBER($C954),$C954,0)+ROW()/10000,"")</f>
        <v/>
      </c>
    </row>
    <row r="955">
      <c r="A955" s="80" t="n"/>
      <c r="B955" s="81" t="n"/>
      <c r="C955" s="81" t="n"/>
      <c r="D955" s="82" t="n"/>
      <c r="E955" s="82" t="n"/>
      <c r="F955" s="82" t="n"/>
      <c r="G955" s="82" t="n"/>
      <c r="H955" s="82" t="n"/>
      <c r="I955" s="83" t="n"/>
      <c r="J955" s="82" t="n"/>
      <c r="K955" s="84" t="n"/>
      <c r="L955" s="85" t="n"/>
      <c r="M955" s="82" t="n"/>
      <c r="N955" s="86" t="n"/>
      <c r="O955" s="81" t="n"/>
      <c r="P955" s="82" t="n"/>
      <c r="Q955" s="83" t="n"/>
      <c r="R955" s="82" t="n"/>
      <c r="S955" s="84" t="n"/>
      <c r="T955" s="84" t="n"/>
      <c r="U955" s="82" t="n"/>
      <c r="V955" s="86" t="n"/>
      <c r="W955" s="86" t="n"/>
      <c r="X955" s="86" t="n"/>
      <c r="Y955" s="81" t="n"/>
      <c r="Z955" s="82" t="n"/>
      <c r="AA955" s="81" t="n"/>
      <c r="AB955" s="82" t="n"/>
      <c r="AC955" s="87">
        <f>IF(OR($D955="",$M955="Rejected",$M955="Withdrawn",$M955="Accepted"),"",IF(ISNUMBER($O955),IF(INT($O955)&lt;TODAY(),"FOLLOW UP REQUIRED",IF(INT($O955)=TODAY(),"ACTION DUE TODAY",IF(INT($O955)-TODAY()&lt;=Set_DueSoonDays,"DUE SOON",""))),IF(AND($M955="Applied",$AA955=""),IF(ISNUMBER($C955),IF(TODAY()-$C955&gt;=Set_FollowUpDays,"NO RESPONSE",""),""),"")))</f>
        <v/>
      </c>
      <c r="AD955" s="87">
        <f>IF(ISNUMBER($L955),IF($L955&gt;=90,"Excellent Match",IF($L955&gt;=75,"Strong Match",IF($L955&gt;=60,"Moderate Match","Low Match"))),"")</f>
        <v/>
      </c>
      <c r="AE955" s="87">
        <f>IF($D955="","",IF(OR($M955="Rejected",$M955="Withdrawn"),IF($AB955&lt;&gt;"",$AB955,IF(OR($M955="Rejected",ISNUMBER($C955)),"Applied","Wishlist")),IF($M955="",IF(ISNUMBER($C955),"Applied","Wishlist"),$M955)))</f>
        <v/>
      </c>
      <c r="AF955" s="88">
        <f>IF(AND(ISNUMBER($C955),ISNUMBER($AA955)),$AA955-$C955,"")</f>
        <v/>
      </c>
      <c r="AG955" s="87">
        <f>IF($AE955="","",IFERROR(MATCH($AE955,{"Wishlist","Applied","Screening","Interview 1","Interview 2","Final","Offer","Accepted"},0)-1,""))</f>
        <v/>
      </c>
      <c r="AH955" s="87">
        <f>IF($AC955="","",MATCH($AC955,{"FOLLOW UP REQUIRED","ACTION DUE TODAY","NO RESPONSE","DUE SOON"},0)*100000+IF(ISNUMBER($O955),$O955,IF(ISNUMBER($C955),$C955,0))+ROW()/10000)</f>
        <v/>
      </c>
      <c r="AI955" s="87">
        <f>IF(AND(ISNUMBER($AG955),$AG955&gt;=1,$AG955&lt;=6,$M955&lt;&gt;"Rejected",$M955&lt;&gt;"Withdrawn"),(10-$AG955)*100000+IF(ISNUMBER($C955),$C955,0)+ROW()/10000,"")</f>
        <v/>
      </c>
    </row>
    <row r="956">
      <c r="A956" s="80" t="n"/>
      <c r="B956" s="81" t="n"/>
      <c r="C956" s="81" t="n"/>
      <c r="D956" s="82" t="n"/>
      <c r="E956" s="82" t="n"/>
      <c r="F956" s="82" t="n"/>
      <c r="G956" s="82" t="n"/>
      <c r="H956" s="82" t="n"/>
      <c r="I956" s="83" t="n"/>
      <c r="J956" s="82" t="n"/>
      <c r="K956" s="84" t="n"/>
      <c r="L956" s="85" t="n"/>
      <c r="M956" s="82" t="n"/>
      <c r="N956" s="86" t="n"/>
      <c r="O956" s="81" t="n"/>
      <c r="P956" s="82" t="n"/>
      <c r="Q956" s="83" t="n"/>
      <c r="R956" s="82" t="n"/>
      <c r="S956" s="84" t="n"/>
      <c r="T956" s="84" t="n"/>
      <c r="U956" s="82" t="n"/>
      <c r="V956" s="86" t="n"/>
      <c r="W956" s="86" t="n"/>
      <c r="X956" s="86" t="n"/>
      <c r="Y956" s="81" t="n"/>
      <c r="Z956" s="82" t="n"/>
      <c r="AA956" s="81" t="n"/>
      <c r="AB956" s="82" t="n"/>
      <c r="AC956" s="87">
        <f>IF(OR($D956="",$M956="Rejected",$M956="Withdrawn",$M956="Accepted"),"",IF(ISNUMBER($O956),IF(INT($O956)&lt;TODAY(),"FOLLOW UP REQUIRED",IF(INT($O956)=TODAY(),"ACTION DUE TODAY",IF(INT($O956)-TODAY()&lt;=Set_DueSoonDays,"DUE SOON",""))),IF(AND($M956="Applied",$AA956=""),IF(ISNUMBER($C956),IF(TODAY()-$C956&gt;=Set_FollowUpDays,"NO RESPONSE",""),""),"")))</f>
        <v/>
      </c>
      <c r="AD956" s="87">
        <f>IF(ISNUMBER($L956),IF($L956&gt;=90,"Excellent Match",IF($L956&gt;=75,"Strong Match",IF($L956&gt;=60,"Moderate Match","Low Match"))),"")</f>
        <v/>
      </c>
      <c r="AE956" s="87">
        <f>IF($D956="","",IF(OR($M956="Rejected",$M956="Withdrawn"),IF($AB956&lt;&gt;"",$AB956,IF(OR($M956="Rejected",ISNUMBER($C956)),"Applied","Wishlist")),IF($M956="",IF(ISNUMBER($C956),"Applied","Wishlist"),$M956)))</f>
        <v/>
      </c>
      <c r="AF956" s="88">
        <f>IF(AND(ISNUMBER($C956),ISNUMBER($AA956)),$AA956-$C956,"")</f>
        <v/>
      </c>
      <c r="AG956" s="87">
        <f>IF($AE956="","",IFERROR(MATCH($AE956,{"Wishlist","Applied","Screening","Interview 1","Interview 2","Final","Offer","Accepted"},0)-1,""))</f>
        <v/>
      </c>
      <c r="AH956" s="87">
        <f>IF($AC956="","",MATCH($AC956,{"FOLLOW UP REQUIRED","ACTION DUE TODAY","NO RESPONSE","DUE SOON"},0)*100000+IF(ISNUMBER($O956),$O956,IF(ISNUMBER($C956),$C956,0))+ROW()/10000)</f>
        <v/>
      </c>
      <c r="AI956" s="87">
        <f>IF(AND(ISNUMBER($AG956),$AG956&gt;=1,$AG956&lt;=6,$M956&lt;&gt;"Rejected",$M956&lt;&gt;"Withdrawn"),(10-$AG956)*100000+IF(ISNUMBER($C956),$C956,0)+ROW()/10000,"")</f>
        <v/>
      </c>
    </row>
    <row r="957">
      <c r="A957" s="80" t="n"/>
      <c r="B957" s="81" t="n"/>
      <c r="C957" s="81" t="n"/>
      <c r="D957" s="82" t="n"/>
      <c r="E957" s="82" t="n"/>
      <c r="F957" s="82" t="n"/>
      <c r="G957" s="82" t="n"/>
      <c r="H957" s="82" t="n"/>
      <c r="I957" s="83" t="n"/>
      <c r="J957" s="82" t="n"/>
      <c r="K957" s="84" t="n"/>
      <c r="L957" s="85" t="n"/>
      <c r="M957" s="82" t="n"/>
      <c r="N957" s="86" t="n"/>
      <c r="O957" s="81" t="n"/>
      <c r="P957" s="82" t="n"/>
      <c r="Q957" s="83" t="n"/>
      <c r="R957" s="82" t="n"/>
      <c r="S957" s="84" t="n"/>
      <c r="T957" s="84" t="n"/>
      <c r="U957" s="82" t="n"/>
      <c r="V957" s="86" t="n"/>
      <c r="W957" s="86" t="n"/>
      <c r="X957" s="86" t="n"/>
      <c r="Y957" s="81" t="n"/>
      <c r="Z957" s="82" t="n"/>
      <c r="AA957" s="81" t="n"/>
      <c r="AB957" s="82" t="n"/>
      <c r="AC957" s="87">
        <f>IF(OR($D957="",$M957="Rejected",$M957="Withdrawn",$M957="Accepted"),"",IF(ISNUMBER($O957),IF(INT($O957)&lt;TODAY(),"FOLLOW UP REQUIRED",IF(INT($O957)=TODAY(),"ACTION DUE TODAY",IF(INT($O957)-TODAY()&lt;=Set_DueSoonDays,"DUE SOON",""))),IF(AND($M957="Applied",$AA957=""),IF(ISNUMBER($C957),IF(TODAY()-$C957&gt;=Set_FollowUpDays,"NO RESPONSE",""),""),"")))</f>
        <v/>
      </c>
      <c r="AD957" s="87">
        <f>IF(ISNUMBER($L957),IF($L957&gt;=90,"Excellent Match",IF($L957&gt;=75,"Strong Match",IF($L957&gt;=60,"Moderate Match","Low Match"))),"")</f>
        <v/>
      </c>
      <c r="AE957" s="87">
        <f>IF($D957="","",IF(OR($M957="Rejected",$M957="Withdrawn"),IF($AB957&lt;&gt;"",$AB957,IF(OR($M957="Rejected",ISNUMBER($C957)),"Applied","Wishlist")),IF($M957="",IF(ISNUMBER($C957),"Applied","Wishlist"),$M957)))</f>
        <v/>
      </c>
      <c r="AF957" s="88">
        <f>IF(AND(ISNUMBER($C957),ISNUMBER($AA957)),$AA957-$C957,"")</f>
        <v/>
      </c>
      <c r="AG957" s="87">
        <f>IF($AE957="","",IFERROR(MATCH($AE957,{"Wishlist","Applied","Screening","Interview 1","Interview 2","Final","Offer","Accepted"},0)-1,""))</f>
        <v/>
      </c>
      <c r="AH957" s="87">
        <f>IF($AC957="","",MATCH($AC957,{"FOLLOW UP REQUIRED","ACTION DUE TODAY","NO RESPONSE","DUE SOON"},0)*100000+IF(ISNUMBER($O957),$O957,IF(ISNUMBER($C957),$C957,0))+ROW()/10000)</f>
        <v/>
      </c>
      <c r="AI957" s="87">
        <f>IF(AND(ISNUMBER($AG957),$AG957&gt;=1,$AG957&lt;=6,$M957&lt;&gt;"Rejected",$M957&lt;&gt;"Withdrawn"),(10-$AG957)*100000+IF(ISNUMBER($C957),$C957,0)+ROW()/10000,"")</f>
        <v/>
      </c>
    </row>
    <row r="958">
      <c r="A958" s="80" t="n"/>
      <c r="B958" s="81" t="n"/>
      <c r="C958" s="81" t="n"/>
      <c r="D958" s="82" t="n"/>
      <c r="E958" s="82" t="n"/>
      <c r="F958" s="82" t="n"/>
      <c r="G958" s="82" t="n"/>
      <c r="H958" s="82" t="n"/>
      <c r="I958" s="83" t="n"/>
      <c r="J958" s="82" t="n"/>
      <c r="K958" s="84" t="n"/>
      <c r="L958" s="85" t="n"/>
      <c r="M958" s="82" t="n"/>
      <c r="N958" s="86" t="n"/>
      <c r="O958" s="81" t="n"/>
      <c r="P958" s="82" t="n"/>
      <c r="Q958" s="83" t="n"/>
      <c r="R958" s="82" t="n"/>
      <c r="S958" s="84" t="n"/>
      <c r="T958" s="84" t="n"/>
      <c r="U958" s="82" t="n"/>
      <c r="V958" s="86" t="n"/>
      <c r="W958" s="86" t="n"/>
      <c r="X958" s="86" t="n"/>
      <c r="Y958" s="81" t="n"/>
      <c r="Z958" s="82" t="n"/>
      <c r="AA958" s="81" t="n"/>
      <c r="AB958" s="82" t="n"/>
      <c r="AC958" s="87">
        <f>IF(OR($D958="",$M958="Rejected",$M958="Withdrawn",$M958="Accepted"),"",IF(ISNUMBER($O958),IF(INT($O958)&lt;TODAY(),"FOLLOW UP REQUIRED",IF(INT($O958)=TODAY(),"ACTION DUE TODAY",IF(INT($O958)-TODAY()&lt;=Set_DueSoonDays,"DUE SOON",""))),IF(AND($M958="Applied",$AA958=""),IF(ISNUMBER($C958),IF(TODAY()-$C958&gt;=Set_FollowUpDays,"NO RESPONSE",""),""),"")))</f>
        <v/>
      </c>
      <c r="AD958" s="87">
        <f>IF(ISNUMBER($L958),IF($L958&gt;=90,"Excellent Match",IF($L958&gt;=75,"Strong Match",IF($L958&gt;=60,"Moderate Match","Low Match"))),"")</f>
        <v/>
      </c>
      <c r="AE958" s="87">
        <f>IF($D958="","",IF(OR($M958="Rejected",$M958="Withdrawn"),IF($AB958&lt;&gt;"",$AB958,IF(OR($M958="Rejected",ISNUMBER($C958)),"Applied","Wishlist")),IF($M958="",IF(ISNUMBER($C958),"Applied","Wishlist"),$M958)))</f>
        <v/>
      </c>
      <c r="AF958" s="88">
        <f>IF(AND(ISNUMBER($C958),ISNUMBER($AA958)),$AA958-$C958,"")</f>
        <v/>
      </c>
      <c r="AG958" s="87">
        <f>IF($AE958="","",IFERROR(MATCH($AE958,{"Wishlist","Applied","Screening","Interview 1","Interview 2","Final","Offer","Accepted"},0)-1,""))</f>
        <v/>
      </c>
      <c r="AH958" s="87">
        <f>IF($AC958="","",MATCH($AC958,{"FOLLOW UP REQUIRED","ACTION DUE TODAY","NO RESPONSE","DUE SOON"},0)*100000+IF(ISNUMBER($O958),$O958,IF(ISNUMBER($C958),$C958,0))+ROW()/10000)</f>
        <v/>
      </c>
      <c r="AI958" s="87">
        <f>IF(AND(ISNUMBER($AG958),$AG958&gt;=1,$AG958&lt;=6,$M958&lt;&gt;"Rejected",$M958&lt;&gt;"Withdrawn"),(10-$AG958)*100000+IF(ISNUMBER($C958),$C958,0)+ROW()/10000,"")</f>
        <v/>
      </c>
    </row>
    <row r="959">
      <c r="A959" s="80" t="n"/>
      <c r="B959" s="81" t="n"/>
      <c r="C959" s="81" t="n"/>
      <c r="D959" s="82" t="n"/>
      <c r="E959" s="82" t="n"/>
      <c r="F959" s="82" t="n"/>
      <c r="G959" s="82" t="n"/>
      <c r="H959" s="82" t="n"/>
      <c r="I959" s="83" t="n"/>
      <c r="J959" s="82" t="n"/>
      <c r="K959" s="84" t="n"/>
      <c r="L959" s="85" t="n"/>
      <c r="M959" s="82" t="n"/>
      <c r="N959" s="86" t="n"/>
      <c r="O959" s="81" t="n"/>
      <c r="P959" s="82" t="n"/>
      <c r="Q959" s="83" t="n"/>
      <c r="R959" s="82" t="n"/>
      <c r="S959" s="84" t="n"/>
      <c r="T959" s="84" t="n"/>
      <c r="U959" s="82" t="n"/>
      <c r="V959" s="86" t="n"/>
      <c r="W959" s="86" t="n"/>
      <c r="X959" s="86" t="n"/>
      <c r="Y959" s="81" t="n"/>
      <c r="Z959" s="82" t="n"/>
      <c r="AA959" s="81" t="n"/>
      <c r="AB959" s="82" t="n"/>
      <c r="AC959" s="87">
        <f>IF(OR($D959="",$M959="Rejected",$M959="Withdrawn",$M959="Accepted"),"",IF(ISNUMBER($O959),IF(INT($O959)&lt;TODAY(),"FOLLOW UP REQUIRED",IF(INT($O959)=TODAY(),"ACTION DUE TODAY",IF(INT($O959)-TODAY()&lt;=Set_DueSoonDays,"DUE SOON",""))),IF(AND($M959="Applied",$AA959=""),IF(ISNUMBER($C959),IF(TODAY()-$C959&gt;=Set_FollowUpDays,"NO RESPONSE",""),""),"")))</f>
        <v/>
      </c>
      <c r="AD959" s="87">
        <f>IF(ISNUMBER($L959),IF($L959&gt;=90,"Excellent Match",IF($L959&gt;=75,"Strong Match",IF($L959&gt;=60,"Moderate Match","Low Match"))),"")</f>
        <v/>
      </c>
      <c r="AE959" s="87">
        <f>IF($D959="","",IF(OR($M959="Rejected",$M959="Withdrawn"),IF($AB959&lt;&gt;"",$AB959,IF(OR($M959="Rejected",ISNUMBER($C959)),"Applied","Wishlist")),IF($M959="",IF(ISNUMBER($C959),"Applied","Wishlist"),$M959)))</f>
        <v/>
      </c>
      <c r="AF959" s="88">
        <f>IF(AND(ISNUMBER($C959),ISNUMBER($AA959)),$AA959-$C959,"")</f>
        <v/>
      </c>
      <c r="AG959" s="87">
        <f>IF($AE959="","",IFERROR(MATCH($AE959,{"Wishlist","Applied","Screening","Interview 1","Interview 2","Final","Offer","Accepted"},0)-1,""))</f>
        <v/>
      </c>
      <c r="AH959" s="87">
        <f>IF($AC959="","",MATCH($AC959,{"FOLLOW UP REQUIRED","ACTION DUE TODAY","NO RESPONSE","DUE SOON"},0)*100000+IF(ISNUMBER($O959),$O959,IF(ISNUMBER($C959),$C959,0))+ROW()/10000)</f>
        <v/>
      </c>
      <c r="AI959" s="87">
        <f>IF(AND(ISNUMBER($AG959),$AG959&gt;=1,$AG959&lt;=6,$M959&lt;&gt;"Rejected",$M959&lt;&gt;"Withdrawn"),(10-$AG959)*100000+IF(ISNUMBER($C959),$C959,0)+ROW()/10000,"")</f>
        <v/>
      </c>
    </row>
    <row r="960">
      <c r="A960" s="80" t="n"/>
      <c r="B960" s="81" t="n"/>
      <c r="C960" s="81" t="n"/>
      <c r="D960" s="82" t="n"/>
      <c r="E960" s="82" t="n"/>
      <c r="F960" s="82" t="n"/>
      <c r="G960" s="82" t="n"/>
      <c r="H960" s="82" t="n"/>
      <c r="I960" s="83" t="n"/>
      <c r="J960" s="82" t="n"/>
      <c r="K960" s="84" t="n"/>
      <c r="L960" s="85" t="n"/>
      <c r="M960" s="82" t="n"/>
      <c r="N960" s="86" t="n"/>
      <c r="O960" s="81" t="n"/>
      <c r="P960" s="82" t="n"/>
      <c r="Q960" s="83" t="n"/>
      <c r="R960" s="82" t="n"/>
      <c r="S960" s="84" t="n"/>
      <c r="T960" s="84" t="n"/>
      <c r="U960" s="82" t="n"/>
      <c r="V960" s="86" t="n"/>
      <c r="W960" s="86" t="n"/>
      <c r="X960" s="86" t="n"/>
      <c r="Y960" s="81" t="n"/>
      <c r="Z960" s="82" t="n"/>
      <c r="AA960" s="81" t="n"/>
      <c r="AB960" s="82" t="n"/>
      <c r="AC960" s="87">
        <f>IF(OR($D960="",$M960="Rejected",$M960="Withdrawn",$M960="Accepted"),"",IF(ISNUMBER($O960),IF(INT($O960)&lt;TODAY(),"FOLLOW UP REQUIRED",IF(INT($O960)=TODAY(),"ACTION DUE TODAY",IF(INT($O960)-TODAY()&lt;=Set_DueSoonDays,"DUE SOON",""))),IF(AND($M960="Applied",$AA960=""),IF(ISNUMBER($C960),IF(TODAY()-$C960&gt;=Set_FollowUpDays,"NO RESPONSE",""),""),"")))</f>
        <v/>
      </c>
      <c r="AD960" s="87">
        <f>IF(ISNUMBER($L960),IF($L960&gt;=90,"Excellent Match",IF($L960&gt;=75,"Strong Match",IF($L960&gt;=60,"Moderate Match","Low Match"))),"")</f>
        <v/>
      </c>
      <c r="AE960" s="87">
        <f>IF($D960="","",IF(OR($M960="Rejected",$M960="Withdrawn"),IF($AB960&lt;&gt;"",$AB960,IF(OR($M960="Rejected",ISNUMBER($C960)),"Applied","Wishlist")),IF($M960="",IF(ISNUMBER($C960),"Applied","Wishlist"),$M960)))</f>
        <v/>
      </c>
      <c r="AF960" s="88">
        <f>IF(AND(ISNUMBER($C960),ISNUMBER($AA960)),$AA960-$C960,"")</f>
        <v/>
      </c>
      <c r="AG960" s="87">
        <f>IF($AE960="","",IFERROR(MATCH($AE960,{"Wishlist","Applied","Screening","Interview 1","Interview 2","Final","Offer","Accepted"},0)-1,""))</f>
        <v/>
      </c>
      <c r="AH960" s="87">
        <f>IF($AC960="","",MATCH($AC960,{"FOLLOW UP REQUIRED","ACTION DUE TODAY","NO RESPONSE","DUE SOON"},0)*100000+IF(ISNUMBER($O960),$O960,IF(ISNUMBER($C960),$C960,0))+ROW()/10000)</f>
        <v/>
      </c>
      <c r="AI960" s="87">
        <f>IF(AND(ISNUMBER($AG960),$AG960&gt;=1,$AG960&lt;=6,$M960&lt;&gt;"Rejected",$M960&lt;&gt;"Withdrawn"),(10-$AG960)*100000+IF(ISNUMBER($C960),$C960,0)+ROW()/10000,"")</f>
        <v/>
      </c>
    </row>
    <row r="961">
      <c r="A961" s="80" t="n"/>
      <c r="B961" s="81" t="n"/>
      <c r="C961" s="81" t="n"/>
      <c r="D961" s="82" t="n"/>
      <c r="E961" s="82" t="n"/>
      <c r="F961" s="82" t="n"/>
      <c r="G961" s="82" t="n"/>
      <c r="H961" s="82" t="n"/>
      <c r="I961" s="83" t="n"/>
      <c r="J961" s="82" t="n"/>
      <c r="K961" s="84" t="n"/>
      <c r="L961" s="85" t="n"/>
      <c r="M961" s="82" t="n"/>
      <c r="N961" s="86" t="n"/>
      <c r="O961" s="81" t="n"/>
      <c r="P961" s="82" t="n"/>
      <c r="Q961" s="83" t="n"/>
      <c r="R961" s="82" t="n"/>
      <c r="S961" s="84" t="n"/>
      <c r="T961" s="84" t="n"/>
      <c r="U961" s="82" t="n"/>
      <c r="V961" s="86" t="n"/>
      <c r="W961" s="86" t="n"/>
      <c r="X961" s="86" t="n"/>
      <c r="Y961" s="81" t="n"/>
      <c r="Z961" s="82" t="n"/>
      <c r="AA961" s="81" t="n"/>
      <c r="AB961" s="82" t="n"/>
      <c r="AC961" s="87">
        <f>IF(OR($D961="",$M961="Rejected",$M961="Withdrawn",$M961="Accepted"),"",IF(ISNUMBER($O961),IF(INT($O961)&lt;TODAY(),"FOLLOW UP REQUIRED",IF(INT($O961)=TODAY(),"ACTION DUE TODAY",IF(INT($O961)-TODAY()&lt;=Set_DueSoonDays,"DUE SOON",""))),IF(AND($M961="Applied",$AA961=""),IF(ISNUMBER($C961),IF(TODAY()-$C961&gt;=Set_FollowUpDays,"NO RESPONSE",""),""),"")))</f>
        <v/>
      </c>
      <c r="AD961" s="87">
        <f>IF(ISNUMBER($L961),IF($L961&gt;=90,"Excellent Match",IF($L961&gt;=75,"Strong Match",IF($L961&gt;=60,"Moderate Match","Low Match"))),"")</f>
        <v/>
      </c>
      <c r="AE961" s="87">
        <f>IF($D961="","",IF(OR($M961="Rejected",$M961="Withdrawn"),IF($AB961&lt;&gt;"",$AB961,IF(OR($M961="Rejected",ISNUMBER($C961)),"Applied","Wishlist")),IF($M961="",IF(ISNUMBER($C961),"Applied","Wishlist"),$M961)))</f>
        <v/>
      </c>
      <c r="AF961" s="88">
        <f>IF(AND(ISNUMBER($C961),ISNUMBER($AA961)),$AA961-$C961,"")</f>
        <v/>
      </c>
      <c r="AG961" s="87">
        <f>IF($AE961="","",IFERROR(MATCH($AE961,{"Wishlist","Applied","Screening","Interview 1","Interview 2","Final","Offer","Accepted"},0)-1,""))</f>
        <v/>
      </c>
      <c r="AH961" s="87">
        <f>IF($AC961="","",MATCH($AC961,{"FOLLOW UP REQUIRED","ACTION DUE TODAY","NO RESPONSE","DUE SOON"},0)*100000+IF(ISNUMBER($O961),$O961,IF(ISNUMBER($C961),$C961,0))+ROW()/10000)</f>
        <v/>
      </c>
      <c r="AI961" s="87">
        <f>IF(AND(ISNUMBER($AG961),$AG961&gt;=1,$AG961&lt;=6,$M961&lt;&gt;"Rejected",$M961&lt;&gt;"Withdrawn"),(10-$AG961)*100000+IF(ISNUMBER($C961),$C961,0)+ROW()/10000,"")</f>
        <v/>
      </c>
    </row>
    <row r="962">
      <c r="A962" s="80" t="n"/>
      <c r="B962" s="81" t="n"/>
      <c r="C962" s="81" t="n"/>
      <c r="D962" s="82" t="n"/>
      <c r="E962" s="82" t="n"/>
      <c r="F962" s="82" t="n"/>
      <c r="G962" s="82" t="n"/>
      <c r="H962" s="82" t="n"/>
      <c r="I962" s="83" t="n"/>
      <c r="J962" s="82" t="n"/>
      <c r="K962" s="84" t="n"/>
      <c r="L962" s="85" t="n"/>
      <c r="M962" s="82" t="n"/>
      <c r="N962" s="86" t="n"/>
      <c r="O962" s="81" t="n"/>
      <c r="P962" s="82" t="n"/>
      <c r="Q962" s="83" t="n"/>
      <c r="R962" s="82" t="n"/>
      <c r="S962" s="84" t="n"/>
      <c r="T962" s="84" t="n"/>
      <c r="U962" s="82" t="n"/>
      <c r="V962" s="86" t="n"/>
      <c r="W962" s="86" t="n"/>
      <c r="X962" s="86" t="n"/>
      <c r="Y962" s="81" t="n"/>
      <c r="Z962" s="82" t="n"/>
      <c r="AA962" s="81" t="n"/>
      <c r="AB962" s="82" t="n"/>
      <c r="AC962" s="87">
        <f>IF(OR($D962="",$M962="Rejected",$M962="Withdrawn",$M962="Accepted"),"",IF(ISNUMBER($O962),IF(INT($O962)&lt;TODAY(),"FOLLOW UP REQUIRED",IF(INT($O962)=TODAY(),"ACTION DUE TODAY",IF(INT($O962)-TODAY()&lt;=Set_DueSoonDays,"DUE SOON",""))),IF(AND($M962="Applied",$AA962=""),IF(ISNUMBER($C962),IF(TODAY()-$C962&gt;=Set_FollowUpDays,"NO RESPONSE",""),""),"")))</f>
        <v/>
      </c>
      <c r="AD962" s="87">
        <f>IF(ISNUMBER($L962),IF($L962&gt;=90,"Excellent Match",IF($L962&gt;=75,"Strong Match",IF($L962&gt;=60,"Moderate Match","Low Match"))),"")</f>
        <v/>
      </c>
      <c r="AE962" s="87">
        <f>IF($D962="","",IF(OR($M962="Rejected",$M962="Withdrawn"),IF($AB962&lt;&gt;"",$AB962,IF(OR($M962="Rejected",ISNUMBER($C962)),"Applied","Wishlist")),IF($M962="",IF(ISNUMBER($C962),"Applied","Wishlist"),$M962)))</f>
        <v/>
      </c>
      <c r="AF962" s="88">
        <f>IF(AND(ISNUMBER($C962),ISNUMBER($AA962)),$AA962-$C962,"")</f>
        <v/>
      </c>
      <c r="AG962" s="87">
        <f>IF($AE962="","",IFERROR(MATCH($AE962,{"Wishlist","Applied","Screening","Interview 1","Interview 2","Final","Offer","Accepted"},0)-1,""))</f>
        <v/>
      </c>
      <c r="AH962" s="87">
        <f>IF($AC962="","",MATCH($AC962,{"FOLLOW UP REQUIRED","ACTION DUE TODAY","NO RESPONSE","DUE SOON"},0)*100000+IF(ISNUMBER($O962),$O962,IF(ISNUMBER($C962),$C962,0))+ROW()/10000)</f>
        <v/>
      </c>
      <c r="AI962" s="87">
        <f>IF(AND(ISNUMBER($AG962),$AG962&gt;=1,$AG962&lt;=6,$M962&lt;&gt;"Rejected",$M962&lt;&gt;"Withdrawn"),(10-$AG962)*100000+IF(ISNUMBER($C962),$C962,0)+ROW()/10000,"")</f>
        <v/>
      </c>
    </row>
    <row r="963">
      <c r="A963" s="80" t="n"/>
      <c r="B963" s="81" t="n"/>
      <c r="C963" s="81" t="n"/>
      <c r="D963" s="82" t="n"/>
      <c r="E963" s="82" t="n"/>
      <c r="F963" s="82" t="n"/>
      <c r="G963" s="82" t="n"/>
      <c r="H963" s="82" t="n"/>
      <c r="I963" s="83" t="n"/>
      <c r="J963" s="82" t="n"/>
      <c r="K963" s="84" t="n"/>
      <c r="L963" s="85" t="n"/>
      <c r="M963" s="82" t="n"/>
      <c r="N963" s="86" t="n"/>
      <c r="O963" s="81" t="n"/>
      <c r="P963" s="82" t="n"/>
      <c r="Q963" s="83" t="n"/>
      <c r="R963" s="82" t="n"/>
      <c r="S963" s="84" t="n"/>
      <c r="T963" s="84" t="n"/>
      <c r="U963" s="82" t="n"/>
      <c r="V963" s="86" t="n"/>
      <c r="W963" s="86" t="n"/>
      <c r="X963" s="86" t="n"/>
      <c r="Y963" s="81" t="n"/>
      <c r="Z963" s="82" t="n"/>
      <c r="AA963" s="81" t="n"/>
      <c r="AB963" s="82" t="n"/>
      <c r="AC963" s="87">
        <f>IF(OR($D963="",$M963="Rejected",$M963="Withdrawn",$M963="Accepted"),"",IF(ISNUMBER($O963),IF(INT($O963)&lt;TODAY(),"FOLLOW UP REQUIRED",IF(INT($O963)=TODAY(),"ACTION DUE TODAY",IF(INT($O963)-TODAY()&lt;=Set_DueSoonDays,"DUE SOON",""))),IF(AND($M963="Applied",$AA963=""),IF(ISNUMBER($C963),IF(TODAY()-$C963&gt;=Set_FollowUpDays,"NO RESPONSE",""),""),"")))</f>
        <v/>
      </c>
      <c r="AD963" s="87">
        <f>IF(ISNUMBER($L963),IF($L963&gt;=90,"Excellent Match",IF($L963&gt;=75,"Strong Match",IF($L963&gt;=60,"Moderate Match","Low Match"))),"")</f>
        <v/>
      </c>
      <c r="AE963" s="87">
        <f>IF($D963="","",IF(OR($M963="Rejected",$M963="Withdrawn"),IF($AB963&lt;&gt;"",$AB963,IF(OR($M963="Rejected",ISNUMBER($C963)),"Applied","Wishlist")),IF($M963="",IF(ISNUMBER($C963),"Applied","Wishlist"),$M963)))</f>
        <v/>
      </c>
      <c r="AF963" s="88">
        <f>IF(AND(ISNUMBER($C963),ISNUMBER($AA963)),$AA963-$C963,"")</f>
        <v/>
      </c>
      <c r="AG963" s="87">
        <f>IF($AE963="","",IFERROR(MATCH($AE963,{"Wishlist","Applied","Screening","Interview 1","Interview 2","Final","Offer","Accepted"},0)-1,""))</f>
        <v/>
      </c>
      <c r="AH963" s="87">
        <f>IF($AC963="","",MATCH($AC963,{"FOLLOW UP REQUIRED","ACTION DUE TODAY","NO RESPONSE","DUE SOON"},0)*100000+IF(ISNUMBER($O963),$O963,IF(ISNUMBER($C963),$C963,0))+ROW()/10000)</f>
        <v/>
      </c>
      <c r="AI963" s="87">
        <f>IF(AND(ISNUMBER($AG963),$AG963&gt;=1,$AG963&lt;=6,$M963&lt;&gt;"Rejected",$M963&lt;&gt;"Withdrawn"),(10-$AG963)*100000+IF(ISNUMBER($C963),$C963,0)+ROW()/10000,"")</f>
        <v/>
      </c>
    </row>
    <row r="964">
      <c r="A964" s="80" t="n"/>
      <c r="B964" s="81" t="n"/>
      <c r="C964" s="81" t="n"/>
      <c r="D964" s="82" t="n"/>
      <c r="E964" s="82" t="n"/>
      <c r="F964" s="82" t="n"/>
      <c r="G964" s="82" t="n"/>
      <c r="H964" s="82" t="n"/>
      <c r="I964" s="83" t="n"/>
      <c r="J964" s="82" t="n"/>
      <c r="K964" s="84" t="n"/>
      <c r="L964" s="85" t="n"/>
      <c r="M964" s="82" t="n"/>
      <c r="N964" s="86" t="n"/>
      <c r="O964" s="81" t="n"/>
      <c r="P964" s="82" t="n"/>
      <c r="Q964" s="83" t="n"/>
      <c r="R964" s="82" t="n"/>
      <c r="S964" s="84" t="n"/>
      <c r="T964" s="84" t="n"/>
      <c r="U964" s="82" t="n"/>
      <c r="V964" s="86" t="n"/>
      <c r="W964" s="86" t="n"/>
      <c r="X964" s="86" t="n"/>
      <c r="Y964" s="81" t="n"/>
      <c r="Z964" s="82" t="n"/>
      <c r="AA964" s="81" t="n"/>
      <c r="AB964" s="82" t="n"/>
      <c r="AC964" s="87">
        <f>IF(OR($D964="",$M964="Rejected",$M964="Withdrawn",$M964="Accepted"),"",IF(ISNUMBER($O964),IF(INT($O964)&lt;TODAY(),"FOLLOW UP REQUIRED",IF(INT($O964)=TODAY(),"ACTION DUE TODAY",IF(INT($O964)-TODAY()&lt;=Set_DueSoonDays,"DUE SOON",""))),IF(AND($M964="Applied",$AA964=""),IF(ISNUMBER($C964),IF(TODAY()-$C964&gt;=Set_FollowUpDays,"NO RESPONSE",""),""),"")))</f>
        <v/>
      </c>
      <c r="AD964" s="87">
        <f>IF(ISNUMBER($L964),IF($L964&gt;=90,"Excellent Match",IF($L964&gt;=75,"Strong Match",IF($L964&gt;=60,"Moderate Match","Low Match"))),"")</f>
        <v/>
      </c>
      <c r="AE964" s="87">
        <f>IF($D964="","",IF(OR($M964="Rejected",$M964="Withdrawn"),IF($AB964&lt;&gt;"",$AB964,IF(OR($M964="Rejected",ISNUMBER($C964)),"Applied","Wishlist")),IF($M964="",IF(ISNUMBER($C964),"Applied","Wishlist"),$M964)))</f>
        <v/>
      </c>
      <c r="AF964" s="88">
        <f>IF(AND(ISNUMBER($C964),ISNUMBER($AA964)),$AA964-$C964,"")</f>
        <v/>
      </c>
      <c r="AG964" s="87">
        <f>IF($AE964="","",IFERROR(MATCH($AE964,{"Wishlist","Applied","Screening","Interview 1","Interview 2","Final","Offer","Accepted"},0)-1,""))</f>
        <v/>
      </c>
      <c r="AH964" s="87">
        <f>IF($AC964="","",MATCH($AC964,{"FOLLOW UP REQUIRED","ACTION DUE TODAY","NO RESPONSE","DUE SOON"},0)*100000+IF(ISNUMBER($O964),$O964,IF(ISNUMBER($C964),$C964,0))+ROW()/10000)</f>
        <v/>
      </c>
      <c r="AI964" s="87">
        <f>IF(AND(ISNUMBER($AG964),$AG964&gt;=1,$AG964&lt;=6,$M964&lt;&gt;"Rejected",$M964&lt;&gt;"Withdrawn"),(10-$AG964)*100000+IF(ISNUMBER($C964),$C964,0)+ROW()/10000,"")</f>
        <v/>
      </c>
    </row>
    <row r="965">
      <c r="A965" s="80" t="n"/>
      <c r="B965" s="81" t="n"/>
      <c r="C965" s="81" t="n"/>
      <c r="D965" s="82" t="n"/>
      <c r="E965" s="82" t="n"/>
      <c r="F965" s="82" t="n"/>
      <c r="G965" s="82" t="n"/>
      <c r="H965" s="82" t="n"/>
      <c r="I965" s="83" t="n"/>
      <c r="J965" s="82" t="n"/>
      <c r="K965" s="84" t="n"/>
      <c r="L965" s="85" t="n"/>
      <c r="M965" s="82" t="n"/>
      <c r="N965" s="86" t="n"/>
      <c r="O965" s="81" t="n"/>
      <c r="P965" s="82" t="n"/>
      <c r="Q965" s="83" t="n"/>
      <c r="R965" s="82" t="n"/>
      <c r="S965" s="84" t="n"/>
      <c r="T965" s="84" t="n"/>
      <c r="U965" s="82" t="n"/>
      <c r="V965" s="86" t="n"/>
      <c r="W965" s="86" t="n"/>
      <c r="X965" s="86" t="n"/>
      <c r="Y965" s="81" t="n"/>
      <c r="Z965" s="82" t="n"/>
      <c r="AA965" s="81" t="n"/>
      <c r="AB965" s="82" t="n"/>
      <c r="AC965" s="87">
        <f>IF(OR($D965="",$M965="Rejected",$M965="Withdrawn",$M965="Accepted"),"",IF(ISNUMBER($O965),IF(INT($O965)&lt;TODAY(),"FOLLOW UP REQUIRED",IF(INT($O965)=TODAY(),"ACTION DUE TODAY",IF(INT($O965)-TODAY()&lt;=Set_DueSoonDays,"DUE SOON",""))),IF(AND($M965="Applied",$AA965=""),IF(ISNUMBER($C965),IF(TODAY()-$C965&gt;=Set_FollowUpDays,"NO RESPONSE",""),""),"")))</f>
        <v/>
      </c>
      <c r="AD965" s="87">
        <f>IF(ISNUMBER($L965),IF($L965&gt;=90,"Excellent Match",IF($L965&gt;=75,"Strong Match",IF($L965&gt;=60,"Moderate Match","Low Match"))),"")</f>
        <v/>
      </c>
      <c r="AE965" s="87">
        <f>IF($D965="","",IF(OR($M965="Rejected",$M965="Withdrawn"),IF($AB965&lt;&gt;"",$AB965,IF(OR($M965="Rejected",ISNUMBER($C965)),"Applied","Wishlist")),IF($M965="",IF(ISNUMBER($C965),"Applied","Wishlist"),$M965)))</f>
        <v/>
      </c>
      <c r="AF965" s="88">
        <f>IF(AND(ISNUMBER($C965),ISNUMBER($AA965)),$AA965-$C965,"")</f>
        <v/>
      </c>
      <c r="AG965" s="87">
        <f>IF($AE965="","",IFERROR(MATCH($AE965,{"Wishlist","Applied","Screening","Interview 1","Interview 2","Final","Offer","Accepted"},0)-1,""))</f>
        <v/>
      </c>
      <c r="AH965" s="87">
        <f>IF($AC965="","",MATCH($AC965,{"FOLLOW UP REQUIRED","ACTION DUE TODAY","NO RESPONSE","DUE SOON"},0)*100000+IF(ISNUMBER($O965),$O965,IF(ISNUMBER($C965),$C965,0))+ROW()/10000)</f>
        <v/>
      </c>
      <c r="AI965" s="87">
        <f>IF(AND(ISNUMBER($AG965),$AG965&gt;=1,$AG965&lt;=6,$M965&lt;&gt;"Rejected",$M965&lt;&gt;"Withdrawn"),(10-$AG965)*100000+IF(ISNUMBER($C965),$C965,0)+ROW()/10000,"")</f>
        <v/>
      </c>
    </row>
    <row r="966">
      <c r="A966" s="80" t="n"/>
      <c r="B966" s="81" t="n"/>
      <c r="C966" s="81" t="n"/>
      <c r="D966" s="82" t="n"/>
      <c r="E966" s="82" t="n"/>
      <c r="F966" s="82" t="n"/>
      <c r="G966" s="82" t="n"/>
      <c r="H966" s="82" t="n"/>
      <c r="I966" s="83" t="n"/>
      <c r="J966" s="82" t="n"/>
      <c r="K966" s="84" t="n"/>
      <c r="L966" s="85" t="n"/>
      <c r="M966" s="82" t="n"/>
      <c r="N966" s="86" t="n"/>
      <c r="O966" s="81" t="n"/>
      <c r="P966" s="82" t="n"/>
      <c r="Q966" s="83" t="n"/>
      <c r="R966" s="82" t="n"/>
      <c r="S966" s="84" t="n"/>
      <c r="T966" s="84" t="n"/>
      <c r="U966" s="82" t="n"/>
      <c r="V966" s="86" t="n"/>
      <c r="W966" s="86" t="n"/>
      <c r="X966" s="86" t="n"/>
      <c r="Y966" s="81" t="n"/>
      <c r="Z966" s="82" t="n"/>
      <c r="AA966" s="81" t="n"/>
      <c r="AB966" s="82" t="n"/>
      <c r="AC966" s="87">
        <f>IF(OR($D966="",$M966="Rejected",$M966="Withdrawn",$M966="Accepted"),"",IF(ISNUMBER($O966),IF(INT($O966)&lt;TODAY(),"FOLLOW UP REQUIRED",IF(INT($O966)=TODAY(),"ACTION DUE TODAY",IF(INT($O966)-TODAY()&lt;=Set_DueSoonDays,"DUE SOON",""))),IF(AND($M966="Applied",$AA966=""),IF(ISNUMBER($C966),IF(TODAY()-$C966&gt;=Set_FollowUpDays,"NO RESPONSE",""),""),"")))</f>
        <v/>
      </c>
      <c r="AD966" s="87">
        <f>IF(ISNUMBER($L966),IF($L966&gt;=90,"Excellent Match",IF($L966&gt;=75,"Strong Match",IF($L966&gt;=60,"Moderate Match","Low Match"))),"")</f>
        <v/>
      </c>
      <c r="AE966" s="87">
        <f>IF($D966="","",IF(OR($M966="Rejected",$M966="Withdrawn"),IF($AB966&lt;&gt;"",$AB966,IF(OR($M966="Rejected",ISNUMBER($C966)),"Applied","Wishlist")),IF($M966="",IF(ISNUMBER($C966),"Applied","Wishlist"),$M966)))</f>
        <v/>
      </c>
      <c r="AF966" s="88">
        <f>IF(AND(ISNUMBER($C966),ISNUMBER($AA966)),$AA966-$C966,"")</f>
        <v/>
      </c>
      <c r="AG966" s="87">
        <f>IF($AE966="","",IFERROR(MATCH($AE966,{"Wishlist","Applied","Screening","Interview 1","Interview 2","Final","Offer","Accepted"},0)-1,""))</f>
        <v/>
      </c>
      <c r="AH966" s="87">
        <f>IF($AC966="","",MATCH($AC966,{"FOLLOW UP REQUIRED","ACTION DUE TODAY","NO RESPONSE","DUE SOON"},0)*100000+IF(ISNUMBER($O966),$O966,IF(ISNUMBER($C966),$C966,0))+ROW()/10000)</f>
        <v/>
      </c>
      <c r="AI966" s="87">
        <f>IF(AND(ISNUMBER($AG966),$AG966&gt;=1,$AG966&lt;=6,$M966&lt;&gt;"Rejected",$M966&lt;&gt;"Withdrawn"),(10-$AG966)*100000+IF(ISNUMBER($C966),$C966,0)+ROW()/10000,"")</f>
        <v/>
      </c>
    </row>
    <row r="967">
      <c r="A967" s="80" t="n"/>
      <c r="B967" s="81" t="n"/>
      <c r="C967" s="81" t="n"/>
      <c r="D967" s="82" t="n"/>
      <c r="E967" s="82" t="n"/>
      <c r="F967" s="82" t="n"/>
      <c r="G967" s="82" t="n"/>
      <c r="H967" s="82" t="n"/>
      <c r="I967" s="83" t="n"/>
      <c r="J967" s="82" t="n"/>
      <c r="K967" s="84" t="n"/>
      <c r="L967" s="85" t="n"/>
      <c r="M967" s="82" t="n"/>
      <c r="N967" s="86" t="n"/>
      <c r="O967" s="81" t="n"/>
      <c r="P967" s="82" t="n"/>
      <c r="Q967" s="83" t="n"/>
      <c r="R967" s="82" t="n"/>
      <c r="S967" s="84" t="n"/>
      <c r="T967" s="84" t="n"/>
      <c r="U967" s="82" t="n"/>
      <c r="V967" s="86" t="n"/>
      <c r="W967" s="86" t="n"/>
      <c r="X967" s="86" t="n"/>
      <c r="Y967" s="81" t="n"/>
      <c r="Z967" s="82" t="n"/>
      <c r="AA967" s="81" t="n"/>
      <c r="AB967" s="82" t="n"/>
      <c r="AC967" s="87">
        <f>IF(OR($D967="",$M967="Rejected",$M967="Withdrawn",$M967="Accepted"),"",IF(ISNUMBER($O967),IF(INT($O967)&lt;TODAY(),"FOLLOW UP REQUIRED",IF(INT($O967)=TODAY(),"ACTION DUE TODAY",IF(INT($O967)-TODAY()&lt;=Set_DueSoonDays,"DUE SOON",""))),IF(AND($M967="Applied",$AA967=""),IF(ISNUMBER($C967),IF(TODAY()-$C967&gt;=Set_FollowUpDays,"NO RESPONSE",""),""),"")))</f>
        <v/>
      </c>
      <c r="AD967" s="87">
        <f>IF(ISNUMBER($L967),IF($L967&gt;=90,"Excellent Match",IF($L967&gt;=75,"Strong Match",IF($L967&gt;=60,"Moderate Match","Low Match"))),"")</f>
        <v/>
      </c>
      <c r="AE967" s="87">
        <f>IF($D967="","",IF(OR($M967="Rejected",$M967="Withdrawn"),IF($AB967&lt;&gt;"",$AB967,IF(OR($M967="Rejected",ISNUMBER($C967)),"Applied","Wishlist")),IF($M967="",IF(ISNUMBER($C967),"Applied","Wishlist"),$M967)))</f>
        <v/>
      </c>
      <c r="AF967" s="88">
        <f>IF(AND(ISNUMBER($C967),ISNUMBER($AA967)),$AA967-$C967,"")</f>
        <v/>
      </c>
      <c r="AG967" s="87">
        <f>IF($AE967="","",IFERROR(MATCH($AE967,{"Wishlist","Applied","Screening","Interview 1","Interview 2","Final","Offer","Accepted"},0)-1,""))</f>
        <v/>
      </c>
      <c r="AH967" s="87">
        <f>IF($AC967="","",MATCH($AC967,{"FOLLOW UP REQUIRED","ACTION DUE TODAY","NO RESPONSE","DUE SOON"},0)*100000+IF(ISNUMBER($O967),$O967,IF(ISNUMBER($C967),$C967,0))+ROW()/10000)</f>
        <v/>
      </c>
      <c r="AI967" s="87">
        <f>IF(AND(ISNUMBER($AG967),$AG967&gt;=1,$AG967&lt;=6,$M967&lt;&gt;"Rejected",$M967&lt;&gt;"Withdrawn"),(10-$AG967)*100000+IF(ISNUMBER($C967),$C967,0)+ROW()/10000,"")</f>
        <v/>
      </c>
    </row>
    <row r="968">
      <c r="A968" s="80" t="n"/>
      <c r="B968" s="81" t="n"/>
      <c r="C968" s="81" t="n"/>
      <c r="D968" s="82" t="n"/>
      <c r="E968" s="82" t="n"/>
      <c r="F968" s="82" t="n"/>
      <c r="G968" s="82" t="n"/>
      <c r="H968" s="82" t="n"/>
      <c r="I968" s="83" t="n"/>
      <c r="J968" s="82" t="n"/>
      <c r="K968" s="84" t="n"/>
      <c r="L968" s="85" t="n"/>
      <c r="M968" s="82" t="n"/>
      <c r="N968" s="86" t="n"/>
      <c r="O968" s="81" t="n"/>
      <c r="P968" s="82" t="n"/>
      <c r="Q968" s="83" t="n"/>
      <c r="R968" s="82" t="n"/>
      <c r="S968" s="84" t="n"/>
      <c r="T968" s="84" t="n"/>
      <c r="U968" s="82" t="n"/>
      <c r="V968" s="86" t="n"/>
      <c r="W968" s="86" t="n"/>
      <c r="X968" s="86" t="n"/>
      <c r="Y968" s="81" t="n"/>
      <c r="Z968" s="82" t="n"/>
      <c r="AA968" s="81" t="n"/>
      <c r="AB968" s="82" t="n"/>
      <c r="AC968" s="87">
        <f>IF(OR($D968="",$M968="Rejected",$M968="Withdrawn",$M968="Accepted"),"",IF(ISNUMBER($O968),IF(INT($O968)&lt;TODAY(),"FOLLOW UP REQUIRED",IF(INT($O968)=TODAY(),"ACTION DUE TODAY",IF(INT($O968)-TODAY()&lt;=Set_DueSoonDays,"DUE SOON",""))),IF(AND($M968="Applied",$AA968=""),IF(ISNUMBER($C968),IF(TODAY()-$C968&gt;=Set_FollowUpDays,"NO RESPONSE",""),""),"")))</f>
        <v/>
      </c>
      <c r="AD968" s="87">
        <f>IF(ISNUMBER($L968),IF($L968&gt;=90,"Excellent Match",IF($L968&gt;=75,"Strong Match",IF($L968&gt;=60,"Moderate Match","Low Match"))),"")</f>
        <v/>
      </c>
      <c r="AE968" s="87">
        <f>IF($D968="","",IF(OR($M968="Rejected",$M968="Withdrawn"),IF($AB968&lt;&gt;"",$AB968,IF(OR($M968="Rejected",ISNUMBER($C968)),"Applied","Wishlist")),IF($M968="",IF(ISNUMBER($C968),"Applied","Wishlist"),$M968)))</f>
        <v/>
      </c>
      <c r="AF968" s="88">
        <f>IF(AND(ISNUMBER($C968),ISNUMBER($AA968)),$AA968-$C968,"")</f>
        <v/>
      </c>
      <c r="AG968" s="87">
        <f>IF($AE968="","",IFERROR(MATCH($AE968,{"Wishlist","Applied","Screening","Interview 1","Interview 2","Final","Offer","Accepted"},0)-1,""))</f>
        <v/>
      </c>
      <c r="AH968" s="87">
        <f>IF($AC968="","",MATCH($AC968,{"FOLLOW UP REQUIRED","ACTION DUE TODAY","NO RESPONSE","DUE SOON"},0)*100000+IF(ISNUMBER($O968),$O968,IF(ISNUMBER($C968),$C968,0))+ROW()/10000)</f>
        <v/>
      </c>
      <c r="AI968" s="87">
        <f>IF(AND(ISNUMBER($AG968),$AG968&gt;=1,$AG968&lt;=6,$M968&lt;&gt;"Rejected",$M968&lt;&gt;"Withdrawn"),(10-$AG968)*100000+IF(ISNUMBER($C968),$C968,0)+ROW()/10000,"")</f>
        <v/>
      </c>
    </row>
    <row r="969">
      <c r="A969" s="80" t="n"/>
      <c r="B969" s="81" t="n"/>
      <c r="C969" s="81" t="n"/>
      <c r="D969" s="82" t="n"/>
      <c r="E969" s="82" t="n"/>
      <c r="F969" s="82" t="n"/>
      <c r="G969" s="82" t="n"/>
      <c r="H969" s="82" t="n"/>
      <c r="I969" s="83" t="n"/>
      <c r="J969" s="82" t="n"/>
      <c r="K969" s="84" t="n"/>
      <c r="L969" s="85" t="n"/>
      <c r="M969" s="82" t="n"/>
      <c r="N969" s="86" t="n"/>
      <c r="O969" s="81" t="n"/>
      <c r="P969" s="82" t="n"/>
      <c r="Q969" s="83" t="n"/>
      <c r="R969" s="82" t="n"/>
      <c r="S969" s="84" t="n"/>
      <c r="T969" s="84" t="n"/>
      <c r="U969" s="82" t="n"/>
      <c r="V969" s="86" t="n"/>
      <c r="W969" s="86" t="n"/>
      <c r="X969" s="86" t="n"/>
      <c r="Y969" s="81" t="n"/>
      <c r="Z969" s="82" t="n"/>
      <c r="AA969" s="81" t="n"/>
      <c r="AB969" s="82" t="n"/>
      <c r="AC969" s="87">
        <f>IF(OR($D969="",$M969="Rejected",$M969="Withdrawn",$M969="Accepted"),"",IF(ISNUMBER($O969),IF(INT($O969)&lt;TODAY(),"FOLLOW UP REQUIRED",IF(INT($O969)=TODAY(),"ACTION DUE TODAY",IF(INT($O969)-TODAY()&lt;=Set_DueSoonDays,"DUE SOON",""))),IF(AND($M969="Applied",$AA969=""),IF(ISNUMBER($C969),IF(TODAY()-$C969&gt;=Set_FollowUpDays,"NO RESPONSE",""),""),"")))</f>
        <v/>
      </c>
      <c r="AD969" s="87">
        <f>IF(ISNUMBER($L969),IF($L969&gt;=90,"Excellent Match",IF($L969&gt;=75,"Strong Match",IF($L969&gt;=60,"Moderate Match","Low Match"))),"")</f>
        <v/>
      </c>
      <c r="AE969" s="87">
        <f>IF($D969="","",IF(OR($M969="Rejected",$M969="Withdrawn"),IF($AB969&lt;&gt;"",$AB969,IF(OR($M969="Rejected",ISNUMBER($C969)),"Applied","Wishlist")),IF($M969="",IF(ISNUMBER($C969),"Applied","Wishlist"),$M969)))</f>
        <v/>
      </c>
      <c r="AF969" s="88">
        <f>IF(AND(ISNUMBER($C969),ISNUMBER($AA969)),$AA969-$C969,"")</f>
        <v/>
      </c>
      <c r="AG969" s="87">
        <f>IF($AE969="","",IFERROR(MATCH($AE969,{"Wishlist","Applied","Screening","Interview 1","Interview 2","Final","Offer","Accepted"},0)-1,""))</f>
        <v/>
      </c>
      <c r="AH969" s="87">
        <f>IF($AC969="","",MATCH($AC969,{"FOLLOW UP REQUIRED","ACTION DUE TODAY","NO RESPONSE","DUE SOON"},0)*100000+IF(ISNUMBER($O969),$O969,IF(ISNUMBER($C969),$C969,0))+ROW()/10000)</f>
        <v/>
      </c>
      <c r="AI969" s="87">
        <f>IF(AND(ISNUMBER($AG969),$AG969&gt;=1,$AG969&lt;=6,$M969&lt;&gt;"Rejected",$M969&lt;&gt;"Withdrawn"),(10-$AG969)*100000+IF(ISNUMBER($C969),$C969,0)+ROW()/10000,"")</f>
        <v/>
      </c>
    </row>
    <row r="970">
      <c r="A970" s="80" t="n"/>
      <c r="B970" s="81" t="n"/>
      <c r="C970" s="81" t="n"/>
      <c r="D970" s="82" t="n"/>
      <c r="E970" s="82" t="n"/>
      <c r="F970" s="82" t="n"/>
      <c r="G970" s="82" t="n"/>
      <c r="H970" s="82" t="n"/>
      <c r="I970" s="83" t="n"/>
      <c r="J970" s="82" t="n"/>
      <c r="K970" s="84" t="n"/>
      <c r="L970" s="85" t="n"/>
      <c r="M970" s="82" t="n"/>
      <c r="N970" s="86" t="n"/>
      <c r="O970" s="81" t="n"/>
      <c r="P970" s="82" t="n"/>
      <c r="Q970" s="83" t="n"/>
      <c r="R970" s="82" t="n"/>
      <c r="S970" s="84" t="n"/>
      <c r="T970" s="84" t="n"/>
      <c r="U970" s="82" t="n"/>
      <c r="V970" s="86" t="n"/>
      <c r="W970" s="86" t="n"/>
      <c r="X970" s="86" t="n"/>
      <c r="Y970" s="81" t="n"/>
      <c r="Z970" s="82" t="n"/>
      <c r="AA970" s="81" t="n"/>
      <c r="AB970" s="82" t="n"/>
      <c r="AC970" s="87">
        <f>IF(OR($D970="",$M970="Rejected",$M970="Withdrawn",$M970="Accepted"),"",IF(ISNUMBER($O970),IF(INT($O970)&lt;TODAY(),"FOLLOW UP REQUIRED",IF(INT($O970)=TODAY(),"ACTION DUE TODAY",IF(INT($O970)-TODAY()&lt;=Set_DueSoonDays,"DUE SOON",""))),IF(AND($M970="Applied",$AA970=""),IF(ISNUMBER($C970),IF(TODAY()-$C970&gt;=Set_FollowUpDays,"NO RESPONSE",""),""),"")))</f>
        <v/>
      </c>
      <c r="AD970" s="87">
        <f>IF(ISNUMBER($L970),IF($L970&gt;=90,"Excellent Match",IF($L970&gt;=75,"Strong Match",IF($L970&gt;=60,"Moderate Match","Low Match"))),"")</f>
        <v/>
      </c>
      <c r="AE970" s="87">
        <f>IF($D970="","",IF(OR($M970="Rejected",$M970="Withdrawn"),IF($AB970&lt;&gt;"",$AB970,IF(OR($M970="Rejected",ISNUMBER($C970)),"Applied","Wishlist")),IF($M970="",IF(ISNUMBER($C970),"Applied","Wishlist"),$M970)))</f>
        <v/>
      </c>
      <c r="AF970" s="88">
        <f>IF(AND(ISNUMBER($C970),ISNUMBER($AA970)),$AA970-$C970,"")</f>
        <v/>
      </c>
      <c r="AG970" s="87">
        <f>IF($AE970="","",IFERROR(MATCH($AE970,{"Wishlist","Applied","Screening","Interview 1","Interview 2","Final","Offer","Accepted"},0)-1,""))</f>
        <v/>
      </c>
      <c r="AH970" s="87">
        <f>IF($AC970="","",MATCH($AC970,{"FOLLOW UP REQUIRED","ACTION DUE TODAY","NO RESPONSE","DUE SOON"},0)*100000+IF(ISNUMBER($O970),$O970,IF(ISNUMBER($C970),$C970,0))+ROW()/10000)</f>
        <v/>
      </c>
      <c r="AI970" s="87">
        <f>IF(AND(ISNUMBER($AG970),$AG970&gt;=1,$AG970&lt;=6,$M970&lt;&gt;"Rejected",$M970&lt;&gt;"Withdrawn"),(10-$AG970)*100000+IF(ISNUMBER($C970),$C970,0)+ROW()/10000,"")</f>
        <v/>
      </c>
    </row>
    <row r="971">
      <c r="A971" s="80" t="n"/>
      <c r="B971" s="81" t="n"/>
      <c r="C971" s="81" t="n"/>
      <c r="D971" s="82" t="n"/>
      <c r="E971" s="82" t="n"/>
      <c r="F971" s="82" t="n"/>
      <c r="G971" s="82" t="n"/>
      <c r="H971" s="82" t="n"/>
      <c r="I971" s="83" t="n"/>
      <c r="J971" s="82" t="n"/>
      <c r="K971" s="84" t="n"/>
      <c r="L971" s="85" t="n"/>
      <c r="M971" s="82" t="n"/>
      <c r="N971" s="86" t="n"/>
      <c r="O971" s="81" t="n"/>
      <c r="P971" s="82" t="n"/>
      <c r="Q971" s="83" t="n"/>
      <c r="R971" s="82" t="n"/>
      <c r="S971" s="84" t="n"/>
      <c r="T971" s="84" t="n"/>
      <c r="U971" s="82" t="n"/>
      <c r="V971" s="86" t="n"/>
      <c r="W971" s="86" t="n"/>
      <c r="X971" s="86" t="n"/>
      <c r="Y971" s="81" t="n"/>
      <c r="Z971" s="82" t="n"/>
      <c r="AA971" s="81" t="n"/>
      <c r="AB971" s="82" t="n"/>
      <c r="AC971" s="87">
        <f>IF(OR($D971="",$M971="Rejected",$M971="Withdrawn",$M971="Accepted"),"",IF(ISNUMBER($O971),IF(INT($O971)&lt;TODAY(),"FOLLOW UP REQUIRED",IF(INT($O971)=TODAY(),"ACTION DUE TODAY",IF(INT($O971)-TODAY()&lt;=Set_DueSoonDays,"DUE SOON",""))),IF(AND($M971="Applied",$AA971=""),IF(ISNUMBER($C971),IF(TODAY()-$C971&gt;=Set_FollowUpDays,"NO RESPONSE",""),""),"")))</f>
        <v/>
      </c>
      <c r="AD971" s="87">
        <f>IF(ISNUMBER($L971),IF($L971&gt;=90,"Excellent Match",IF($L971&gt;=75,"Strong Match",IF($L971&gt;=60,"Moderate Match","Low Match"))),"")</f>
        <v/>
      </c>
      <c r="AE971" s="87">
        <f>IF($D971="","",IF(OR($M971="Rejected",$M971="Withdrawn"),IF($AB971&lt;&gt;"",$AB971,IF(OR($M971="Rejected",ISNUMBER($C971)),"Applied","Wishlist")),IF($M971="",IF(ISNUMBER($C971),"Applied","Wishlist"),$M971)))</f>
        <v/>
      </c>
      <c r="AF971" s="88">
        <f>IF(AND(ISNUMBER($C971),ISNUMBER($AA971)),$AA971-$C971,"")</f>
        <v/>
      </c>
      <c r="AG971" s="87">
        <f>IF($AE971="","",IFERROR(MATCH($AE971,{"Wishlist","Applied","Screening","Interview 1","Interview 2","Final","Offer","Accepted"},0)-1,""))</f>
        <v/>
      </c>
      <c r="AH971" s="87">
        <f>IF($AC971="","",MATCH($AC971,{"FOLLOW UP REQUIRED","ACTION DUE TODAY","NO RESPONSE","DUE SOON"},0)*100000+IF(ISNUMBER($O971),$O971,IF(ISNUMBER($C971),$C971,0))+ROW()/10000)</f>
        <v/>
      </c>
      <c r="AI971" s="87">
        <f>IF(AND(ISNUMBER($AG971),$AG971&gt;=1,$AG971&lt;=6,$M971&lt;&gt;"Rejected",$M971&lt;&gt;"Withdrawn"),(10-$AG971)*100000+IF(ISNUMBER($C971),$C971,0)+ROW()/10000,"")</f>
        <v/>
      </c>
    </row>
    <row r="972">
      <c r="A972" s="80" t="n"/>
      <c r="B972" s="81" t="n"/>
      <c r="C972" s="81" t="n"/>
      <c r="D972" s="82" t="n"/>
      <c r="E972" s="82" t="n"/>
      <c r="F972" s="82" t="n"/>
      <c r="G972" s="82" t="n"/>
      <c r="H972" s="82" t="n"/>
      <c r="I972" s="83" t="n"/>
      <c r="J972" s="82" t="n"/>
      <c r="K972" s="84" t="n"/>
      <c r="L972" s="85" t="n"/>
      <c r="M972" s="82" t="n"/>
      <c r="N972" s="86" t="n"/>
      <c r="O972" s="81" t="n"/>
      <c r="P972" s="82" t="n"/>
      <c r="Q972" s="83" t="n"/>
      <c r="R972" s="82" t="n"/>
      <c r="S972" s="84" t="n"/>
      <c r="T972" s="84" t="n"/>
      <c r="U972" s="82" t="n"/>
      <c r="V972" s="86" t="n"/>
      <c r="W972" s="86" t="n"/>
      <c r="X972" s="86" t="n"/>
      <c r="Y972" s="81" t="n"/>
      <c r="Z972" s="82" t="n"/>
      <c r="AA972" s="81" t="n"/>
      <c r="AB972" s="82" t="n"/>
      <c r="AC972" s="87">
        <f>IF(OR($D972="",$M972="Rejected",$M972="Withdrawn",$M972="Accepted"),"",IF(ISNUMBER($O972),IF(INT($O972)&lt;TODAY(),"FOLLOW UP REQUIRED",IF(INT($O972)=TODAY(),"ACTION DUE TODAY",IF(INT($O972)-TODAY()&lt;=Set_DueSoonDays,"DUE SOON",""))),IF(AND($M972="Applied",$AA972=""),IF(ISNUMBER($C972),IF(TODAY()-$C972&gt;=Set_FollowUpDays,"NO RESPONSE",""),""),"")))</f>
        <v/>
      </c>
      <c r="AD972" s="87">
        <f>IF(ISNUMBER($L972),IF($L972&gt;=90,"Excellent Match",IF($L972&gt;=75,"Strong Match",IF($L972&gt;=60,"Moderate Match","Low Match"))),"")</f>
        <v/>
      </c>
      <c r="AE972" s="87">
        <f>IF($D972="","",IF(OR($M972="Rejected",$M972="Withdrawn"),IF($AB972&lt;&gt;"",$AB972,IF(OR($M972="Rejected",ISNUMBER($C972)),"Applied","Wishlist")),IF($M972="",IF(ISNUMBER($C972),"Applied","Wishlist"),$M972)))</f>
        <v/>
      </c>
      <c r="AF972" s="88">
        <f>IF(AND(ISNUMBER($C972),ISNUMBER($AA972)),$AA972-$C972,"")</f>
        <v/>
      </c>
      <c r="AG972" s="87">
        <f>IF($AE972="","",IFERROR(MATCH($AE972,{"Wishlist","Applied","Screening","Interview 1","Interview 2","Final","Offer","Accepted"},0)-1,""))</f>
        <v/>
      </c>
      <c r="AH972" s="87">
        <f>IF($AC972="","",MATCH($AC972,{"FOLLOW UP REQUIRED","ACTION DUE TODAY","NO RESPONSE","DUE SOON"},0)*100000+IF(ISNUMBER($O972),$O972,IF(ISNUMBER($C972),$C972,0))+ROW()/10000)</f>
        <v/>
      </c>
      <c r="AI972" s="87">
        <f>IF(AND(ISNUMBER($AG972),$AG972&gt;=1,$AG972&lt;=6,$M972&lt;&gt;"Rejected",$M972&lt;&gt;"Withdrawn"),(10-$AG972)*100000+IF(ISNUMBER($C972),$C972,0)+ROW()/10000,"")</f>
        <v/>
      </c>
    </row>
    <row r="973">
      <c r="A973" s="80" t="n"/>
      <c r="B973" s="81" t="n"/>
      <c r="C973" s="81" t="n"/>
      <c r="D973" s="82" t="n"/>
      <c r="E973" s="82" t="n"/>
      <c r="F973" s="82" t="n"/>
      <c r="G973" s="82" t="n"/>
      <c r="H973" s="82" t="n"/>
      <c r="I973" s="83" t="n"/>
      <c r="J973" s="82" t="n"/>
      <c r="K973" s="84" t="n"/>
      <c r="L973" s="85" t="n"/>
      <c r="M973" s="82" t="n"/>
      <c r="N973" s="86" t="n"/>
      <c r="O973" s="81" t="n"/>
      <c r="P973" s="82" t="n"/>
      <c r="Q973" s="83" t="n"/>
      <c r="R973" s="82" t="n"/>
      <c r="S973" s="84" t="n"/>
      <c r="T973" s="84" t="n"/>
      <c r="U973" s="82" t="n"/>
      <c r="V973" s="86" t="n"/>
      <c r="W973" s="86" t="n"/>
      <c r="X973" s="86" t="n"/>
      <c r="Y973" s="81" t="n"/>
      <c r="Z973" s="82" t="n"/>
      <c r="AA973" s="81" t="n"/>
      <c r="AB973" s="82" t="n"/>
      <c r="AC973" s="87">
        <f>IF(OR($D973="",$M973="Rejected",$M973="Withdrawn",$M973="Accepted"),"",IF(ISNUMBER($O973),IF(INT($O973)&lt;TODAY(),"FOLLOW UP REQUIRED",IF(INT($O973)=TODAY(),"ACTION DUE TODAY",IF(INT($O973)-TODAY()&lt;=Set_DueSoonDays,"DUE SOON",""))),IF(AND($M973="Applied",$AA973=""),IF(ISNUMBER($C973),IF(TODAY()-$C973&gt;=Set_FollowUpDays,"NO RESPONSE",""),""),"")))</f>
        <v/>
      </c>
      <c r="AD973" s="87">
        <f>IF(ISNUMBER($L973),IF($L973&gt;=90,"Excellent Match",IF($L973&gt;=75,"Strong Match",IF($L973&gt;=60,"Moderate Match","Low Match"))),"")</f>
        <v/>
      </c>
      <c r="AE973" s="87">
        <f>IF($D973="","",IF(OR($M973="Rejected",$M973="Withdrawn"),IF($AB973&lt;&gt;"",$AB973,IF(OR($M973="Rejected",ISNUMBER($C973)),"Applied","Wishlist")),IF($M973="",IF(ISNUMBER($C973),"Applied","Wishlist"),$M973)))</f>
        <v/>
      </c>
      <c r="AF973" s="88">
        <f>IF(AND(ISNUMBER($C973),ISNUMBER($AA973)),$AA973-$C973,"")</f>
        <v/>
      </c>
      <c r="AG973" s="87">
        <f>IF($AE973="","",IFERROR(MATCH($AE973,{"Wishlist","Applied","Screening","Interview 1","Interview 2","Final","Offer","Accepted"},0)-1,""))</f>
        <v/>
      </c>
      <c r="AH973" s="87">
        <f>IF($AC973="","",MATCH($AC973,{"FOLLOW UP REQUIRED","ACTION DUE TODAY","NO RESPONSE","DUE SOON"},0)*100000+IF(ISNUMBER($O973),$O973,IF(ISNUMBER($C973),$C973,0))+ROW()/10000)</f>
        <v/>
      </c>
      <c r="AI973" s="87">
        <f>IF(AND(ISNUMBER($AG973),$AG973&gt;=1,$AG973&lt;=6,$M973&lt;&gt;"Rejected",$M973&lt;&gt;"Withdrawn"),(10-$AG973)*100000+IF(ISNUMBER($C973),$C973,0)+ROW()/10000,"")</f>
        <v/>
      </c>
    </row>
    <row r="974">
      <c r="A974" s="80" t="n"/>
      <c r="B974" s="81" t="n"/>
      <c r="C974" s="81" t="n"/>
      <c r="D974" s="82" t="n"/>
      <c r="E974" s="82" t="n"/>
      <c r="F974" s="82" t="n"/>
      <c r="G974" s="82" t="n"/>
      <c r="H974" s="82" t="n"/>
      <c r="I974" s="83" t="n"/>
      <c r="J974" s="82" t="n"/>
      <c r="K974" s="84" t="n"/>
      <c r="L974" s="85" t="n"/>
      <c r="M974" s="82" t="n"/>
      <c r="N974" s="86" t="n"/>
      <c r="O974" s="81" t="n"/>
      <c r="P974" s="82" t="n"/>
      <c r="Q974" s="83" t="n"/>
      <c r="R974" s="82" t="n"/>
      <c r="S974" s="84" t="n"/>
      <c r="T974" s="84" t="n"/>
      <c r="U974" s="82" t="n"/>
      <c r="V974" s="86" t="n"/>
      <c r="W974" s="86" t="n"/>
      <c r="X974" s="86" t="n"/>
      <c r="Y974" s="81" t="n"/>
      <c r="Z974" s="82" t="n"/>
      <c r="AA974" s="81" t="n"/>
      <c r="AB974" s="82" t="n"/>
      <c r="AC974" s="87">
        <f>IF(OR($D974="",$M974="Rejected",$M974="Withdrawn",$M974="Accepted"),"",IF(ISNUMBER($O974),IF(INT($O974)&lt;TODAY(),"FOLLOW UP REQUIRED",IF(INT($O974)=TODAY(),"ACTION DUE TODAY",IF(INT($O974)-TODAY()&lt;=Set_DueSoonDays,"DUE SOON",""))),IF(AND($M974="Applied",$AA974=""),IF(ISNUMBER($C974),IF(TODAY()-$C974&gt;=Set_FollowUpDays,"NO RESPONSE",""),""),"")))</f>
        <v/>
      </c>
      <c r="AD974" s="87">
        <f>IF(ISNUMBER($L974),IF($L974&gt;=90,"Excellent Match",IF($L974&gt;=75,"Strong Match",IF($L974&gt;=60,"Moderate Match","Low Match"))),"")</f>
        <v/>
      </c>
      <c r="AE974" s="87">
        <f>IF($D974="","",IF(OR($M974="Rejected",$M974="Withdrawn"),IF($AB974&lt;&gt;"",$AB974,IF(OR($M974="Rejected",ISNUMBER($C974)),"Applied","Wishlist")),IF($M974="",IF(ISNUMBER($C974),"Applied","Wishlist"),$M974)))</f>
        <v/>
      </c>
      <c r="AF974" s="88">
        <f>IF(AND(ISNUMBER($C974),ISNUMBER($AA974)),$AA974-$C974,"")</f>
        <v/>
      </c>
      <c r="AG974" s="87">
        <f>IF($AE974="","",IFERROR(MATCH($AE974,{"Wishlist","Applied","Screening","Interview 1","Interview 2","Final","Offer","Accepted"},0)-1,""))</f>
        <v/>
      </c>
      <c r="AH974" s="87">
        <f>IF($AC974="","",MATCH($AC974,{"FOLLOW UP REQUIRED","ACTION DUE TODAY","NO RESPONSE","DUE SOON"},0)*100000+IF(ISNUMBER($O974),$O974,IF(ISNUMBER($C974),$C974,0))+ROW()/10000)</f>
        <v/>
      </c>
      <c r="AI974" s="87">
        <f>IF(AND(ISNUMBER($AG974),$AG974&gt;=1,$AG974&lt;=6,$M974&lt;&gt;"Rejected",$M974&lt;&gt;"Withdrawn"),(10-$AG974)*100000+IF(ISNUMBER($C974),$C974,0)+ROW()/10000,"")</f>
        <v/>
      </c>
    </row>
    <row r="975">
      <c r="A975" s="80" t="n"/>
      <c r="B975" s="81" t="n"/>
      <c r="C975" s="81" t="n"/>
      <c r="D975" s="82" t="n"/>
      <c r="E975" s="82" t="n"/>
      <c r="F975" s="82" t="n"/>
      <c r="G975" s="82" t="n"/>
      <c r="H975" s="82" t="n"/>
      <c r="I975" s="83" t="n"/>
      <c r="J975" s="82" t="n"/>
      <c r="K975" s="84" t="n"/>
      <c r="L975" s="85" t="n"/>
      <c r="M975" s="82" t="n"/>
      <c r="N975" s="86" t="n"/>
      <c r="O975" s="81" t="n"/>
      <c r="P975" s="82" t="n"/>
      <c r="Q975" s="83" t="n"/>
      <c r="R975" s="82" t="n"/>
      <c r="S975" s="84" t="n"/>
      <c r="T975" s="84" t="n"/>
      <c r="U975" s="82" t="n"/>
      <c r="V975" s="86" t="n"/>
      <c r="W975" s="86" t="n"/>
      <c r="X975" s="86" t="n"/>
      <c r="Y975" s="81" t="n"/>
      <c r="Z975" s="82" t="n"/>
      <c r="AA975" s="81" t="n"/>
      <c r="AB975" s="82" t="n"/>
      <c r="AC975" s="87">
        <f>IF(OR($D975="",$M975="Rejected",$M975="Withdrawn",$M975="Accepted"),"",IF(ISNUMBER($O975),IF(INT($O975)&lt;TODAY(),"FOLLOW UP REQUIRED",IF(INT($O975)=TODAY(),"ACTION DUE TODAY",IF(INT($O975)-TODAY()&lt;=Set_DueSoonDays,"DUE SOON",""))),IF(AND($M975="Applied",$AA975=""),IF(ISNUMBER($C975),IF(TODAY()-$C975&gt;=Set_FollowUpDays,"NO RESPONSE",""),""),"")))</f>
        <v/>
      </c>
      <c r="AD975" s="87">
        <f>IF(ISNUMBER($L975),IF($L975&gt;=90,"Excellent Match",IF($L975&gt;=75,"Strong Match",IF($L975&gt;=60,"Moderate Match","Low Match"))),"")</f>
        <v/>
      </c>
      <c r="AE975" s="87">
        <f>IF($D975="","",IF(OR($M975="Rejected",$M975="Withdrawn"),IF($AB975&lt;&gt;"",$AB975,IF(OR($M975="Rejected",ISNUMBER($C975)),"Applied","Wishlist")),IF($M975="",IF(ISNUMBER($C975),"Applied","Wishlist"),$M975)))</f>
        <v/>
      </c>
      <c r="AF975" s="88">
        <f>IF(AND(ISNUMBER($C975),ISNUMBER($AA975)),$AA975-$C975,"")</f>
        <v/>
      </c>
      <c r="AG975" s="87">
        <f>IF($AE975="","",IFERROR(MATCH($AE975,{"Wishlist","Applied","Screening","Interview 1","Interview 2","Final","Offer","Accepted"},0)-1,""))</f>
        <v/>
      </c>
      <c r="AH975" s="87">
        <f>IF($AC975="","",MATCH($AC975,{"FOLLOW UP REQUIRED","ACTION DUE TODAY","NO RESPONSE","DUE SOON"},0)*100000+IF(ISNUMBER($O975),$O975,IF(ISNUMBER($C975),$C975,0))+ROW()/10000)</f>
        <v/>
      </c>
      <c r="AI975" s="87">
        <f>IF(AND(ISNUMBER($AG975),$AG975&gt;=1,$AG975&lt;=6,$M975&lt;&gt;"Rejected",$M975&lt;&gt;"Withdrawn"),(10-$AG975)*100000+IF(ISNUMBER($C975),$C975,0)+ROW()/10000,"")</f>
        <v/>
      </c>
    </row>
    <row r="976">
      <c r="A976" s="80" t="n"/>
      <c r="B976" s="81" t="n"/>
      <c r="C976" s="81" t="n"/>
      <c r="D976" s="82" t="n"/>
      <c r="E976" s="82" t="n"/>
      <c r="F976" s="82" t="n"/>
      <c r="G976" s="82" t="n"/>
      <c r="H976" s="82" t="n"/>
      <c r="I976" s="83" t="n"/>
      <c r="J976" s="82" t="n"/>
      <c r="K976" s="84" t="n"/>
      <c r="L976" s="85" t="n"/>
      <c r="M976" s="82" t="n"/>
      <c r="N976" s="86" t="n"/>
      <c r="O976" s="81" t="n"/>
      <c r="P976" s="82" t="n"/>
      <c r="Q976" s="83" t="n"/>
      <c r="R976" s="82" t="n"/>
      <c r="S976" s="84" t="n"/>
      <c r="T976" s="84" t="n"/>
      <c r="U976" s="82" t="n"/>
      <c r="V976" s="86" t="n"/>
      <c r="W976" s="86" t="n"/>
      <c r="X976" s="86" t="n"/>
      <c r="Y976" s="81" t="n"/>
      <c r="Z976" s="82" t="n"/>
      <c r="AA976" s="81" t="n"/>
      <c r="AB976" s="82" t="n"/>
      <c r="AC976" s="87">
        <f>IF(OR($D976="",$M976="Rejected",$M976="Withdrawn",$M976="Accepted"),"",IF(ISNUMBER($O976),IF(INT($O976)&lt;TODAY(),"FOLLOW UP REQUIRED",IF(INT($O976)=TODAY(),"ACTION DUE TODAY",IF(INT($O976)-TODAY()&lt;=Set_DueSoonDays,"DUE SOON",""))),IF(AND($M976="Applied",$AA976=""),IF(ISNUMBER($C976),IF(TODAY()-$C976&gt;=Set_FollowUpDays,"NO RESPONSE",""),""),"")))</f>
        <v/>
      </c>
      <c r="AD976" s="87">
        <f>IF(ISNUMBER($L976),IF($L976&gt;=90,"Excellent Match",IF($L976&gt;=75,"Strong Match",IF($L976&gt;=60,"Moderate Match","Low Match"))),"")</f>
        <v/>
      </c>
      <c r="AE976" s="87">
        <f>IF($D976="","",IF(OR($M976="Rejected",$M976="Withdrawn"),IF($AB976&lt;&gt;"",$AB976,IF(OR($M976="Rejected",ISNUMBER($C976)),"Applied","Wishlist")),IF($M976="",IF(ISNUMBER($C976),"Applied","Wishlist"),$M976)))</f>
        <v/>
      </c>
      <c r="AF976" s="88">
        <f>IF(AND(ISNUMBER($C976),ISNUMBER($AA976)),$AA976-$C976,"")</f>
        <v/>
      </c>
      <c r="AG976" s="87">
        <f>IF($AE976="","",IFERROR(MATCH($AE976,{"Wishlist","Applied","Screening","Interview 1","Interview 2","Final","Offer","Accepted"},0)-1,""))</f>
        <v/>
      </c>
      <c r="AH976" s="87">
        <f>IF($AC976="","",MATCH($AC976,{"FOLLOW UP REQUIRED","ACTION DUE TODAY","NO RESPONSE","DUE SOON"},0)*100000+IF(ISNUMBER($O976),$O976,IF(ISNUMBER($C976),$C976,0))+ROW()/10000)</f>
        <v/>
      </c>
      <c r="AI976" s="87">
        <f>IF(AND(ISNUMBER($AG976),$AG976&gt;=1,$AG976&lt;=6,$M976&lt;&gt;"Rejected",$M976&lt;&gt;"Withdrawn"),(10-$AG976)*100000+IF(ISNUMBER($C976),$C976,0)+ROW()/10000,"")</f>
        <v/>
      </c>
    </row>
    <row r="977">
      <c r="A977" s="80" t="n"/>
      <c r="B977" s="81" t="n"/>
      <c r="C977" s="81" t="n"/>
      <c r="D977" s="82" t="n"/>
      <c r="E977" s="82" t="n"/>
      <c r="F977" s="82" t="n"/>
      <c r="G977" s="82" t="n"/>
      <c r="H977" s="82" t="n"/>
      <c r="I977" s="83" t="n"/>
      <c r="J977" s="82" t="n"/>
      <c r="K977" s="84" t="n"/>
      <c r="L977" s="85" t="n"/>
      <c r="M977" s="82" t="n"/>
      <c r="N977" s="86" t="n"/>
      <c r="O977" s="81" t="n"/>
      <c r="P977" s="82" t="n"/>
      <c r="Q977" s="83" t="n"/>
      <c r="R977" s="82" t="n"/>
      <c r="S977" s="84" t="n"/>
      <c r="T977" s="84" t="n"/>
      <c r="U977" s="82" t="n"/>
      <c r="V977" s="86" t="n"/>
      <c r="W977" s="86" t="n"/>
      <c r="X977" s="86" t="n"/>
      <c r="Y977" s="81" t="n"/>
      <c r="Z977" s="82" t="n"/>
      <c r="AA977" s="81" t="n"/>
      <c r="AB977" s="82" t="n"/>
      <c r="AC977" s="87">
        <f>IF(OR($D977="",$M977="Rejected",$M977="Withdrawn",$M977="Accepted"),"",IF(ISNUMBER($O977),IF(INT($O977)&lt;TODAY(),"FOLLOW UP REQUIRED",IF(INT($O977)=TODAY(),"ACTION DUE TODAY",IF(INT($O977)-TODAY()&lt;=Set_DueSoonDays,"DUE SOON",""))),IF(AND($M977="Applied",$AA977=""),IF(ISNUMBER($C977),IF(TODAY()-$C977&gt;=Set_FollowUpDays,"NO RESPONSE",""),""),"")))</f>
        <v/>
      </c>
      <c r="AD977" s="87">
        <f>IF(ISNUMBER($L977),IF($L977&gt;=90,"Excellent Match",IF($L977&gt;=75,"Strong Match",IF($L977&gt;=60,"Moderate Match","Low Match"))),"")</f>
        <v/>
      </c>
      <c r="AE977" s="87">
        <f>IF($D977="","",IF(OR($M977="Rejected",$M977="Withdrawn"),IF($AB977&lt;&gt;"",$AB977,IF(OR($M977="Rejected",ISNUMBER($C977)),"Applied","Wishlist")),IF($M977="",IF(ISNUMBER($C977),"Applied","Wishlist"),$M977)))</f>
        <v/>
      </c>
      <c r="AF977" s="88">
        <f>IF(AND(ISNUMBER($C977),ISNUMBER($AA977)),$AA977-$C977,"")</f>
        <v/>
      </c>
      <c r="AG977" s="87">
        <f>IF($AE977="","",IFERROR(MATCH($AE977,{"Wishlist","Applied","Screening","Interview 1","Interview 2","Final","Offer","Accepted"},0)-1,""))</f>
        <v/>
      </c>
      <c r="AH977" s="87">
        <f>IF($AC977="","",MATCH($AC977,{"FOLLOW UP REQUIRED","ACTION DUE TODAY","NO RESPONSE","DUE SOON"},0)*100000+IF(ISNUMBER($O977),$O977,IF(ISNUMBER($C977),$C977,0))+ROW()/10000)</f>
        <v/>
      </c>
      <c r="AI977" s="87">
        <f>IF(AND(ISNUMBER($AG977),$AG977&gt;=1,$AG977&lt;=6,$M977&lt;&gt;"Rejected",$M977&lt;&gt;"Withdrawn"),(10-$AG977)*100000+IF(ISNUMBER($C977),$C977,0)+ROW()/10000,"")</f>
        <v/>
      </c>
    </row>
    <row r="978">
      <c r="A978" s="80" t="n"/>
      <c r="B978" s="81" t="n"/>
      <c r="C978" s="81" t="n"/>
      <c r="D978" s="82" t="n"/>
      <c r="E978" s="82" t="n"/>
      <c r="F978" s="82" t="n"/>
      <c r="G978" s="82" t="n"/>
      <c r="H978" s="82" t="n"/>
      <c r="I978" s="83" t="n"/>
      <c r="J978" s="82" t="n"/>
      <c r="K978" s="84" t="n"/>
      <c r="L978" s="85" t="n"/>
      <c r="M978" s="82" t="n"/>
      <c r="N978" s="86" t="n"/>
      <c r="O978" s="81" t="n"/>
      <c r="P978" s="82" t="n"/>
      <c r="Q978" s="83" t="n"/>
      <c r="R978" s="82" t="n"/>
      <c r="S978" s="84" t="n"/>
      <c r="T978" s="84" t="n"/>
      <c r="U978" s="82" t="n"/>
      <c r="V978" s="86" t="n"/>
      <c r="W978" s="86" t="n"/>
      <c r="X978" s="86" t="n"/>
      <c r="Y978" s="81" t="n"/>
      <c r="Z978" s="82" t="n"/>
      <c r="AA978" s="81" t="n"/>
      <c r="AB978" s="82" t="n"/>
      <c r="AC978" s="87">
        <f>IF(OR($D978="",$M978="Rejected",$M978="Withdrawn",$M978="Accepted"),"",IF(ISNUMBER($O978),IF(INT($O978)&lt;TODAY(),"FOLLOW UP REQUIRED",IF(INT($O978)=TODAY(),"ACTION DUE TODAY",IF(INT($O978)-TODAY()&lt;=Set_DueSoonDays,"DUE SOON",""))),IF(AND($M978="Applied",$AA978=""),IF(ISNUMBER($C978),IF(TODAY()-$C978&gt;=Set_FollowUpDays,"NO RESPONSE",""),""),"")))</f>
        <v/>
      </c>
      <c r="AD978" s="87">
        <f>IF(ISNUMBER($L978),IF($L978&gt;=90,"Excellent Match",IF($L978&gt;=75,"Strong Match",IF($L978&gt;=60,"Moderate Match","Low Match"))),"")</f>
        <v/>
      </c>
      <c r="AE978" s="87">
        <f>IF($D978="","",IF(OR($M978="Rejected",$M978="Withdrawn"),IF($AB978&lt;&gt;"",$AB978,IF(OR($M978="Rejected",ISNUMBER($C978)),"Applied","Wishlist")),IF($M978="",IF(ISNUMBER($C978),"Applied","Wishlist"),$M978)))</f>
        <v/>
      </c>
      <c r="AF978" s="88">
        <f>IF(AND(ISNUMBER($C978),ISNUMBER($AA978)),$AA978-$C978,"")</f>
        <v/>
      </c>
      <c r="AG978" s="87">
        <f>IF($AE978="","",IFERROR(MATCH($AE978,{"Wishlist","Applied","Screening","Interview 1","Interview 2","Final","Offer","Accepted"},0)-1,""))</f>
        <v/>
      </c>
      <c r="AH978" s="87">
        <f>IF($AC978="","",MATCH($AC978,{"FOLLOW UP REQUIRED","ACTION DUE TODAY","NO RESPONSE","DUE SOON"},0)*100000+IF(ISNUMBER($O978),$O978,IF(ISNUMBER($C978),$C978,0))+ROW()/10000)</f>
        <v/>
      </c>
      <c r="AI978" s="87">
        <f>IF(AND(ISNUMBER($AG978),$AG978&gt;=1,$AG978&lt;=6,$M978&lt;&gt;"Rejected",$M978&lt;&gt;"Withdrawn"),(10-$AG978)*100000+IF(ISNUMBER($C978),$C978,0)+ROW()/10000,"")</f>
        <v/>
      </c>
    </row>
    <row r="979">
      <c r="A979" s="80" t="n"/>
      <c r="B979" s="81" t="n"/>
      <c r="C979" s="81" t="n"/>
      <c r="D979" s="82" t="n"/>
      <c r="E979" s="82" t="n"/>
      <c r="F979" s="82" t="n"/>
      <c r="G979" s="82" t="n"/>
      <c r="H979" s="82" t="n"/>
      <c r="I979" s="83" t="n"/>
      <c r="J979" s="82" t="n"/>
      <c r="K979" s="84" t="n"/>
      <c r="L979" s="85" t="n"/>
      <c r="M979" s="82" t="n"/>
      <c r="N979" s="86" t="n"/>
      <c r="O979" s="81" t="n"/>
      <c r="P979" s="82" t="n"/>
      <c r="Q979" s="83" t="n"/>
      <c r="R979" s="82" t="n"/>
      <c r="S979" s="84" t="n"/>
      <c r="T979" s="84" t="n"/>
      <c r="U979" s="82" t="n"/>
      <c r="V979" s="86" t="n"/>
      <c r="W979" s="86" t="n"/>
      <c r="X979" s="86" t="n"/>
      <c r="Y979" s="81" t="n"/>
      <c r="Z979" s="82" t="n"/>
      <c r="AA979" s="81" t="n"/>
      <c r="AB979" s="82" t="n"/>
      <c r="AC979" s="87">
        <f>IF(OR($D979="",$M979="Rejected",$M979="Withdrawn",$M979="Accepted"),"",IF(ISNUMBER($O979),IF(INT($O979)&lt;TODAY(),"FOLLOW UP REQUIRED",IF(INT($O979)=TODAY(),"ACTION DUE TODAY",IF(INT($O979)-TODAY()&lt;=Set_DueSoonDays,"DUE SOON",""))),IF(AND($M979="Applied",$AA979=""),IF(ISNUMBER($C979),IF(TODAY()-$C979&gt;=Set_FollowUpDays,"NO RESPONSE",""),""),"")))</f>
        <v/>
      </c>
      <c r="AD979" s="87">
        <f>IF(ISNUMBER($L979),IF($L979&gt;=90,"Excellent Match",IF($L979&gt;=75,"Strong Match",IF($L979&gt;=60,"Moderate Match","Low Match"))),"")</f>
        <v/>
      </c>
      <c r="AE979" s="87">
        <f>IF($D979="","",IF(OR($M979="Rejected",$M979="Withdrawn"),IF($AB979&lt;&gt;"",$AB979,IF(OR($M979="Rejected",ISNUMBER($C979)),"Applied","Wishlist")),IF($M979="",IF(ISNUMBER($C979),"Applied","Wishlist"),$M979)))</f>
        <v/>
      </c>
      <c r="AF979" s="88">
        <f>IF(AND(ISNUMBER($C979),ISNUMBER($AA979)),$AA979-$C979,"")</f>
        <v/>
      </c>
      <c r="AG979" s="87">
        <f>IF($AE979="","",IFERROR(MATCH($AE979,{"Wishlist","Applied","Screening","Interview 1","Interview 2","Final","Offer","Accepted"},0)-1,""))</f>
        <v/>
      </c>
      <c r="AH979" s="87">
        <f>IF($AC979="","",MATCH($AC979,{"FOLLOW UP REQUIRED","ACTION DUE TODAY","NO RESPONSE","DUE SOON"},0)*100000+IF(ISNUMBER($O979),$O979,IF(ISNUMBER($C979),$C979,0))+ROW()/10000)</f>
        <v/>
      </c>
      <c r="AI979" s="87">
        <f>IF(AND(ISNUMBER($AG979),$AG979&gt;=1,$AG979&lt;=6,$M979&lt;&gt;"Rejected",$M979&lt;&gt;"Withdrawn"),(10-$AG979)*100000+IF(ISNUMBER($C979),$C979,0)+ROW()/10000,"")</f>
        <v/>
      </c>
    </row>
    <row r="980">
      <c r="A980" s="80" t="n"/>
      <c r="B980" s="81" t="n"/>
      <c r="C980" s="81" t="n"/>
      <c r="D980" s="82" t="n"/>
      <c r="E980" s="82" t="n"/>
      <c r="F980" s="82" t="n"/>
      <c r="G980" s="82" t="n"/>
      <c r="H980" s="82" t="n"/>
      <c r="I980" s="83" t="n"/>
      <c r="J980" s="82" t="n"/>
      <c r="K980" s="84" t="n"/>
      <c r="L980" s="85" t="n"/>
      <c r="M980" s="82" t="n"/>
      <c r="N980" s="86" t="n"/>
      <c r="O980" s="81" t="n"/>
      <c r="P980" s="82" t="n"/>
      <c r="Q980" s="83" t="n"/>
      <c r="R980" s="82" t="n"/>
      <c r="S980" s="84" t="n"/>
      <c r="T980" s="84" t="n"/>
      <c r="U980" s="82" t="n"/>
      <c r="V980" s="86" t="n"/>
      <c r="W980" s="86" t="n"/>
      <c r="X980" s="86" t="n"/>
      <c r="Y980" s="81" t="n"/>
      <c r="Z980" s="82" t="n"/>
      <c r="AA980" s="81" t="n"/>
      <c r="AB980" s="82" t="n"/>
      <c r="AC980" s="87">
        <f>IF(OR($D980="",$M980="Rejected",$M980="Withdrawn",$M980="Accepted"),"",IF(ISNUMBER($O980),IF(INT($O980)&lt;TODAY(),"FOLLOW UP REQUIRED",IF(INT($O980)=TODAY(),"ACTION DUE TODAY",IF(INT($O980)-TODAY()&lt;=Set_DueSoonDays,"DUE SOON",""))),IF(AND($M980="Applied",$AA980=""),IF(ISNUMBER($C980),IF(TODAY()-$C980&gt;=Set_FollowUpDays,"NO RESPONSE",""),""),"")))</f>
        <v/>
      </c>
      <c r="AD980" s="87">
        <f>IF(ISNUMBER($L980),IF($L980&gt;=90,"Excellent Match",IF($L980&gt;=75,"Strong Match",IF($L980&gt;=60,"Moderate Match","Low Match"))),"")</f>
        <v/>
      </c>
      <c r="AE980" s="87">
        <f>IF($D980="","",IF(OR($M980="Rejected",$M980="Withdrawn"),IF($AB980&lt;&gt;"",$AB980,IF(OR($M980="Rejected",ISNUMBER($C980)),"Applied","Wishlist")),IF($M980="",IF(ISNUMBER($C980),"Applied","Wishlist"),$M980)))</f>
        <v/>
      </c>
      <c r="AF980" s="88">
        <f>IF(AND(ISNUMBER($C980),ISNUMBER($AA980)),$AA980-$C980,"")</f>
        <v/>
      </c>
      <c r="AG980" s="87">
        <f>IF($AE980="","",IFERROR(MATCH($AE980,{"Wishlist","Applied","Screening","Interview 1","Interview 2","Final","Offer","Accepted"},0)-1,""))</f>
        <v/>
      </c>
      <c r="AH980" s="87">
        <f>IF($AC980="","",MATCH($AC980,{"FOLLOW UP REQUIRED","ACTION DUE TODAY","NO RESPONSE","DUE SOON"},0)*100000+IF(ISNUMBER($O980),$O980,IF(ISNUMBER($C980),$C980,0))+ROW()/10000)</f>
        <v/>
      </c>
      <c r="AI980" s="87">
        <f>IF(AND(ISNUMBER($AG980),$AG980&gt;=1,$AG980&lt;=6,$M980&lt;&gt;"Rejected",$M980&lt;&gt;"Withdrawn"),(10-$AG980)*100000+IF(ISNUMBER($C980),$C980,0)+ROW()/10000,"")</f>
        <v/>
      </c>
    </row>
    <row r="981">
      <c r="A981" s="80" t="n"/>
      <c r="B981" s="81" t="n"/>
      <c r="C981" s="81" t="n"/>
      <c r="D981" s="82" t="n"/>
      <c r="E981" s="82" t="n"/>
      <c r="F981" s="82" t="n"/>
      <c r="G981" s="82" t="n"/>
      <c r="H981" s="82" t="n"/>
      <c r="I981" s="83" t="n"/>
      <c r="J981" s="82" t="n"/>
      <c r="K981" s="84" t="n"/>
      <c r="L981" s="85" t="n"/>
      <c r="M981" s="82" t="n"/>
      <c r="N981" s="86" t="n"/>
      <c r="O981" s="81" t="n"/>
      <c r="P981" s="82" t="n"/>
      <c r="Q981" s="83" t="n"/>
      <c r="R981" s="82" t="n"/>
      <c r="S981" s="84" t="n"/>
      <c r="T981" s="84" t="n"/>
      <c r="U981" s="82" t="n"/>
      <c r="V981" s="86" t="n"/>
      <c r="W981" s="86" t="n"/>
      <c r="X981" s="86" t="n"/>
      <c r="Y981" s="81" t="n"/>
      <c r="Z981" s="82" t="n"/>
      <c r="AA981" s="81" t="n"/>
      <c r="AB981" s="82" t="n"/>
      <c r="AC981" s="87">
        <f>IF(OR($D981="",$M981="Rejected",$M981="Withdrawn",$M981="Accepted"),"",IF(ISNUMBER($O981),IF(INT($O981)&lt;TODAY(),"FOLLOW UP REQUIRED",IF(INT($O981)=TODAY(),"ACTION DUE TODAY",IF(INT($O981)-TODAY()&lt;=Set_DueSoonDays,"DUE SOON",""))),IF(AND($M981="Applied",$AA981=""),IF(ISNUMBER($C981),IF(TODAY()-$C981&gt;=Set_FollowUpDays,"NO RESPONSE",""),""),"")))</f>
        <v/>
      </c>
      <c r="AD981" s="87">
        <f>IF(ISNUMBER($L981),IF($L981&gt;=90,"Excellent Match",IF($L981&gt;=75,"Strong Match",IF($L981&gt;=60,"Moderate Match","Low Match"))),"")</f>
        <v/>
      </c>
      <c r="AE981" s="87">
        <f>IF($D981="","",IF(OR($M981="Rejected",$M981="Withdrawn"),IF($AB981&lt;&gt;"",$AB981,IF(OR($M981="Rejected",ISNUMBER($C981)),"Applied","Wishlist")),IF($M981="",IF(ISNUMBER($C981),"Applied","Wishlist"),$M981)))</f>
        <v/>
      </c>
      <c r="AF981" s="88">
        <f>IF(AND(ISNUMBER($C981),ISNUMBER($AA981)),$AA981-$C981,"")</f>
        <v/>
      </c>
      <c r="AG981" s="87">
        <f>IF($AE981="","",IFERROR(MATCH($AE981,{"Wishlist","Applied","Screening","Interview 1","Interview 2","Final","Offer","Accepted"},0)-1,""))</f>
        <v/>
      </c>
      <c r="AH981" s="87">
        <f>IF($AC981="","",MATCH($AC981,{"FOLLOW UP REQUIRED","ACTION DUE TODAY","NO RESPONSE","DUE SOON"},0)*100000+IF(ISNUMBER($O981),$O981,IF(ISNUMBER($C981),$C981,0))+ROW()/10000)</f>
        <v/>
      </c>
      <c r="AI981" s="87">
        <f>IF(AND(ISNUMBER($AG981),$AG981&gt;=1,$AG981&lt;=6,$M981&lt;&gt;"Rejected",$M981&lt;&gt;"Withdrawn"),(10-$AG981)*100000+IF(ISNUMBER($C981),$C981,0)+ROW()/10000,"")</f>
        <v/>
      </c>
    </row>
    <row r="982">
      <c r="A982" s="80" t="n"/>
      <c r="B982" s="81" t="n"/>
      <c r="C982" s="81" t="n"/>
      <c r="D982" s="82" t="n"/>
      <c r="E982" s="82" t="n"/>
      <c r="F982" s="82" t="n"/>
      <c r="G982" s="82" t="n"/>
      <c r="H982" s="82" t="n"/>
      <c r="I982" s="83" t="n"/>
      <c r="J982" s="82" t="n"/>
      <c r="K982" s="84" t="n"/>
      <c r="L982" s="85" t="n"/>
      <c r="M982" s="82" t="n"/>
      <c r="N982" s="86" t="n"/>
      <c r="O982" s="81" t="n"/>
      <c r="P982" s="82" t="n"/>
      <c r="Q982" s="83" t="n"/>
      <c r="R982" s="82" t="n"/>
      <c r="S982" s="84" t="n"/>
      <c r="T982" s="84" t="n"/>
      <c r="U982" s="82" t="n"/>
      <c r="V982" s="86" t="n"/>
      <c r="W982" s="86" t="n"/>
      <c r="X982" s="86" t="n"/>
      <c r="Y982" s="81" t="n"/>
      <c r="Z982" s="82" t="n"/>
      <c r="AA982" s="81" t="n"/>
      <c r="AB982" s="82" t="n"/>
      <c r="AC982" s="87">
        <f>IF(OR($D982="",$M982="Rejected",$M982="Withdrawn",$M982="Accepted"),"",IF(ISNUMBER($O982),IF(INT($O982)&lt;TODAY(),"FOLLOW UP REQUIRED",IF(INT($O982)=TODAY(),"ACTION DUE TODAY",IF(INT($O982)-TODAY()&lt;=Set_DueSoonDays,"DUE SOON",""))),IF(AND($M982="Applied",$AA982=""),IF(ISNUMBER($C982),IF(TODAY()-$C982&gt;=Set_FollowUpDays,"NO RESPONSE",""),""),"")))</f>
        <v/>
      </c>
      <c r="AD982" s="87">
        <f>IF(ISNUMBER($L982),IF($L982&gt;=90,"Excellent Match",IF($L982&gt;=75,"Strong Match",IF($L982&gt;=60,"Moderate Match","Low Match"))),"")</f>
        <v/>
      </c>
      <c r="AE982" s="87">
        <f>IF($D982="","",IF(OR($M982="Rejected",$M982="Withdrawn"),IF($AB982&lt;&gt;"",$AB982,IF(OR($M982="Rejected",ISNUMBER($C982)),"Applied","Wishlist")),IF($M982="",IF(ISNUMBER($C982),"Applied","Wishlist"),$M982)))</f>
        <v/>
      </c>
      <c r="AF982" s="88">
        <f>IF(AND(ISNUMBER($C982),ISNUMBER($AA982)),$AA982-$C982,"")</f>
        <v/>
      </c>
      <c r="AG982" s="87">
        <f>IF($AE982="","",IFERROR(MATCH($AE982,{"Wishlist","Applied","Screening","Interview 1","Interview 2","Final","Offer","Accepted"},0)-1,""))</f>
        <v/>
      </c>
      <c r="AH982" s="87">
        <f>IF($AC982="","",MATCH($AC982,{"FOLLOW UP REQUIRED","ACTION DUE TODAY","NO RESPONSE","DUE SOON"},0)*100000+IF(ISNUMBER($O982),$O982,IF(ISNUMBER($C982),$C982,0))+ROW()/10000)</f>
        <v/>
      </c>
      <c r="AI982" s="87">
        <f>IF(AND(ISNUMBER($AG982),$AG982&gt;=1,$AG982&lt;=6,$M982&lt;&gt;"Rejected",$M982&lt;&gt;"Withdrawn"),(10-$AG982)*100000+IF(ISNUMBER($C982),$C982,0)+ROW()/10000,"")</f>
        <v/>
      </c>
    </row>
    <row r="983">
      <c r="A983" s="80" t="n"/>
      <c r="B983" s="81" t="n"/>
      <c r="C983" s="81" t="n"/>
      <c r="D983" s="82" t="n"/>
      <c r="E983" s="82" t="n"/>
      <c r="F983" s="82" t="n"/>
      <c r="G983" s="82" t="n"/>
      <c r="H983" s="82" t="n"/>
      <c r="I983" s="83" t="n"/>
      <c r="J983" s="82" t="n"/>
      <c r="K983" s="84" t="n"/>
      <c r="L983" s="85" t="n"/>
      <c r="M983" s="82" t="n"/>
      <c r="N983" s="86" t="n"/>
      <c r="O983" s="81" t="n"/>
      <c r="P983" s="82" t="n"/>
      <c r="Q983" s="83" t="n"/>
      <c r="R983" s="82" t="n"/>
      <c r="S983" s="84" t="n"/>
      <c r="T983" s="84" t="n"/>
      <c r="U983" s="82" t="n"/>
      <c r="V983" s="86" t="n"/>
      <c r="W983" s="86" t="n"/>
      <c r="X983" s="86" t="n"/>
      <c r="Y983" s="81" t="n"/>
      <c r="Z983" s="82" t="n"/>
      <c r="AA983" s="81" t="n"/>
      <c r="AB983" s="82" t="n"/>
      <c r="AC983" s="87">
        <f>IF(OR($D983="",$M983="Rejected",$M983="Withdrawn",$M983="Accepted"),"",IF(ISNUMBER($O983),IF(INT($O983)&lt;TODAY(),"FOLLOW UP REQUIRED",IF(INT($O983)=TODAY(),"ACTION DUE TODAY",IF(INT($O983)-TODAY()&lt;=Set_DueSoonDays,"DUE SOON",""))),IF(AND($M983="Applied",$AA983=""),IF(ISNUMBER($C983),IF(TODAY()-$C983&gt;=Set_FollowUpDays,"NO RESPONSE",""),""),"")))</f>
        <v/>
      </c>
      <c r="AD983" s="87">
        <f>IF(ISNUMBER($L983),IF($L983&gt;=90,"Excellent Match",IF($L983&gt;=75,"Strong Match",IF($L983&gt;=60,"Moderate Match","Low Match"))),"")</f>
        <v/>
      </c>
      <c r="AE983" s="87">
        <f>IF($D983="","",IF(OR($M983="Rejected",$M983="Withdrawn"),IF($AB983&lt;&gt;"",$AB983,IF(OR($M983="Rejected",ISNUMBER($C983)),"Applied","Wishlist")),IF($M983="",IF(ISNUMBER($C983),"Applied","Wishlist"),$M983)))</f>
        <v/>
      </c>
      <c r="AF983" s="88">
        <f>IF(AND(ISNUMBER($C983),ISNUMBER($AA983)),$AA983-$C983,"")</f>
        <v/>
      </c>
      <c r="AG983" s="87">
        <f>IF($AE983="","",IFERROR(MATCH($AE983,{"Wishlist","Applied","Screening","Interview 1","Interview 2","Final","Offer","Accepted"},0)-1,""))</f>
        <v/>
      </c>
      <c r="AH983" s="87">
        <f>IF($AC983="","",MATCH($AC983,{"FOLLOW UP REQUIRED","ACTION DUE TODAY","NO RESPONSE","DUE SOON"},0)*100000+IF(ISNUMBER($O983),$O983,IF(ISNUMBER($C983),$C983,0))+ROW()/10000)</f>
        <v/>
      </c>
      <c r="AI983" s="87">
        <f>IF(AND(ISNUMBER($AG983),$AG983&gt;=1,$AG983&lt;=6,$M983&lt;&gt;"Rejected",$M983&lt;&gt;"Withdrawn"),(10-$AG983)*100000+IF(ISNUMBER($C983),$C983,0)+ROW()/10000,"")</f>
        <v/>
      </c>
    </row>
    <row r="984">
      <c r="A984" s="80" t="n"/>
      <c r="B984" s="81" t="n"/>
      <c r="C984" s="81" t="n"/>
      <c r="D984" s="82" t="n"/>
      <c r="E984" s="82" t="n"/>
      <c r="F984" s="82" t="n"/>
      <c r="G984" s="82" t="n"/>
      <c r="H984" s="82" t="n"/>
      <c r="I984" s="83" t="n"/>
      <c r="J984" s="82" t="n"/>
      <c r="K984" s="84" t="n"/>
      <c r="L984" s="85" t="n"/>
      <c r="M984" s="82" t="n"/>
      <c r="N984" s="86" t="n"/>
      <c r="O984" s="81" t="n"/>
      <c r="P984" s="82" t="n"/>
      <c r="Q984" s="83" t="n"/>
      <c r="R984" s="82" t="n"/>
      <c r="S984" s="84" t="n"/>
      <c r="T984" s="84" t="n"/>
      <c r="U984" s="82" t="n"/>
      <c r="V984" s="86" t="n"/>
      <c r="W984" s="86" t="n"/>
      <c r="X984" s="86" t="n"/>
      <c r="Y984" s="81" t="n"/>
      <c r="Z984" s="82" t="n"/>
      <c r="AA984" s="81" t="n"/>
      <c r="AB984" s="82" t="n"/>
      <c r="AC984" s="87">
        <f>IF(OR($D984="",$M984="Rejected",$M984="Withdrawn",$M984="Accepted"),"",IF(ISNUMBER($O984),IF(INT($O984)&lt;TODAY(),"FOLLOW UP REQUIRED",IF(INT($O984)=TODAY(),"ACTION DUE TODAY",IF(INT($O984)-TODAY()&lt;=Set_DueSoonDays,"DUE SOON",""))),IF(AND($M984="Applied",$AA984=""),IF(ISNUMBER($C984),IF(TODAY()-$C984&gt;=Set_FollowUpDays,"NO RESPONSE",""),""),"")))</f>
        <v/>
      </c>
      <c r="AD984" s="87">
        <f>IF(ISNUMBER($L984),IF($L984&gt;=90,"Excellent Match",IF($L984&gt;=75,"Strong Match",IF($L984&gt;=60,"Moderate Match","Low Match"))),"")</f>
        <v/>
      </c>
      <c r="AE984" s="87">
        <f>IF($D984="","",IF(OR($M984="Rejected",$M984="Withdrawn"),IF($AB984&lt;&gt;"",$AB984,IF(OR($M984="Rejected",ISNUMBER($C984)),"Applied","Wishlist")),IF($M984="",IF(ISNUMBER($C984),"Applied","Wishlist"),$M984)))</f>
        <v/>
      </c>
      <c r="AF984" s="88">
        <f>IF(AND(ISNUMBER($C984),ISNUMBER($AA984)),$AA984-$C984,"")</f>
        <v/>
      </c>
      <c r="AG984" s="87">
        <f>IF($AE984="","",IFERROR(MATCH($AE984,{"Wishlist","Applied","Screening","Interview 1","Interview 2","Final","Offer","Accepted"},0)-1,""))</f>
        <v/>
      </c>
      <c r="AH984" s="87">
        <f>IF($AC984="","",MATCH($AC984,{"FOLLOW UP REQUIRED","ACTION DUE TODAY","NO RESPONSE","DUE SOON"},0)*100000+IF(ISNUMBER($O984),$O984,IF(ISNUMBER($C984),$C984,0))+ROW()/10000)</f>
        <v/>
      </c>
      <c r="AI984" s="87">
        <f>IF(AND(ISNUMBER($AG984),$AG984&gt;=1,$AG984&lt;=6,$M984&lt;&gt;"Rejected",$M984&lt;&gt;"Withdrawn"),(10-$AG984)*100000+IF(ISNUMBER($C984),$C984,0)+ROW()/10000,"")</f>
        <v/>
      </c>
    </row>
    <row r="985">
      <c r="A985" s="80" t="n"/>
      <c r="B985" s="81" t="n"/>
      <c r="C985" s="81" t="n"/>
      <c r="D985" s="82" t="n"/>
      <c r="E985" s="82" t="n"/>
      <c r="F985" s="82" t="n"/>
      <c r="G985" s="82" t="n"/>
      <c r="H985" s="82" t="n"/>
      <c r="I985" s="83" t="n"/>
      <c r="J985" s="82" t="n"/>
      <c r="K985" s="84" t="n"/>
      <c r="L985" s="85" t="n"/>
      <c r="M985" s="82" t="n"/>
      <c r="N985" s="86" t="n"/>
      <c r="O985" s="81" t="n"/>
      <c r="P985" s="82" t="n"/>
      <c r="Q985" s="83" t="n"/>
      <c r="R985" s="82" t="n"/>
      <c r="S985" s="84" t="n"/>
      <c r="T985" s="84" t="n"/>
      <c r="U985" s="82" t="n"/>
      <c r="V985" s="86" t="n"/>
      <c r="W985" s="86" t="n"/>
      <c r="X985" s="86" t="n"/>
      <c r="Y985" s="81" t="n"/>
      <c r="Z985" s="82" t="n"/>
      <c r="AA985" s="81" t="n"/>
      <c r="AB985" s="82" t="n"/>
      <c r="AC985" s="87">
        <f>IF(OR($D985="",$M985="Rejected",$M985="Withdrawn",$M985="Accepted"),"",IF(ISNUMBER($O985),IF(INT($O985)&lt;TODAY(),"FOLLOW UP REQUIRED",IF(INT($O985)=TODAY(),"ACTION DUE TODAY",IF(INT($O985)-TODAY()&lt;=Set_DueSoonDays,"DUE SOON",""))),IF(AND($M985="Applied",$AA985=""),IF(ISNUMBER($C985),IF(TODAY()-$C985&gt;=Set_FollowUpDays,"NO RESPONSE",""),""),"")))</f>
        <v/>
      </c>
      <c r="AD985" s="87">
        <f>IF(ISNUMBER($L985),IF($L985&gt;=90,"Excellent Match",IF($L985&gt;=75,"Strong Match",IF($L985&gt;=60,"Moderate Match","Low Match"))),"")</f>
        <v/>
      </c>
      <c r="AE985" s="87">
        <f>IF($D985="","",IF(OR($M985="Rejected",$M985="Withdrawn"),IF($AB985&lt;&gt;"",$AB985,IF(OR($M985="Rejected",ISNUMBER($C985)),"Applied","Wishlist")),IF($M985="",IF(ISNUMBER($C985),"Applied","Wishlist"),$M985)))</f>
        <v/>
      </c>
      <c r="AF985" s="88">
        <f>IF(AND(ISNUMBER($C985),ISNUMBER($AA985)),$AA985-$C985,"")</f>
        <v/>
      </c>
      <c r="AG985" s="87">
        <f>IF($AE985="","",IFERROR(MATCH($AE985,{"Wishlist","Applied","Screening","Interview 1","Interview 2","Final","Offer","Accepted"},0)-1,""))</f>
        <v/>
      </c>
      <c r="AH985" s="87">
        <f>IF($AC985="","",MATCH($AC985,{"FOLLOW UP REQUIRED","ACTION DUE TODAY","NO RESPONSE","DUE SOON"},0)*100000+IF(ISNUMBER($O985),$O985,IF(ISNUMBER($C985),$C985,0))+ROW()/10000)</f>
        <v/>
      </c>
      <c r="AI985" s="87">
        <f>IF(AND(ISNUMBER($AG985),$AG985&gt;=1,$AG985&lt;=6,$M985&lt;&gt;"Rejected",$M985&lt;&gt;"Withdrawn"),(10-$AG985)*100000+IF(ISNUMBER($C985),$C985,0)+ROW()/10000,"")</f>
        <v/>
      </c>
    </row>
    <row r="986">
      <c r="A986" s="80" t="n"/>
      <c r="B986" s="81" t="n"/>
      <c r="C986" s="81" t="n"/>
      <c r="D986" s="82" t="n"/>
      <c r="E986" s="82" t="n"/>
      <c r="F986" s="82" t="n"/>
      <c r="G986" s="82" t="n"/>
      <c r="H986" s="82" t="n"/>
      <c r="I986" s="83" t="n"/>
      <c r="J986" s="82" t="n"/>
      <c r="K986" s="84" t="n"/>
      <c r="L986" s="85" t="n"/>
      <c r="M986" s="82" t="n"/>
      <c r="N986" s="86" t="n"/>
      <c r="O986" s="81" t="n"/>
      <c r="P986" s="82" t="n"/>
      <c r="Q986" s="83" t="n"/>
      <c r="R986" s="82" t="n"/>
      <c r="S986" s="84" t="n"/>
      <c r="T986" s="84" t="n"/>
      <c r="U986" s="82" t="n"/>
      <c r="V986" s="86" t="n"/>
      <c r="W986" s="86" t="n"/>
      <c r="X986" s="86" t="n"/>
      <c r="Y986" s="81" t="n"/>
      <c r="Z986" s="82" t="n"/>
      <c r="AA986" s="81" t="n"/>
      <c r="AB986" s="82" t="n"/>
      <c r="AC986" s="87">
        <f>IF(OR($D986="",$M986="Rejected",$M986="Withdrawn",$M986="Accepted"),"",IF(ISNUMBER($O986),IF(INT($O986)&lt;TODAY(),"FOLLOW UP REQUIRED",IF(INT($O986)=TODAY(),"ACTION DUE TODAY",IF(INT($O986)-TODAY()&lt;=Set_DueSoonDays,"DUE SOON",""))),IF(AND($M986="Applied",$AA986=""),IF(ISNUMBER($C986),IF(TODAY()-$C986&gt;=Set_FollowUpDays,"NO RESPONSE",""),""),"")))</f>
        <v/>
      </c>
      <c r="AD986" s="87">
        <f>IF(ISNUMBER($L986),IF($L986&gt;=90,"Excellent Match",IF($L986&gt;=75,"Strong Match",IF($L986&gt;=60,"Moderate Match","Low Match"))),"")</f>
        <v/>
      </c>
      <c r="AE986" s="87">
        <f>IF($D986="","",IF(OR($M986="Rejected",$M986="Withdrawn"),IF($AB986&lt;&gt;"",$AB986,IF(OR($M986="Rejected",ISNUMBER($C986)),"Applied","Wishlist")),IF($M986="",IF(ISNUMBER($C986),"Applied","Wishlist"),$M986)))</f>
        <v/>
      </c>
      <c r="AF986" s="88">
        <f>IF(AND(ISNUMBER($C986),ISNUMBER($AA986)),$AA986-$C986,"")</f>
        <v/>
      </c>
      <c r="AG986" s="87">
        <f>IF($AE986="","",IFERROR(MATCH($AE986,{"Wishlist","Applied","Screening","Interview 1","Interview 2","Final","Offer","Accepted"},0)-1,""))</f>
        <v/>
      </c>
      <c r="AH986" s="87">
        <f>IF($AC986="","",MATCH($AC986,{"FOLLOW UP REQUIRED","ACTION DUE TODAY","NO RESPONSE","DUE SOON"},0)*100000+IF(ISNUMBER($O986),$O986,IF(ISNUMBER($C986),$C986,0))+ROW()/10000)</f>
        <v/>
      </c>
      <c r="AI986" s="87">
        <f>IF(AND(ISNUMBER($AG986),$AG986&gt;=1,$AG986&lt;=6,$M986&lt;&gt;"Rejected",$M986&lt;&gt;"Withdrawn"),(10-$AG986)*100000+IF(ISNUMBER($C986),$C986,0)+ROW()/10000,"")</f>
        <v/>
      </c>
    </row>
    <row r="987">
      <c r="A987" s="80" t="n"/>
      <c r="B987" s="81" t="n"/>
      <c r="C987" s="81" t="n"/>
      <c r="D987" s="82" t="n"/>
      <c r="E987" s="82" t="n"/>
      <c r="F987" s="82" t="n"/>
      <c r="G987" s="82" t="n"/>
      <c r="H987" s="82" t="n"/>
      <c r="I987" s="83" t="n"/>
      <c r="J987" s="82" t="n"/>
      <c r="K987" s="84" t="n"/>
      <c r="L987" s="85" t="n"/>
      <c r="M987" s="82" t="n"/>
      <c r="N987" s="86" t="n"/>
      <c r="O987" s="81" t="n"/>
      <c r="P987" s="82" t="n"/>
      <c r="Q987" s="83" t="n"/>
      <c r="R987" s="82" t="n"/>
      <c r="S987" s="84" t="n"/>
      <c r="T987" s="84" t="n"/>
      <c r="U987" s="82" t="n"/>
      <c r="V987" s="86" t="n"/>
      <c r="W987" s="86" t="n"/>
      <c r="X987" s="86" t="n"/>
      <c r="Y987" s="81" t="n"/>
      <c r="Z987" s="82" t="n"/>
      <c r="AA987" s="81" t="n"/>
      <c r="AB987" s="82" t="n"/>
      <c r="AC987" s="87">
        <f>IF(OR($D987="",$M987="Rejected",$M987="Withdrawn",$M987="Accepted"),"",IF(ISNUMBER($O987),IF(INT($O987)&lt;TODAY(),"FOLLOW UP REQUIRED",IF(INT($O987)=TODAY(),"ACTION DUE TODAY",IF(INT($O987)-TODAY()&lt;=Set_DueSoonDays,"DUE SOON",""))),IF(AND($M987="Applied",$AA987=""),IF(ISNUMBER($C987),IF(TODAY()-$C987&gt;=Set_FollowUpDays,"NO RESPONSE",""),""),"")))</f>
        <v/>
      </c>
      <c r="AD987" s="87">
        <f>IF(ISNUMBER($L987),IF($L987&gt;=90,"Excellent Match",IF($L987&gt;=75,"Strong Match",IF($L987&gt;=60,"Moderate Match","Low Match"))),"")</f>
        <v/>
      </c>
      <c r="AE987" s="87">
        <f>IF($D987="","",IF(OR($M987="Rejected",$M987="Withdrawn"),IF($AB987&lt;&gt;"",$AB987,IF(OR($M987="Rejected",ISNUMBER($C987)),"Applied","Wishlist")),IF($M987="",IF(ISNUMBER($C987),"Applied","Wishlist"),$M987)))</f>
        <v/>
      </c>
      <c r="AF987" s="88">
        <f>IF(AND(ISNUMBER($C987),ISNUMBER($AA987)),$AA987-$C987,"")</f>
        <v/>
      </c>
      <c r="AG987" s="87">
        <f>IF($AE987="","",IFERROR(MATCH($AE987,{"Wishlist","Applied","Screening","Interview 1","Interview 2","Final","Offer","Accepted"},0)-1,""))</f>
        <v/>
      </c>
      <c r="AH987" s="87">
        <f>IF($AC987="","",MATCH($AC987,{"FOLLOW UP REQUIRED","ACTION DUE TODAY","NO RESPONSE","DUE SOON"},0)*100000+IF(ISNUMBER($O987),$O987,IF(ISNUMBER($C987),$C987,0))+ROW()/10000)</f>
        <v/>
      </c>
      <c r="AI987" s="87">
        <f>IF(AND(ISNUMBER($AG987),$AG987&gt;=1,$AG987&lt;=6,$M987&lt;&gt;"Rejected",$M987&lt;&gt;"Withdrawn"),(10-$AG987)*100000+IF(ISNUMBER($C987),$C987,0)+ROW()/10000,"")</f>
        <v/>
      </c>
    </row>
    <row r="988">
      <c r="A988" s="80" t="n"/>
      <c r="B988" s="81" t="n"/>
      <c r="C988" s="81" t="n"/>
      <c r="D988" s="82" t="n"/>
      <c r="E988" s="82" t="n"/>
      <c r="F988" s="82" t="n"/>
      <c r="G988" s="82" t="n"/>
      <c r="H988" s="82" t="n"/>
      <c r="I988" s="83" t="n"/>
      <c r="J988" s="82" t="n"/>
      <c r="K988" s="84" t="n"/>
      <c r="L988" s="85" t="n"/>
      <c r="M988" s="82" t="n"/>
      <c r="N988" s="86" t="n"/>
      <c r="O988" s="81" t="n"/>
      <c r="P988" s="82" t="n"/>
      <c r="Q988" s="83" t="n"/>
      <c r="R988" s="82" t="n"/>
      <c r="S988" s="84" t="n"/>
      <c r="T988" s="84" t="n"/>
      <c r="U988" s="82" t="n"/>
      <c r="V988" s="86" t="n"/>
      <c r="W988" s="86" t="n"/>
      <c r="X988" s="86" t="n"/>
      <c r="Y988" s="81" t="n"/>
      <c r="Z988" s="82" t="n"/>
      <c r="AA988" s="81" t="n"/>
      <c r="AB988" s="82" t="n"/>
      <c r="AC988" s="87">
        <f>IF(OR($D988="",$M988="Rejected",$M988="Withdrawn",$M988="Accepted"),"",IF(ISNUMBER($O988),IF(INT($O988)&lt;TODAY(),"FOLLOW UP REQUIRED",IF(INT($O988)=TODAY(),"ACTION DUE TODAY",IF(INT($O988)-TODAY()&lt;=Set_DueSoonDays,"DUE SOON",""))),IF(AND($M988="Applied",$AA988=""),IF(ISNUMBER($C988),IF(TODAY()-$C988&gt;=Set_FollowUpDays,"NO RESPONSE",""),""),"")))</f>
        <v/>
      </c>
      <c r="AD988" s="87">
        <f>IF(ISNUMBER($L988),IF($L988&gt;=90,"Excellent Match",IF($L988&gt;=75,"Strong Match",IF($L988&gt;=60,"Moderate Match","Low Match"))),"")</f>
        <v/>
      </c>
      <c r="AE988" s="87">
        <f>IF($D988="","",IF(OR($M988="Rejected",$M988="Withdrawn"),IF($AB988&lt;&gt;"",$AB988,IF(OR($M988="Rejected",ISNUMBER($C988)),"Applied","Wishlist")),IF($M988="",IF(ISNUMBER($C988),"Applied","Wishlist"),$M988)))</f>
        <v/>
      </c>
      <c r="AF988" s="88">
        <f>IF(AND(ISNUMBER($C988),ISNUMBER($AA988)),$AA988-$C988,"")</f>
        <v/>
      </c>
      <c r="AG988" s="87">
        <f>IF($AE988="","",IFERROR(MATCH($AE988,{"Wishlist","Applied","Screening","Interview 1","Interview 2","Final","Offer","Accepted"},0)-1,""))</f>
        <v/>
      </c>
      <c r="AH988" s="87">
        <f>IF($AC988="","",MATCH($AC988,{"FOLLOW UP REQUIRED","ACTION DUE TODAY","NO RESPONSE","DUE SOON"},0)*100000+IF(ISNUMBER($O988),$O988,IF(ISNUMBER($C988),$C988,0))+ROW()/10000)</f>
        <v/>
      </c>
      <c r="AI988" s="87">
        <f>IF(AND(ISNUMBER($AG988),$AG988&gt;=1,$AG988&lt;=6,$M988&lt;&gt;"Rejected",$M988&lt;&gt;"Withdrawn"),(10-$AG988)*100000+IF(ISNUMBER($C988),$C988,0)+ROW()/10000,"")</f>
        <v/>
      </c>
    </row>
    <row r="989">
      <c r="A989" s="80" t="n"/>
      <c r="B989" s="81" t="n"/>
      <c r="C989" s="81" t="n"/>
      <c r="D989" s="82" t="n"/>
      <c r="E989" s="82" t="n"/>
      <c r="F989" s="82" t="n"/>
      <c r="G989" s="82" t="n"/>
      <c r="H989" s="82" t="n"/>
      <c r="I989" s="83" t="n"/>
      <c r="J989" s="82" t="n"/>
      <c r="K989" s="84" t="n"/>
      <c r="L989" s="85" t="n"/>
      <c r="M989" s="82" t="n"/>
      <c r="N989" s="86" t="n"/>
      <c r="O989" s="81" t="n"/>
      <c r="P989" s="82" t="n"/>
      <c r="Q989" s="83" t="n"/>
      <c r="R989" s="82" t="n"/>
      <c r="S989" s="84" t="n"/>
      <c r="T989" s="84" t="n"/>
      <c r="U989" s="82" t="n"/>
      <c r="V989" s="86" t="n"/>
      <c r="W989" s="86" t="n"/>
      <c r="X989" s="86" t="n"/>
      <c r="Y989" s="81" t="n"/>
      <c r="Z989" s="82" t="n"/>
      <c r="AA989" s="81" t="n"/>
      <c r="AB989" s="82" t="n"/>
      <c r="AC989" s="87">
        <f>IF(OR($D989="",$M989="Rejected",$M989="Withdrawn",$M989="Accepted"),"",IF(ISNUMBER($O989),IF(INT($O989)&lt;TODAY(),"FOLLOW UP REQUIRED",IF(INT($O989)=TODAY(),"ACTION DUE TODAY",IF(INT($O989)-TODAY()&lt;=Set_DueSoonDays,"DUE SOON",""))),IF(AND($M989="Applied",$AA989=""),IF(ISNUMBER($C989),IF(TODAY()-$C989&gt;=Set_FollowUpDays,"NO RESPONSE",""),""),"")))</f>
        <v/>
      </c>
      <c r="AD989" s="87">
        <f>IF(ISNUMBER($L989),IF($L989&gt;=90,"Excellent Match",IF($L989&gt;=75,"Strong Match",IF($L989&gt;=60,"Moderate Match","Low Match"))),"")</f>
        <v/>
      </c>
      <c r="AE989" s="87">
        <f>IF($D989="","",IF(OR($M989="Rejected",$M989="Withdrawn"),IF($AB989&lt;&gt;"",$AB989,IF(OR($M989="Rejected",ISNUMBER($C989)),"Applied","Wishlist")),IF($M989="",IF(ISNUMBER($C989),"Applied","Wishlist"),$M989)))</f>
        <v/>
      </c>
      <c r="AF989" s="88">
        <f>IF(AND(ISNUMBER($C989),ISNUMBER($AA989)),$AA989-$C989,"")</f>
        <v/>
      </c>
      <c r="AG989" s="87">
        <f>IF($AE989="","",IFERROR(MATCH($AE989,{"Wishlist","Applied","Screening","Interview 1","Interview 2","Final","Offer","Accepted"},0)-1,""))</f>
        <v/>
      </c>
      <c r="AH989" s="87">
        <f>IF($AC989="","",MATCH($AC989,{"FOLLOW UP REQUIRED","ACTION DUE TODAY","NO RESPONSE","DUE SOON"},0)*100000+IF(ISNUMBER($O989),$O989,IF(ISNUMBER($C989),$C989,0))+ROW()/10000)</f>
        <v/>
      </c>
      <c r="AI989" s="87">
        <f>IF(AND(ISNUMBER($AG989),$AG989&gt;=1,$AG989&lt;=6,$M989&lt;&gt;"Rejected",$M989&lt;&gt;"Withdrawn"),(10-$AG989)*100000+IF(ISNUMBER($C989),$C989,0)+ROW()/10000,"")</f>
        <v/>
      </c>
    </row>
    <row r="990">
      <c r="A990" s="80" t="n"/>
      <c r="B990" s="81" t="n"/>
      <c r="C990" s="81" t="n"/>
      <c r="D990" s="82" t="n"/>
      <c r="E990" s="82" t="n"/>
      <c r="F990" s="82" t="n"/>
      <c r="G990" s="82" t="n"/>
      <c r="H990" s="82" t="n"/>
      <c r="I990" s="83" t="n"/>
      <c r="J990" s="82" t="n"/>
      <c r="K990" s="84" t="n"/>
      <c r="L990" s="85" t="n"/>
      <c r="M990" s="82" t="n"/>
      <c r="N990" s="86" t="n"/>
      <c r="O990" s="81" t="n"/>
      <c r="P990" s="82" t="n"/>
      <c r="Q990" s="83" t="n"/>
      <c r="R990" s="82" t="n"/>
      <c r="S990" s="84" t="n"/>
      <c r="T990" s="84" t="n"/>
      <c r="U990" s="82" t="n"/>
      <c r="V990" s="86" t="n"/>
      <c r="W990" s="86" t="n"/>
      <c r="X990" s="86" t="n"/>
      <c r="Y990" s="81" t="n"/>
      <c r="Z990" s="82" t="n"/>
      <c r="AA990" s="81" t="n"/>
      <c r="AB990" s="82" t="n"/>
      <c r="AC990" s="87">
        <f>IF(OR($D990="",$M990="Rejected",$M990="Withdrawn",$M990="Accepted"),"",IF(ISNUMBER($O990),IF(INT($O990)&lt;TODAY(),"FOLLOW UP REQUIRED",IF(INT($O990)=TODAY(),"ACTION DUE TODAY",IF(INT($O990)-TODAY()&lt;=Set_DueSoonDays,"DUE SOON",""))),IF(AND($M990="Applied",$AA990=""),IF(ISNUMBER($C990),IF(TODAY()-$C990&gt;=Set_FollowUpDays,"NO RESPONSE",""),""),"")))</f>
        <v/>
      </c>
      <c r="AD990" s="87">
        <f>IF(ISNUMBER($L990),IF($L990&gt;=90,"Excellent Match",IF($L990&gt;=75,"Strong Match",IF($L990&gt;=60,"Moderate Match","Low Match"))),"")</f>
        <v/>
      </c>
      <c r="AE990" s="87">
        <f>IF($D990="","",IF(OR($M990="Rejected",$M990="Withdrawn"),IF($AB990&lt;&gt;"",$AB990,IF(OR($M990="Rejected",ISNUMBER($C990)),"Applied","Wishlist")),IF($M990="",IF(ISNUMBER($C990),"Applied","Wishlist"),$M990)))</f>
        <v/>
      </c>
      <c r="AF990" s="88">
        <f>IF(AND(ISNUMBER($C990),ISNUMBER($AA990)),$AA990-$C990,"")</f>
        <v/>
      </c>
      <c r="AG990" s="87">
        <f>IF($AE990="","",IFERROR(MATCH($AE990,{"Wishlist","Applied","Screening","Interview 1","Interview 2","Final","Offer","Accepted"},0)-1,""))</f>
        <v/>
      </c>
      <c r="AH990" s="87">
        <f>IF($AC990="","",MATCH($AC990,{"FOLLOW UP REQUIRED","ACTION DUE TODAY","NO RESPONSE","DUE SOON"},0)*100000+IF(ISNUMBER($O990),$O990,IF(ISNUMBER($C990),$C990,0))+ROW()/10000)</f>
        <v/>
      </c>
      <c r="AI990" s="87">
        <f>IF(AND(ISNUMBER($AG990),$AG990&gt;=1,$AG990&lt;=6,$M990&lt;&gt;"Rejected",$M990&lt;&gt;"Withdrawn"),(10-$AG990)*100000+IF(ISNUMBER($C990),$C990,0)+ROW()/10000,"")</f>
        <v/>
      </c>
    </row>
    <row r="991">
      <c r="A991" s="80" t="n"/>
      <c r="B991" s="81" t="n"/>
      <c r="C991" s="81" t="n"/>
      <c r="D991" s="82" t="n"/>
      <c r="E991" s="82" t="n"/>
      <c r="F991" s="82" t="n"/>
      <c r="G991" s="82" t="n"/>
      <c r="H991" s="82" t="n"/>
      <c r="I991" s="83" t="n"/>
      <c r="J991" s="82" t="n"/>
      <c r="K991" s="84" t="n"/>
      <c r="L991" s="85" t="n"/>
      <c r="M991" s="82" t="n"/>
      <c r="N991" s="86" t="n"/>
      <c r="O991" s="81" t="n"/>
      <c r="P991" s="82" t="n"/>
      <c r="Q991" s="83" t="n"/>
      <c r="R991" s="82" t="n"/>
      <c r="S991" s="84" t="n"/>
      <c r="T991" s="84" t="n"/>
      <c r="U991" s="82" t="n"/>
      <c r="V991" s="86" t="n"/>
      <c r="W991" s="86" t="n"/>
      <c r="X991" s="86" t="n"/>
      <c r="Y991" s="81" t="n"/>
      <c r="Z991" s="82" t="n"/>
      <c r="AA991" s="81" t="n"/>
      <c r="AB991" s="82" t="n"/>
      <c r="AC991" s="87">
        <f>IF(OR($D991="",$M991="Rejected",$M991="Withdrawn",$M991="Accepted"),"",IF(ISNUMBER($O991),IF(INT($O991)&lt;TODAY(),"FOLLOW UP REQUIRED",IF(INT($O991)=TODAY(),"ACTION DUE TODAY",IF(INT($O991)-TODAY()&lt;=Set_DueSoonDays,"DUE SOON",""))),IF(AND($M991="Applied",$AA991=""),IF(ISNUMBER($C991),IF(TODAY()-$C991&gt;=Set_FollowUpDays,"NO RESPONSE",""),""),"")))</f>
        <v/>
      </c>
      <c r="AD991" s="87">
        <f>IF(ISNUMBER($L991),IF($L991&gt;=90,"Excellent Match",IF($L991&gt;=75,"Strong Match",IF($L991&gt;=60,"Moderate Match","Low Match"))),"")</f>
        <v/>
      </c>
      <c r="AE991" s="87">
        <f>IF($D991="","",IF(OR($M991="Rejected",$M991="Withdrawn"),IF($AB991&lt;&gt;"",$AB991,IF(OR($M991="Rejected",ISNUMBER($C991)),"Applied","Wishlist")),IF($M991="",IF(ISNUMBER($C991),"Applied","Wishlist"),$M991)))</f>
        <v/>
      </c>
      <c r="AF991" s="88">
        <f>IF(AND(ISNUMBER($C991),ISNUMBER($AA991)),$AA991-$C991,"")</f>
        <v/>
      </c>
      <c r="AG991" s="87">
        <f>IF($AE991="","",IFERROR(MATCH($AE991,{"Wishlist","Applied","Screening","Interview 1","Interview 2","Final","Offer","Accepted"},0)-1,""))</f>
        <v/>
      </c>
      <c r="AH991" s="87">
        <f>IF($AC991="","",MATCH($AC991,{"FOLLOW UP REQUIRED","ACTION DUE TODAY","NO RESPONSE","DUE SOON"},0)*100000+IF(ISNUMBER($O991),$O991,IF(ISNUMBER($C991),$C991,0))+ROW()/10000)</f>
        <v/>
      </c>
      <c r="AI991" s="87">
        <f>IF(AND(ISNUMBER($AG991),$AG991&gt;=1,$AG991&lt;=6,$M991&lt;&gt;"Rejected",$M991&lt;&gt;"Withdrawn"),(10-$AG991)*100000+IF(ISNUMBER($C991),$C991,0)+ROW()/10000,"")</f>
        <v/>
      </c>
    </row>
    <row r="992">
      <c r="A992" s="80" t="n"/>
      <c r="B992" s="81" t="n"/>
      <c r="C992" s="81" t="n"/>
      <c r="D992" s="82" t="n"/>
      <c r="E992" s="82" t="n"/>
      <c r="F992" s="82" t="n"/>
      <c r="G992" s="82" t="n"/>
      <c r="H992" s="82" t="n"/>
      <c r="I992" s="83" t="n"/>
      <c r="J992" s="82" t="n"/>
      <c r="K992" s="84" t="n"/>
      <c r="L992" s="85" t="n"/>
      <c r="M992" s="82" t="n"/>
      <c r="N992" s="86" t="n"/>
      <c r="O992" s="81" t="n"/>
      <c r="P992" s="82" t="n"/>
      <c r="Q992" s="83" t="n"/>
      <c r="R992" s="82" t="n"/>
      <c r="S992" s="84" t="n"/>
      <c r="T992" s="84" t="n"/>
      <c r="U992" s="82" t="n"/>
      <c r="V992" s="86" t="n"/>
      <c r="W992" s="86" t="n"/>
      <c r="X992" s="86" t="n"/>
      <c r="Y992" s="81" t="n"/>
      <c r="Z992" s="82" t="n"/>
      <c r="AA992" s="81" t="n"/>
      <c r="AB992" s="82" t="n"/>
      <c r="AC992" s="87">
        <f>IF(OR($D992="",$M992="Rejected",$M992="Withdrawn",$M992="Accepted"),"",IF(ISNUMBER($O992),IF(INT($O992)&lt;TODAY(),"FOLLOW UP REQUIRED",IF(INT($O992)=TODAY(),"ACTION DUE TODAY",IF(INT($O992)-TODAY()&lt;=Set_DueSoonDays,"DUE SOON",""))),IF(AND($M992="Applied",$AA992=""),IF(ISNUMBER($C992),IF(TODAY()-$C992&gt;=Set_FollowUpDays,"NO RESPONSE",""),""),"")))</f>
        <v/>
      </c>
      <c r="AD992" s="87">
        <f>IF(ISNUMBER($L992),IF($L992&gt;=90,"Excellent Match",IF($L992&gt;=75,"Strong Match",IF($L992&gt;=60,"Moderate Match","Low Match"))),"")</f>
        <v/>
      </c>
      <c r="AE992" s="87">
        <f>IF($D992="","",IF(OR($M992="Rejected",$M992="Withdrawn"),IF($AB992&lt;&gt;"",$AB992,IF(OR($M992="Rejected",ISNUMBER($C992)),"Applied","Wishlist")),IF($M992="",IF(ISNUMBER($C992),"Applied","Wishlist"),$M992)))</f>
        <v/>
      </c>
      <c r="AF992" s="88">
        <f>IF(AND(ISNUMBER($C992),ISNUMBER($AA992)),$AA992-$C992,"")</f>
        <v/>
      </c>
      <c r="AG992" s="87">
        <f>IF($AE992="","",IFERROR(MATCH($AE992,{"Wishlist","Applied","Screening","Interview 1","Interview 2","Final","Offer","Accepted"},0)-1,""))</f>
        <v/>
      </c>
      <c r="AH992" s="87">
        <f>IF($AC992="","",MATCH($AC992,{"FOLLOW UP REQUIRED","ACTION DUE TODAY","NO RESPONSE","DUE SOON"},0)*100000+IF(ISNUMBER($O992),$O992,IF(ISNUMBER($C992),$C992,0))+ROW()/10000)</f>
        <v/>
      </c>
      <c r="AI992" s="87">
        <f>IF(AND(ISNUMBER($AG992),$AG992&gt;=1,$AG992&lt;=6,$M992&lt;&gt;"Rejected",$M992&lt;&gt;"Withdrawn"),(10-$AG992)*100000+IF(ISNUMBER($C992),$C992,0)+ROW()/10000,"")</f>
        <v/>
      </c>
    </row>
    <row r="993">
      <c r="A993" s="80" t="n"/>
      <c r="B993" s="81" t="n"/>
      <c r="C993" s="81" t="n"/>
      <c r="D993" s="82" t="n"/>
      <c r="E993" s="82" t="n"/>
      <c r="F993" s="82" t="n"/>
      <c r="G993" s="82" t="n"/>
      <c r="H993" s="82" t="n"/>
      <c r="I993" s="83" t="n"/>
      <c r="J993" s="82" t="n"/>
      <c r="K993" s="84" t="n"/>
      <c r="L993" s="85" t="n"/>
      <c r="M993" s="82" t="n"/>
      <c r="N993" s="86" t="n"/>
      <c r="O993" s="81" t="n"/>
      <c r="P993" s="82" t="n"/>
      <c r="Q993" s="83" t="n"/>
      <c r="R993" s="82" t="n"/>
      <c r="S993" s="84" t="n"/>
      <c r="T993" s="84" t="n"/>
      <c r="U993" s="82" t="n"/>
      <c r="V993" s="86" t="n"/>
      <c r="W993" s="86" t="n"/>
      <c r="X993" s="86" t="n"/>
      <c r="Y993" s="81" t="n"/>
      <c r="Z993" s="82" t="n"/>
      <c r="AA993" s="81" t="n"/>
      <c r="AB993" s="82" t="n"/>
      <c r="AC993" s="87">
        <f>IF(OR($D993="",$M993="Rejected",$M993="Withdrawn",$M993="Accepted"),"",IF(ISNUMBER($O993),IF(INT($O993)&lt;TODAY(),"FOLLOW UP REQUIRED",IF(INT($O993)=TODAY(),"ACTION DUE TODAY",IF(INT($O993)-TODAY()&lt;=Set_DueSoonDays,"DUE SOON",""))),IF(AND($M993="Applied",$AA993=""),IF(ISNUMBER($C993),IF(TODAY()-$C993&gt;=Set_FollowUpDays,"NO RESPONSE",""),""),"")))</f>
        <v/>
      </c>
      <c r="AD993" s="87">
        <f>IF(ISNUMBER($L993),IF($L993&gt;=90,"Excellent Match",IF($L993&gt;=75,"Strong Match",IF($L993&gt;=60,"Moderate Match","Low Match"))),"")</f>
        <v/>
      </c>
      <c r="AE993" s="87">
        <f>IF($D993="","",IF(OR($M993="Rejected",$M993="Withdrawn"),IF($AB993&lt;&gt;"",$AB993,IF(OR($M993="Rejected",ISNUMBER($C993)),"Applied","Wishlist")),IF($M993="",IF(ISNUMBER($C993),"Applied","Wishlist"),$M993)))</f>
        <v/>
      </c>
      <c r="AF993" s="88">
        <f>IF(AND(ISNUMBER($C993),ISNUMBER($AA993)),$AA993-$C993,"")</f>
        <v/>
      </c>
      <c r="AG993" s="87">
        <f>IF($AE993="","",IFERROR(MATCH($AE993,{"Wishlist","Applied","Screening","Interview 1","Interview 2","Final","Offer","Accepted"},0)-1,""))</f>
        <v/>
      </c>
      <c r="AH993" s="87">
        <f>IF($AC993="","",MATCH($AC993,{"FOLLOW UP REQUIRED","ACTION DUE TODAY","NO RESPONSE","DUE SOON"},0)*100000+IF(ISNUMBER($O993),$O993,IF(ISNUMBER($C993),$C993,0))+ROW()/10000)</f>
        <v/>
      </c>
      <c r="AI993" s="87">
        <f>IF(AND(ISNUMBER($AG993),$AG993&gt;=1,$AG993&lt;=6,$M993&lt;&gt;"Rejected",$M993&lt;&gt;"Withdrawn"),(10-$AG993)*100000+IF(ISNUMBER($C993),$C993,0)+ROW()/10000,"")</f>
        <v/>
      </c>
    </row>
    <row r="994">
      <c r="A994" s="80" t="n"/>
      <c r="B994" s="81" t="n"/>
      <c r="C994" s="81" t="n"/>
      <c r="D994" s="82" t="n"/>
      <c r="E994" s="82" t="n"/>
      <c r="F994" s="82" t="n"/>
      <c r="G994" s="82" t="n"/>
      <c r="H994" s="82" t="n"/>
      <c r="I994" s="83" t="n"/>
      <c r="J994" s="82" t="n"/>
      <c r="K994" s="84" t="n"/>
      <c r="L994" s="85" t="n"/>
      <c r="M994" s="82" t="n"/>
      <c r="N994" s="86" t="n"/>
      <c r="O994" s="81" t="n"/>
      <c r="P994" s="82" t="n"/>
      <c r="Q994" s="83" t="n"/>
      <c r="R994" s="82" t="n"/>
      <c r="S994" s="84" t="n"/>
      <c r="T994" s="84" t="n"/>
      <c r="U994" s="82" t="n"/>
      <c r="V994" s="86" t="n"/>
      <c r="W994" s="86" t="n"/>
      <c r="X994" s="86" t="n"/>
      <c r="Y994" s="81" t="n"/>
      <c r="Z994" s="82" t="n"/>
      <c r="AA994" s="81" t="n"/>
      <c r="AB994" s="82" t="n"/>
      <c r="AC994" s="87">
        <f>IF(OR($D994="",$M994="Rejected",$M994="Withdrawn",$M994="Accepted"),"",IF(ISNUMBER($O994),IF(INT($O994)&lt;TODAY(),"FOLLOW UP REQUIRED",IF(INT($O994)=TODAY(),"ACTION DUE TODAY",IF(INT($O994)-TODAY()&lt;=Set_DueSoonDays,"DUE SOON",""))),IF(AND($M994="Applied",$AA994=""),IF(ISNUMBER($C994),IF(TODAY()-$C994&gt;=Set_FollowUpDays,"NO RESPONSE",""),""),"")))</f>
        <v/>
      </c>
      <c r="AD994" s="87">
        <f>IF(ISNUMBER($L994),IF($L994&gt;=90,"Excellent Match",IF($L994&gt;=75,"Strong Match",IF($L994&gt;=60,"Moderate Match","Low Match"))),"")</f>
        <v/>
      </c>
      <c r="AE994" s="87">
        <f>IF($D994="","",IF(OR($M994="Rejected",$M994="Withdrawn"),IF($AB994&lt;&gt;"",$AB994,IF(OR($M994="Rejected",ISNUMBER($C994)),"Applied","Wishlist")),IF($M994="",IF(ISNUMBER($C994),"Applied","Wishlist"),$M994)))</f>
        <v/>
      </c>
      <c r="AF994" s="88">
        <f>IF(AND(ISNUMBER($C994),ISNUMBER($AA994)),$AA994-$C994,"")</f>
        <v/>
      </c>
      <c r="AG994" s="87">
        <f>IF($AE994="","",IFERROR(MATCH($AE994,{"Wishlist","Applied","Screening","Interview 1","Interview 2","Final","Offer","Accepted"},0)-1,""))</f>
        <v/>
      </c>
      <c r="AH994" s="87">
        <f>IF($AC994="","",MATCH($AC994,{"FOLLOW UP REQUIRED","ACTION DUE TODAY","NO RESPONSE","DUE SOON"},0)*100000+IF(ISNUMBER($O994),$O994,IF(ISNUMBER($C994),$C994,0))+ROW()/10000)</f>
        <v/>
      </c>
      <c r="AI994" s="87">
        <f>IF(AND(ISNUMBER($AG994),$AG994&gt;=1,$AG994&lt;=6,$M994&lt;&gt;"Rejected",$M994&lt;&gt;"Withdrawn"),(10-$AG994)*100000+IF(ISNUMBER($C994),$C994,0)+ROW()/10000,"")</f>
        <v/>
      </c>
    </row>
    <row r="995">
      <c r="A995" s="80" t="n"/>
      <c r="B995" s="81" t="n"/>
      <c r="C995" s="81" t="n"/>
      <c r="D995" s="82" t="n"/>
      <c r="E995" s="82" t="n"/>
      <c r="F995" s="82" t="n"/>
      <c r="G995" s="82" t="n"/>
      <c r="H995" s="82" t="n"/>
      <c r="I995" s="83" t="n"/>
      <c r="J995" s="82" t="n"/>
      <c r="K995" s="84" t="n"/>
      <c r="L995" s="85" t="n"/>
      <c r="M995" s="82" t="n"/>
      <c r="N995" s="86" t="n"/>
      <c r="O995" s="81" t="n"/>
      <c r="P995" s="82" t="n"/>
      <c r="Q995" s="83" t="n"/>
      <c r="R995" s="82" t="n"/>
      <c r="S995" s="84" t="n"/>
      <c r="T995" s="84" t="n"/>
      <c r="U995" s="82" t="n"/>
      <c r="V995" s="86" t="n"/>
      <c r="W995" s="86" t="n"/>
      <c r="X995" s="86" t="n"/>
      <c r="Y995" s="81" t="n"/>
      <c r="Z995" s="82" t="n"/>
      <c r="AA995" s="81" t="n"/>
      <c r="AB995" s="82" t="n"/>
      <c r="AC995" s="87">
        <f>IF(OR($D995="",$M995="Rejected",$M995="Withdrawn",$M995="Accepted"),"",IF(ISNUMBER($O995),IF(INT($O995)&lt;TODAY(),"FOLLOW UP REQUIRED",IF(INT($O995)=TODAY(),"ACTION DUE TODAY",IF(INT($O995)-TODAY()&lt;=Set_DueSoonDays,"DUE SOON",""))),IF(AND($M995="Applied",$AA995=""),IF(ISNUMBER($C995),IF(TODAY()-$C995&gt;=Set_FollowUpDays,"NO RESPONSE",""),""),"")))</f>
        <v/>
      </c>
      <c r="AD995" s="87">
        <f>IF(ISNUMBER($L995),IF($L995&gt;=90,"Excellent Match",IF($L995&gt;=75,"Strong Match",IF($L995&gt;=60,"Moderate Match","Low Match"))),"")</f>
        <v/>
      </c>
      <c r="AE995" s="87">
        <f>IF($D995="","",IF(OR($M995="Rejected",$M995="Withdrawn"),IF($AB995&lt;&gt;"",$AB995,IF(OR($M995="Rejected",ISNUMBER($C995)),"Applied","Wishlist")),IF($M995="",IF(ISNUMBER($C995),"Applied","Wishlist"),$M995)))</f>
        <v/>
      </c>
      <c r="AF995" s="88">
        <f>IF(AND(ISNUMBER($C995),ISNUMBER($AA995)),$AA995-$C995,"")</f>
        <v/>
      </c>
      <c r="AG995" s="87">
        <f>IF($AE995="","",IFERROR(MATCH($AE995,{"Wishlist","Applied","Screening","Interview 1","Interview 2","Final","Offer","Accepted"},0)-1,""))</f>
        <v/>
      </c>
      <c r="AH995" s="87">
        <f>IF($AC995="","",MATCH($AC995,{"FOLLOW UP REQUIRED","ACTION DUE TODAY","NO RESPONSE","DUE SOON"},0)*100000+IF(ISNUMBER($O995),$O995,IF(ISNUMBER($C995),$C995,0))+ROW()/10000)</f>
        <v/>
      </c>
      <c r="AI995" s="87">
        <f>IF(AND(ISNUMBER($AG995),$AG995&gt;=1,$AG995&lt;=6,$M995&lt;&gt;"Rejected",$M995&lt;&gt;"Withdrawn"),(10-$AG995)*100000+IF(ISNUMBER($C995),$C995,0)+ROW()/10000,"")</f>
        <v/>
      </c>
    </row>
    <row r="996">
      <c r="A996" s="80" t="n"/>
      <c r="B996" s="81" t="n"/>
      <c r="C996" s="81" t="n"/>
      <c r="D996" s="82" t="n"/>
      <c r="E996" s="82" t="n"/>
      <c r="F996" s="82" t="n"/>
      <c r="G996" s="82" t="n"/>
      <c r="H996" s="82" t="n"/>
      <c r="I996" s="83" t="n"/>
      <c r="J996" s="82" t="n"/>
      <c r="K996" s="84" t="n"/>
      <c r="L996" s="85" t="n"/>
      <c r="M996" s="82" t="n"/>
      <c r="N996" s="86" t="n"/>
      <c r="O996" s="81" t="n"/>
      <c r="P996" s="82" t="n"/>
      <c r="Q996" s="83" t="n"/>
      <c r="R996" s="82" t="n"/>
      <c r="S996" s="84" t="n"/>
      <c r="T996" s="84" t="n"/>
      <c r="U996" s="82" t="n"/>
      <c r="V996" s="86" t="n"/>
      <c r="W996" s="86" t="n"/>
      <c r="X996" s="86" t="n"/>
      <c r="Y996" s="81" t="n"/>
      <c r="Z996" s="82" t="n"/>
      <c r="AA996" s="81" t="n"/>
      <c r="AB996" s="82" t="n"/>
      <c r="AC996" s="87">
        <f>IF(OR($D996="",$M996="Rejected",$M996="Withdrawn",$M996="Accepted"),"",IF(ISNUMBER($O996),IF(INT($O996)&lt;TODAY(),"FOLLOW UP REQUIRED",IF(INT($O996)=TODAY(),"ACTION DUE TODAY",IF(INT($O996)-TODAY()&lt;=Set_DueSoonDays,"DUE SOON",""))),IF(AND($M996="Applied",$AA996=""),IF(ISNUMBER($C996),IF(TODAY()-$C996&gt;=Set_FollowUpDays,"NO RESPONSE",""),""),"")))</f>
        <v/>
      </c>
      <c r="AD996" s="87">
        <f>IF(ISNUMBER($L996),IF($L996&gt;=90,"Excellent Match",IF($L996&gt;=75,"Strong Match",IF($L996&gt;=60,"Moderate Match","Low Match"))),"")</f>
        <v/>
      </c>
      <c r="AE996" s="87">
        <f>IF($D996="","",IF(OR($M996="Rejected",$M996="Withdrawn"),IF($AB996&lt;&gt;"",$AB996,IF(OR($M996="Rejected",ISNUMBER($C996)),"Applied","Wishlist")),IF($M996="",IF(ISNUMBER($C996),"Applied","Wishlist"),$M996)))</f>
        <v/>
      </c>
      <c r="AF996" s="88">
        <f>IF(AND(ISNUMBER($C996),ISNUMBER($AA996)),$AA996-$C996,"")</f>
        <v/>
      </c>
      <c r="AG996" s="87">
        <f>IF($AE996="","",IFERROR(MATCH($AE996,{"Wishlist","Applied","Screening","Interview 1","Interview 2","Final","Offer","Accepted"},0)-1,""))</f>
        <v/>
      </c>
      <c r="AH996" s="87">
        <f>IF($AC996="","",MATCH($AC996,{"FOLLOW UP REQUIRED","ACTION DUE TODAY","NO RESPONSE","DUE SOON"},0)*100000+IF(ISNUMBER($O996),$O996,IF(ISNUMBER($C996),$C996,0))+ROW()/10000)</f>
        <v/>
      </c>
      <c r="AI996" s="87">
        <f>IF(AND(ISNUMBER($AG996),$AG996&gt;=1,$AG996&lt;=6,$M996&lt;&gt;"Rejected",$M996&lt;&gt;"Withdrawn"),(10-$AG996)*100000+IF(ISNUMBER($C996),$C996,0)+ROW()/10000,"")</f>
        <v/>
      </c>
    </row>
    <row r="997">
      <c r="A997" s="80" t="n"/>
      <c r="B997" s="81" t="n"/>
      <c r="C997" s="81" t="n"/>
      <c r="D997" s="82" t="n"/>
      <c r="E997" s="82" t="n"/>
      <c r="F997" s="82" t="n"/>
      <c r="G997" s="82" t="n"/>
      <c r="H997" s="82" t="n"/>
      <c r="I997" s="83" t="n"/>
      <c r="J997" s="82" t="n"/>
      <c r="K997" s="84" t="n"/>
      <c r="L997" s="85" t="n"/>
      <c r="M997" s="82" t="n"/>
      <c r="N997" s="86" t="n"/>
      <c r="O997" s="81" t="n"/>
      <c r="P997" s="82" t="n"/>
      <c r="Q997" s="83" t="n"/>
      <c r="R997" s="82" t="n"/>
      <c r="S997" s="84" t="n"/>
      <c r="T997" s="84" t="n"/>
      <c r="U997" s="82" t="n"/>
      <c r="V997" s="86" t="n"/>
      <c r="W997" s="86" t="n"/>
      <c r="X997" s="86" t="n"/>
      <c r="Y997" s="81" t="n"/>
      <c r="Z997" s="82" t="n"/>
      <c r="AA997" s="81" t="n"/>
      <c r="AB997" s="82" t="n"/>
      <c r="AC997" s="87">
        <f>IF(OR($D997="",$M997="Rejected",$M997="Withdrawn",$M997="Accepted"),"",IF(ISNUMBER($O997),IF(INT($O997)&lt;TODAY(),"FOLLOW UP REQUIRED",IF(INT($O997)=TODAY(),"ACTION DUE TODAY",IF(INT($O997)-TODAY()&lt;=Set_DueSoonDays,"DUE SOON",""))),IF(AND($M997="Applied",$AA997=""),IF(ISNUMBER($C997),IF(TODAY()-$C997&gt;=Set_FollowUpDays,"NO RESPONSE",""),""),"")))</f>
        <v/>
      </c>
      <c r="AD997" s="87">
        <f>IF(ISNUMBER($L997),IF($L997&gt;=90,"Excellent Match",IF($L997&gt;=75,"Strong Match",IF($L997&gt;=60,"Moderate Match","Low Match"))),"")</f>
        <v/>
      </c>
      <c r="AE997" s="87">
        <f>IF($D997="","",IF(OR($M997="Rejected",$M997="Withdrawn"),IF($AB997&lt;&gt;"",$AB997,IF(OR($M997="Rejected",ISNUMBER($C997)),"Applied","Wishlist")),IF($M997="",IF(ISNUMBER($C997),"Applied","Wishlist"),$M997)))</f>
        <v/>
      </c>
      <c r="AF997" s="88">
        <f>IF(AND(ISNUMBER($C997),ISNUMBER($AA997)),$AA997-$C997,"")</f>
        <v/>
      </c>
      <c r="AG997" s="87">
        <f>IF($AE997="","",IFERROR(MATCH($AE997,{"Wishlist","Applied","Screening","Interview 1","Interview 2","Final","Offer","Accepted"},0)-1,""))</f>
        <v/>
      </c>
      <c r="AH997" s="87">
        <f>IF($AC997="","",MATCH($AC997,{"FOLLOW UP REQUIRED","ACTION DUE TODAY","NO RESPONSE","DUE SOON"},0)*100000+IF(ISNUMBER($O997),$O997,IF(ISNUMBER($C997),$C997,0))+ROW()/10000)</f>
        <v/>
      </c>
      <c r="AI997" s="87">
        <f>IF(AND(ISNUMBER($AG997),$AG997&gt;=1,$AG997&lt;=6,$M997&lt;&gt;"Rejected",$M997&lt;&gt;"Withdrawn"),(10-$AG997)*100000+IF(ISNUMBER($C997),$C997,0)+ROW()/10000,"")</f>
        <v/>
      </c>
    </row>
    <row r="998">
      <c r="A998" s="80" t="n"/>
      <c r="B998" s="81" t="n"/>
      <c r="C998" s="81" t="n"/>
      <c r="D998" s="82" t="n"/>
      <c r="E998" s="82" t="n"/>
      <c r="F998" s="82" t="n"/>
      <c r="G998" s="82" t="n"/>
      <c r="H998" s="82" t="n"/>
      <c r="I998" s="83" t="n"/>
      <c r="J998" s="82" t="n"/>
      <c r="K998" s="84" t="n"/>
      <c r="L998" s="85" t="n"/>
      <c r="M998" s="82" t="n"/>
      <c r="N998" s="86" t="n"/>
      <c r="O998" s="81" t="n"/>
      <c r="P998" s="82" t="n"/>
      <c r="Q998" s="83" t="n"/>
      <c r="R998" s="82" t="n"/>
      <c r="S998" s="84" t="n"/>
      <c r="T998" s="84" t="n"/>
      <c r="U998" s="82" t="n"/>
      <c r="V998" s="86" t="n"/>
      <c r="W998" s="86" t="n"/>
      <c r="X998" s="86" t="n"/>
      <c r="Y998" s="81" t="n"/>
      <c r="Z998" s="82" t="n"/>
      <c r="AA998" s="81" t="n"/>
      <c r="AB998" s="82" t="n"/>
      <c r="AC998" s="87">
        <f>IF(OR($D998="",$M998="Rejected",$M998="Withdrawn",$M998="Accepted"),"",IF(ISNUMBER($O998),IF(INT($O998)&lt;TODAY(),"FOLLOW UP REQUIRED",IF(INT($O998)=TODAY(),"ACTION DUE TODAY",IF(INT($O998)-TODAY()&lt;=Set_DueSoonDays,"DUE SOON",""))),IF(AND($M998="Applied",$AA998=""),IF(ISNUMBER($C998),IF(TODAY()-$C998&gt;=Set_FollowUpDays,"NO RESPONSE",""),""),"")))</f>
        <v/>
      </c>
      <c r="AD998" s="87">
        <f>IF(ISNUMBER($L998),IF($L998&gt;=90,"Excellent Match",IF($L998&gt;=75,"Strong Match",IF($L998&gt;=60,"Moderate Match","Low Match"))),"")</f>
        <v/>
      </c>
      <c r="AE998" s="87">
        <f>IF($D998="","",IF(OR($M998="Rejected",$M998="Withdrawn"),IF($AB998&lt;&gt;"",$AB998,IF(OR($M998="Rejected",ISNUMBER($C998)),"Applied","Wishlist")),IF($M998="",IF(ISNUMBER($C998),"Applied","Wishlist"),$M998)))</f>
        <v/>
      </c>
      <c r="AF998" s="88">
        <f>IF(AND(ISNUMBER($C998),ISNUMBER($AA998)),$AA998-$C998,"")</f>
        <v/>
      </c>
      <c r="AG998" s="87">
        <f>IF($AE998="","",IFERROR(MATCH($AE998,{"Wishlist","Applied","Screening","Interview 1","Interview 2","Final","Offer","Accepted"},0)-1,""))</f>
        <v/>
      </c>
      <c r="AH998" s="87">
        <f>IF($AC998="","",MATCH($AC998,{"FOLLOW UP REQUIRED","ACTION DUE TODAY","NO RESPONSE","DUE SOON"},0)*100000+IF(ISNUMBER($O998),$O998,IF(ISNUMBER($C998),$C998,0))+ROW()/10000)</f>
        <v/>
      </c>
      <c r="AI998" s="87">
        <f>IF(AND(ISNUMBER($AG998),$AG998&gt;=1,$AG998&lt;=6,$M998&lt;&gt;"Rejected",$M998&lt;&gt;"Withdrawn"),(10-$AG998)*100000+IF(ISNUMBER($C998),$C998,0)+ROW()/10000,"")</f>
        <v/>
      </c>
    </row>
    <row r="999">
      <c r="A999" s="80" t="n"/>
      <c r="B999" s="81" t="n"/>
      <c r="C999" s="81" t="n"/>
      <c r="D999" s="82" t="n"/>
      <c r="E999" s="82" t="n"/>
      <c r="F999" s="82" t="n"/>
      <c r="G999" s="82" t="n"/>
      <c r="H999" s="82" t="n"/>
      <c r="I999" s="83" t="n"/>
      <c r="J999" s="82" t="n"/>
      <c r="K999" s="84" t="n"/>
      <c r="L999" s="85" t="n"/>
      <c r="M999" s="82" t="n"/>
      <c r="N999" s="86" t="n"/>
      <c r="O999" s="81" t="n"/>
      <c r="P999" s="82" t="n"/>
      <c r="Q999" s="83" t="n"/>
      <c r="R999" s="82" t="n"/>
      <c r="S999" s="84" t="n"/>
      <c r="T999" s="84" t="n"/>
      <c r="U999" s="82" t="n"/>
      <c r="V999" s="86" t="n"/>
      <c r="W999" s="86" t="n"/>
      <c r="X999" s="86" t="n"/>
      <c r="Y999" s="81" t="n"/>
      <c r="Z999" s="82" t="n"/>
      <c r="AA999" s="81" t="n"/>
      <c r="AB999" s="82" t="n"/>
      <c r="AC999" s="87">
        <f>IF(OR($D999="",$M999="Rejected",$M999="Withdrawn",$M999="Accepted"),"",IF(ISNUMBER($O999),IF(INT($O999)&lt;TODAY(),"FOLLOW UP REQUIRED",IF(INT($O999)=TODAY(),"ACTION DUE TODAY",IF(INT($O999)-TODAY()&lt;=Set_DueSoonDays,"DUE SOON",""))),IF(AND($M999="Applied",$AA999=""),IF(ISNUMBER($C999),IF(TODAY()-$C999&gt;=Set_FollowUpDays,"NO RESPONSE",""),""),"")))</f>
        <v/>
      </c>
      <c r="AD999" s="87">
        <f>IF(ISNUMBER($L999),IF($L999&gt;=90,"Excellent Match",IF($L999&gt;=75,"Strong Match",IF($L999&gt;=60,"Moderate Match","Low Match"))),"")</f>
        <v/>
      </c>
      <c r="AE999" s="87">
        <f>IF($D999="","",IF(OR($M999="Rejected",$M999="Withdrawn"),IF($AB999&lt;&gt;"",$AB999,IF(OR($M999="Rejected",ISNUMBER($C999)),"Applied","Wishlist")),IF($M999="",IF(ISNUMBER($C999),"Applied","Wishlist"),$M999)))</f>
        <v/>
      </c>
      <c r="AF999" s="88">
        <f>IF(AND(ISNUMBER($C999),ISNUMBER($AA999)),$AA999-$C999,"")</f>
        <v/>
      </c>
      <c r="AG999" s="87">
        <f>IF($AE999="","",IFERROR(MATCH($AE999,{"Wishlist","Applied","Screening","Interview 1","Interview 2","Final","Offer","Accepted"},0)-1,""))</f>
        <v/>
      </c>
      <c r="AH999" s="87">
        <f>IF($AC999="","",MATCH($AC999,{"FOLLOW UP REQUIRED","ACTION DUE TODAY","NO RESPONSE","DUE SOON"},0)*100000+IF(ISNUMBER($O999),$O999,IF(ISNUMBER($C999),$C999,0))+ROW()/10000)</f>
        <v/>
      </c>
      <c r="AI999" s="87">
        <f>IF(AND(ISNUMBER($AG999),$AG999&gt;=1,$AG999&lt;=6,$M999&lt;&gt;"Rejected",$M999&lt;&gt;"Withdrawn"),(10-$AG999)*100000+IF(ISNUMBER($C999),$C999,0)+ROW()/10000,"")</f>
        <v/>
      </c>
    </row>
    <row r="1000">
      <c r="A1000" s="80" t="n"/>
      <c r="B1000" s="81" t="n"/>
      <c r="C1000" s="81" t="n"/>
      <c r="D1000" s="82" t="n"/>
      <c r="E1000" s="82" t="n"/>
      <c r="F1000" s="82" t="n"/>
      <c r="G1000" s="82" t="n"/>
      <c r="H1000" s="82" t="n"/>
      <c r="I1000" s="83" t="n"/>
      <c r="J1000" s="82" t="n"/>
      <c r="K1000" s="84" t="n"/>
      <c r="L1000" s="85" t="n"/>
      <c r="M1000" s="82" t="n"/>
      <c r="N1000" s="86" t="n"/>
      <c r="O1000" s="81" t="n"/>
      <c r="P1000" s="82" t="n"/>
      <c r="Q1000" s="83" t="n"/>
      <c r="R1000" s="82" t="n"/>
      <c r="S1000" s="84" t="n"/>
      <c r="T1000" s="84" t="n"/>
      <c r="U1000" s="82" t="n"/>
      <c r="V1000" s="86" t="n"/>
      <c r="W1000" s="86" t="n"/>
      <c r="X1000" s="86" t="n"/>
      <c r="Y1000" s="81" t="n"/>
      <c r="Z1000" s="82" t="n"/>
      <c r="AA1000" s="81" t="n"/>
      <c r="AB1000" s="82" t="n"/>
      <c r="AC1000" s="87">
        <f>IF(OR($D1000="",$M1000="Rejected",$M1000="Withdrawn",$M1000="Accepted"),"",IF(ISNUMBER($O1000),IF(INT($O1000)&lt;TODAY(),"FOLLOW UP REQUIRED",IF(INT($O1000)=TODAY(),"ACTION DUE TODAY",IF(INT($O1000)-TODAY()&lt;=Set_DueSoonDays,"DUE SOON",""))),IF(AND($M1000="Applied",$AA1000=""),IF(ISNUMBER($C1000),IF(TODAY()-$C1000&gt;=Set_FollowUpDays,"NO RESPONSE",""),""),"")))</f>
        <v/>
      </c>
      <c r="AD1000" s="87">
        <f>IF(ISNUMBER($L1000),IF($L1000&gt;=90,"Excellent Match",IF($L1000&gt;=75,"Strong Match",IF($L1000&gt;=60,"Moderate Match","Low Match"))),"")</f>
        <v/>
      </c>
      <c r="AE1000" s="87">
        <f>IF($D1000="","",IF(OR($M1000="Rejected",$M1000="Withdrawn"),IF($AB1000&lt;&gt;"",$AB1000,IF(OR($M1000="Rejected",ISNUMBER($C1000)),"Applied","Wishlist")),IF($M1000="",IF(ISNUMBER($C1000),"Applied","Wishlist"),$M1000)))</f>
        <v/>
      </c>
      <c r="AF1000" s="88">
        <f>IF(AND(ISNUMBER($C1000),ISNUMBER($AA1000)),$AA1000-$C1000,"")</f>
        <v/>
      </c>
      <c r="AG1000" s="87">
        <f>IF($AE1000="","",IFERROR(MATCH($AE1000,{"Wishlist","Applied","Screening","Interview 1","Interview 2","Final","Offer","Accepted"},0)-1,""))</f>
        <v/>
      </c>
      <c r="AH1000" s="87">
        <f>IF($AC1000="","",MATCH($AC1000,{"FOLLOW UP REQUIRED","ACTION DUE TODAY","NO RESPONSE","DUE SOON"},0)*100000+IF(ISNUMBER($O1000),$O1000,IF(ISNUMBER($C1000),$C1000,0))+ROW()/10000)</f>
        <v/>
      </c>
      <c r="AI1000" s="87">
        <f>IF(AND(ISNUMBER($AG1000),$AG1000&gt;=1,$AG1000&lt;=6,$M1000&lt;&gt;"Rejected",$M1000&lt;&gt;"Withdrawn"),(10-$AG1000)*100000+IF(ISNUMBER($C1000),$C1000,0)+ROW()/10000,"")</f>
        <v/>
      </c>
    </row>
    <row r="1001">
      <c r="A1001" s="80" t="n"/>
      <c r="B1001" s="81" t="n"/>
      <c r="C1001" s="81" t="n"/>
      <c r="D1001" s="82" t="n"/>
      <c r="E1001" s="82" t="n"/>
      <c r="F1001" s="82" t="n"/>
      <c r="G1001" s="82" t="n"/>
      <c r="H1001" s="82" t="n"/>
      <c r="I1001" s="83" t="n"/>
      <c r="J1001" s="82" t="n"/>
      <c r="K1001" s="84" t="n"/>
      <c r="L1001" s="85" t="n"/>
      <c r="M1001" s="82" t="n"/>
      <c r="N1001" s="86" t="n"/>
      <c r="O1001" s="81" t="n"/>
      <c r="P1001" s="82" t="n"/>
      <c r="Q1001" s="83" t="n"/>
      <c r="R1001" s="82" t="n"/>
      <c r="S1001" s="84" t="n"/>
      <c r="T1001" s="84" t="n"/>
      <c r="U1001" s="82" t="n"/>
      <c r="V1001" s="86" t="n"/>
      <c r="W1001" s="86" t="n"/>
      <c r="X1001" s="86" t="n"/>
      <c r="Y1001" s="81" t="n"/>
      <c r="Z1001" s="82" t="n"/>
      <c r="AA1001" s="81" t="n"/>
      <c r="AB1001" s="82" t="n"/>
      <c r="AC1001" s="87">
        <f>IF(OR($D1001="",$M1001="Rejected",$M1001="Withdrawn",$M1001="Accepted"),"",IF(ISNUMBER($O1001),IF(INT($O1001)&lt;TODAY(),"FOLLOW UP REQUIRED",IF(INT($O1001)=TODAY(),"ACTION DUE TODAY",IF(INT($O1001)-TODAY()&lt;=Set_DueSoonDays,"DUE SOON",""))),IF(AND($M1001="Applied",$AA1001=""),IF(ISNUMBER($C1001),IF(TODAY()-$C1001&gt;=Set_FollowUpDays,"NO RESPONSE",""),""),"")))</f>
        <v/>
      </c>
      <c r="AD1001" s="87">
        <f>IF(ISNUMBER($L1001),IF($L1001&gt;=90,"Excellent Match",IF($L1001&gt;=75,"Strong Match",IF($L1001&gt;=60,"Moderate Match","Low Match"))),"")</f>
        <v/>
      </c>
      <c r="AE1001" s="87">
        <f>IF($D1001="","",IF(OR($M1001="Rejected",$M1001="Withdrawn"),IF($AB1001&lt;&gt;"",$AB1001,IF(OR($M1001="Rejected",ISNUMBER($C1001)),"Applied","Wishlist")),IF($M1001="",IF(ISNUMBER($C1001),"Applied","Wishlist"),$M1001)))</f>
        <v/>
      </c>
      <c r="AF1001" s="88">
        <f>IF(AND(ISNUMBER($C1001),ISNUMBER($AA1001)),$AA1001-$C1001,"")</f>
        <v/>
      </c>
      <c r="AG1001" s="87">
        <f>IF($AE1001="","",IFERROR(MATCH($AE1001,{"Wishlist","Applied","Screening","Interview 1","Interview 2","Final","Offer","Accepted"},0)-1,""))</f>
        <v/>
      </c>
      <c r="AH1001" s="87">
        <f>IF($AC1001="","",MATCH($AC1001,{"FOLLOW UP REQUIRED","ACTION DUE TODAY","NO RESPONSE","DUE SOON"},0)*100000+IF(ISNUMBER($O1001),$O1001,IF(ISNUMBER($C1001),$C1001,0))+ROW()/10000)</f>
        <v/>
      </c>
      <c r="AI1001" s="87">
        <f>IF(AND(ISNUMBER($AG1001),$AG1001&gt;=1,$AG1001&lt;=6,$M1001&lt;&gt;"Rejected",$M1001&lt;&gt;"Withdrawn"),(10-$AG1001)*100000+IF(ISNUMBER($C1001),$C1001,0)+ROW()/10000,"")</f>
        <v/>
      </c>
    </row>
    <row r="1002">
      <c r="A1002" s="80" t="n"/>
      <c r="B1002" s="81" t="n"/>
      <c r="C1002" s="81" t="n"/>
      <c r="D1002" s="82" t="n"/>
      <c r="E1002" s="82" t="n"/>
      <c r="F1002" s="82" t="n"/>
      <c r="G1002" s="82" t="n"/>
      <c r="H1002" s="82" t="n"/>
      <c r="I1002" s="83" t="n"/>
      <c r="J1002" s="82" t="n"/>
      <c r="K1002" s="84" t="n"/>
      <c r="L1002" s="85" t="n"/>
      <c r="M1002" s="82" t="n"/>
      <c r="N1002" s="86" t="n"/>
      <c r="O1002" s="81" t="n"/>
      <c r="P1002" s="82" t="n"/>
      <c r="Q1002" s="83" t="n"/>
      <c r="R1002" s="82" t="n"/>
      <c r="S1002" s="84" t="n"/>
      <c r="T1002" s="84" t="n"/>
      <c r="U1002" s="82" t="n"/>
      <c r="V1002" s="86" t="n"/>
      <c r="W1002" s="86" t="n"/>
      <c r="X1002" s="86" t="n"/>
      <c r="Y1002" s="81" t="n"/>
      <c r="Z1002" s="82" t="n"/>
      <c r="AA1002" s="81" t="n"/>
      <c r="AB1002" s="82" t="n"/>
      <c r="AC1002" s="87">
        <f>IF(OR($D1002="",$M1002="Rejected",$M1002="Withdrawn",$M1002="Accepted"),"",IF(ISNUMBER($O1002),IF(INT($O1002)&lt;TODAY(),"FOLLOW UP REQUIRED",IF(INT($O1002)=TODAY(),"ACTION DUE TODAY",IF(INT($O1002)-TODAY()&lt;=Set_DueSoonDays,"DUE SOON",""))),IF(AND($M1002="Applied",$AA1002=""),IF(ISNUMBER($C1002),IF(TODAY()-$C1002&gt;=Set_FollowUpDays,"NO RESPONSE",""),""),"")))</f>
        <v/>
      </c>
      <c r="AD1002" s="87">
        <f>IF(ISNUMBER($L1002),IF($L1002&gt;=90,"Excellent Match",IF($L1002&gt;=75,"Strong Match",IF($L1002&gt;=60,"Moderate Match","Low Match"))),"")</f>
        <v/>
      </c>
      <c r="AE1002" s="87">
        <f>IF($D1002="","",IF(OR($M1002="Rejected",$M1002="Withdrawn"),IF($AB1002&lt;&gt;"",$AB1002,IF(OR($M1002="Rejected",ISNUMBER($C1002)),"Applied","Wishlist")),IF($M1002="",IF(ISNUMBER($C1002),"Applied","Wishlist"),$M1002)))</f>
        <v/>
      </c>
      <c r="AF1002" s="88">
        <f>IF(AND(ISNUMBER($C1002),ISNUMBER($AA1002)),$AA1002-$C1002,"")</f>
        <v/>
      </c>
      <c r="AG1002" s="87">
        <f>IF($AE1002="","",IFERROR(MATCH($AE1002,{"Wishlist","Applied","Screening","Interview 1","Interview 2","Final","Offer","Accepted"},0)-1,""))</f>
        <v/>
      </c>
      <c r="AH1002" s="87">
        <f>IF($AC1002="","",MATCH($AC1002,{"FOLLOW UP REQUIRED","ACTION DUE TODAY","NO RESPONSE","DUE SOON"},0)*100000+IF(ISNUMBER($O1002),$O1002,IF(ISNUMBER($C1002),$C1002,0))+ROW()/10000)</f>
        <v/>
      </c>
      <c r="AI1002" s="87">
        <f>IF(AND(ISNUMBER($AG1002),$AG1002&gt;=1,$AG1002&lt;=6,$M1002&lt;&gt;"Rejected",$M1002&lt;&gt;"Withdrawn"),(10-$AG1002)*100000+IF(ISNUMBER($C1002),$C1002,0)+ROW()/10000,"")</f>
        <v/>
      </c>
    </row>
    <row r="1003">
      <c r="A1003" s="80" t="n"/>
      <c r="B1003" s="81" t="n"/>
      <c r="C1003" s="81" t="n"/>
      <c r="D1003" s="82" t="n"/>
      <c r="E1003" s="82" t="n"/>
      <c r="F1003" s="82" t="n"/>
      <c r="G1003" s="82" t="n"/>
      <c r="H1003" s="82" t="n"/>
      <c r="I1003" s="83" t="n"/>
      <c r="J1003" s="82" t="n"/>
      <c r="K1003" s="84" t="n"/>
      <c r="L1003" s="85" t="n"/>
      <c r="M1003" s="82" t="n"/>
      <c r="N1003" s="86" t="n"/>
      <c r="O1003" s="81" t="n"/>
      <c r="P1003" s="82" t="n"/>
      <c r="Q1003" s="83" t="n"/>
      <c r="R1003" s="82" t="n"/>
      <c r="S1003" s="84" t="n"/>
      <c r="T1003" s="84" t="n"/>
      <c r="U1003" s="82" t="n"/>
      <c r="V1003" s="86" t="n"/>
      <c r="W1003" s="86" t="n"/>
      <c r="X1003" s="86" t="n"/>
      <c r="Y1003" s="81" t="n"/>
      <c r="Z1003" s="82" t="n"/>
      <c r="AA1003" s="81" t="n"/>
      <c r="AB1003" s="82" t="n"/>
      <c r="AC1003" s="87">
        <f>IF(OR($D1003="",$M1003="Rejected",$M1003="Withdrawn",$M1003="Accepted"),"",IF(ISNUMBER($O1003),IF(INT($O1003)&lt;TODAY(),"FOLLOW UP REQUIRED",IF(INT($O1003)=TODAY(),"ACTION DUE TODAY",IF(INT($O1003)-TODAY()&lt;=Set_DueSoonDays,"DUE SOON",""))),IF(AND($M1003="Applied",$AA1003=""),IF(ISNUMBER($C1003),IF(TODAY()-$C1003&gt;=Set_FollowUpDays,"NO RESPONSE",""),""),"")))</f>
        <v/>
      </c>
      <c r="AD1003" s="87">
        <f>IF(ISNUMBER($L1003),IF($L1003&gt;=90,"Excellent Match",IF($L1003&gt;=75,"Strong Match",IF($L1003&gt;=60,"Moderate Match","Low Match"))),"")</f>
        <v/>
      </c>
      <c r="AE1003" s="87">
        <f>IF($D1003="","",IF(OR($M1003="Rejected",$M1003="Withdrawn"),IF($AB1003&lt;&gt;"",$AB1003,IF(OR($M1003="Rejected",ISNUMBER($C1003)),"Applied","Wishlist")),IF($M1003="",IF(ISNUMBER($C1003),"Applied","Wishlist"),$M1003)))</f>
        <v/>
      </c>
      <c r="AF1003" s="88">
        <f>IF(AND(ISNUMBER($C1003),ISNUMBER($AA1003)),$AA1003-$C1003,"")</f>
        <v/>
      </c>
      <c r="AG1003" s="87">
        <f>IF($AE1003="","",IFERROR(MATCH($AE1003,{"Wishlist","Applied","Screening","Interview 1","Interview 2","Final","Offer","Accepted"},0)-1,""))</f>
        <v/>
      </c>
      <c r="AH1003" s="87">
        <f>IF($AC1003="","",MATCH($AC1003,{"FOLLOW UP REQUIRED","ACTION DUE TODAY","NO RESPONSE","DUE SOON"},0)*100000+IF(ISNUMBER($O1003),$O1003,IF(ISNUMBER($C1003),$C1003,0))+ROW()/10000)</f>
        <v/>
      </c>
      <c r="AI1003" s="87">
        <f>IF(AND(ISNUMBER($AG1003),$AG1003&gt;=1,$AG1003&lt;=6,$M1003&lt;&gt;"Rejected",$M1003&lt;&gt;"Withdrawn"),(10-$AG1003)*100000+IF(ISNUMBER($C1003),$C1003,0)+ROW()/10000,"")</f>
        <v/>
      </c>
    </row>
    <row r="1004">
      <c r="A1004" s="80" t="n"/>
      <c r="B1004" s="81" t="n"/>
      <c r="C1004" s="81" t="n"/>
      <c r="D1004" s="82" t="n"/>
      <c r="E1004" s="82" t="n"/>
      <c r="F1004" s="82" t="n"/>
      <c r="G1004" s="82" t="n"/>
      <c r="H1004" s="82" t="n"/>
      <c r="I1004" s="83" t="n"/>
      <c r="J1004" s="82" t="n"/>
      <c r="K1004" s="84" t="n"/>
      <c r="L1004" s="85" t="n"/>
      <c r="M1004" s="82" t="n"/>
      <c r="N1004" s="86" t="n"/>
      <c r="O1004" s="81" t="n"/>
      <c r="P1004" s="82" t="n"/>
      <c r="Q1004" s="83" t="n"/>
      <c r="R1004" s="82" t="n"/>
      <c r="S1004" s="84" t="n"/>
      <c r="T1004" s="84" t="n"/>
      <c r="U1004" s="82" t="n"/>
      <c r="V1004" s="86" t="n"/>
      <c r="W1004" s="86" t="n"/>
      <c r="X1004" s="86" t="n"/>
      <c r="Y1004" s="81" t="n"/>
      <c r="Z1004" s="82" t="n"/>
      <c r="AA1004" s="81" t="n"/>
      <c r="AB1004" s="82" t="n"/>
      <c r="AC1004" s="87">
        <f>IF(OR($D1004="",$M1004="Rejected",$M1004="Withdrawn",$M1004="Accepted"),"",IF(ISNUMBER($O1004),IF(INT($O1004)&lt;TODAY(),"FOLLOW UP REQUIRED",IF(INT($O1004)=TODAY(),"ACTION DUE TODAY",IF(INT($O1004)-TODAY()&lt;=Set_DueSoonDays,"DUE SOON",""))),IF(AND($M1004="Applied",$AA1004=""),IF(ISNUMBER($C1004),IF(TODAY()-$C1004&gt;=Set_FollowUpDays,"NO RESPONSE",""),""),"")))</f>
        <v/>
      </c>
      <c r="AD1004" s="87">
        <f>IF(ISNUMBER($L1004),IF($L1004&gt;=90,"Excellent Match",IF($L1004&gt;=75,"Strong Match",IF($L1004&gt;=60,"Moderate Match","Low Match"))),"")</f>
        <v/>
      </c>
      <c r="AE1004" s="87">
        <f>IF($D1004="","",IF(OR($M1004="Rejected",$M1004="Withdrawn"),IF($AB1004&lt;&gt;"",$AB1004,IF(OR($M1004="Rejected",ISNUMBER($C1004)),"Applied","Wishlist")),IF($M1004="",IF(ISNUMBER($C1004),"Applied","Wishlist"),$M1004)))</f>
        <v/>
      </c>
      <c r="AF1004" s="88">
        <f>IF(AND(ISNUMBER($C1004),ISNUMBER($AA1004)),$AA1004-$C1004,"")</f>
        <v/>
      </c>
      <c r="AG1004" s="87">
        <f>IF($AE1004="","",IFERROR(MATCH($AE1004,{"Wishlist","Applied","Screening","Interview 1","Interview 2","Final","Offer","Accepted"},0)-1,""))</f>
        <v/>
      </c>
      <c r="AH1004" s="87">
        <f>IF($AC1004="","",MATCH($AC1004,{"FOLLOW UP REQUIRED","ACTION DUE TODAY","NO RESPONSE","DUE SOON"},0)*100000+IF(ISNUMBER($O1004),$O1004,IF(ISNUMBER($C1004),$C1004,0))+ROW()/10000)</f>
        <v/>
      </c>
      <c r="AI1004" s="87">
        <f>IF(AND(ISNUMBER($AG1004),$AG1004&gt;=1,$AG1004&lt;=6,$M1004&lt;&gt;"Rejected",$M1004&lt;&gt;"Withdrawn"),(10-$AG1004)*100000+IF(ISNUMBER($C1004),$C1004,0)+ROW()/10000,"")</f>
        <v/>
      </c>
    </row>
  </sheetData>
  <autoFilter ref="A4:AI1004"/>
  <conditionalFormatting sqref="M5:M1004">
    <cfRule type="expression" priority="1" dxfId="11" stopIfTrue="1">
      <formula>$M5="Wishlist"</formula>
    </cfRule>
    <cfRule type="expression" priority="2" dxfId="12" stopIfTrue="1">
      <formula>$M5="Applied"</formula>
    </cfRule>
    <cfRule type="expression" priority="3" dxfId="13" stopIfTrue="1">
      <formula>$M5="Screening"</formula>
    </cfRule>
    <cfRule type="expression" priority="4" dxfId="14" stopIfTrue="1">
      <formula>$M5="Interview 1"</formula>
    </cfRule>
    <cfRule type="expression" priority="5" dxfId="14" stopIfTrue="1">
      <formula>$M5="Interview 2"</formula>
    </cfRule>
    <cfRule type="expression" priority="6" dxfId="15" stopIfTrue="1">
      <formula>$M5="Final"</formula>
    </cfRule>
    <cfRule type="expression" priority="7" dxfId="16" stopIfTrue="1">
      <formula>$M5="Offer"</formula>
    </cfRule>
    <cfRule type="expression" priority="8" dxfId="17" stopIfTrue="1">
      <formula>$M5="Accepted"</formula>
    </cfRule>
    <cfRule type="expression" priority="9" dxfId="18" stopIfTrue="1">
      <formula>$M5="Rejected"</formula>
    </cfRule>
    <cfRule type="expression" priority="10" dxfId="19" stopIfTrue="1">
      <formula>$M5="Withdrawn"</formula>
    </cfRule>
  </conditionalFormatting>
  <conditionalFormatting sqref="L5:L1004 AD5:AD1004">
    <cfRule type="expression" priority="11" dxfId="16" stopIfTrue="1">
      <formula>AND(ISNUMBER($L5),$L5&gt;=90)</formula>
    </cfRule>
    <cfRule type="expression" priority="12" dxfId="25" stopIfTrue="1">
      <formula>AND(ISNUMBER($L5),$L5&gt;=75,$L5&lt;90)</formula>
    </cfRule>
    <cfRule type="expression" priority="13" dxfId="13" stopIfTrue="1">
      <formula>AND(ISNUMBER($L5),$L5&gt;=60,$L5&lt;75)</formula>
    </cfRule>
    <cfRule type="expression" priority="14" dxfId="26" stopIfTrue="1">
      <formula>AND(ISNUMBER($L5),$L5&gt;=0,$L5&lt;60)</formula>
    </cfRule>
  </conditionalFormatting>
  <conditionalFormatting sqref="O5:O1004">
    <cfRule type="expression" priority="15" dxfId="7" stopIfTrue="1">
      <formula>AND(ISNUMBER($O5),INT($O5)&lt;TODAY(),$M5&lt;&gt;"Rejected",$M5&lt;&gt;"Withdrawn",$M5&lt;&gt;"Accepted")</formula>
    </cfRule>
    <cfRule type="expression" priority="16" dxfId="24" stopIfTrue="1">
      <formula>AND(ISNUMBER($O5),INT($O5)&gt;=TODAY(),INT($O5)-TODAY()&lt;=$AH$2,$M5&lt;&gt;"Rejected",$M5&lt;&gt;"Withdrawn",$M5&lt;&gt;"Accepted")</formula>
    </cfRule>
  </conditionalFormatting>
  <conditionalFormatting sqref="K5:K1004">
    <cfRule type="expression" priority="17" dxfId="21" stopIfTrue="1">
      <formula>$K5="High"</formula>
    </cfRule>
    <cfRule type="expression" priority="18" dxfId="5" stopIfTrue="1">
      <formula>$K5="Medium"</formula>
    </cfRule>
    <cfRule type="expression" priority="19" dxfId="22" stopIfTrue="1">
      <formula>$K5="Low"</formula>
    </cfRule>
  </conditionalFormatting>
  <conditionalFormatting sqref="AC5:AC1004">
    <cfRule type="expression" priority="20" dxfId="7" stopIfTrue="1">
      <formula>$AC5="FOLLOW UP REQUIRED"</formula>
    </cfRule>
    <cfRule type="expression" priority="21" dxfId="8" stopIfTrue="1">
      <formula>$AC5="ACTION DUE TODAY"</formula>
    </cfRule>
    <cfRule type="expression" priority="22" dxfId="9" stopIfTrue="1">
      <formula>$AC5="NO RESPONSE"</formula>
    </cfRule>
    <cfRule type="expression" priority="23" dxfId="10" stopIfTrue="1">
      <formula>$AC5="DUE SOON"</formula>
    </cfRule>
  </conditionalFormatting>
  <conditionalFormatting sqref="A5:A1004">
    <cfRule type="expression" priority="24" dxfId="7" stopIfTrue="1">
      <formula>AND(ISNUMBER($A5),COUNTIF($A$5:$A$1004,$A5)&gt;1)</formula>
    </cfRule>
  </conditionalFormatting>
  <conditionalFormatting sqref="A5:AB1004">
    <cfRule type="expression" priority="25" dxfId="27" stopIfTrue="0">
      <formula>AND($D5&lt;&gt;"",MOD(ROW(),2)=0)</formula>
    </cfRule>
  </conditionalFormatting>
  <dataValidations count="19">
    <dataValidation sqref="A5:A1004" showDropDown="0" showInputMessage="0" showErrorMessage="1" allowBlank="1" errorTitle="Whole number" error="Enter a whole number, e.g. 12 (it displays as APP-012). See 'Next ID' above the table." type="whole" operator="greaterThanOrEqual">
      <formula1>1</formula1>
    </dataValidation>
    <dataValidation sqref="B5:B10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C5:C10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F5:F1004" showDropDown="0" showInputMessage="0" showErrorMessage="1" allowBlank="1" errorTitle="Pick from the list" error="Choose a value from the dropdown (list: Settings → Job Type)." type="list" errorStyle="stop">
      <formula1>Settings!$B$13:$B$18</formula1>
    </dataValidation>
    <dataValidation sqref="H5:H1004" showDropDown="0" showInputMessage="0" showErrorMessage="1" allowBlank="1" errorTitle="Pick from the list" error="Choose a value from the dropdown (list: Settings → Work Mode)." type="list" errorStyle="stop">
      <formula1>Settings!$C$13:$C$15</formula1>
    </dataValidation>
    <dataValidation sqref="J5:J1004" showDropDown="0" showInputMessage="0" showErrorMessage="1" allowBlank="1" errorTitle="Pick from the list" error="Choose a value from the dropdown (list: Settings → Source)." type="list" errorStyle="stop">
      <formula1>Settings!$D$13:$D$22</formula1>
    </dataValidation>
    <dataValidation sqref="K5:K1004" showDropDown="0" showInputMessage="0" showErrorMessage="1" allowBlank="1" errorTitle="Pick from the list" error="Choose a value from the dropdown (list: Settings → Priority)." type="list" errorStyle="stop">
      <formula1>Settings!$E$13:$E$15</formula1>
    </dataValidation>
    <dataValidation sqref="L5:L1004" showDropDown="0" showInputMessage="1" showErrorMessage="1" allowBlank="1" errorTitle="0–100" error="Enter a whole number from 0 to 100, e.g. 85 (no % sign)." promptTitle="Match %" prompt="Your personal fit estimate, 0–100 (type 85, not 85%). It's a judgement call, not an objective score. 90+ Excellent · 75–89 Strong · 60–74 Moderate · below 60 Low." type="whole" operator="between">
      <formula1>0</formula1>
      <formula2>100</formula2>
    </dataValidation>
    <dataValidation sqref="M5:M1004" showDropDown="0" showInputMessage="0" showErrorMessage="1" allowBlank="1" errorTitle="Pick from the list" error="Choose a value from the dropdown (list: Settings → Status)." type="list" errorStyle="stop">
      <formula1>Settings!$F$13:$F$22</formula1>
    </dataValidation>
    <dataValidation sqref="O5:O10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R5:R1004" showDropDown="0" showInputMessage="0" showErrorMessage="1" allowBlank="1" errorTitle="Pick from the list" error="Choose a value from the dropdown (list: Settings → CV Version)." type="list" errorStyle="stop">
      <formula1>Settings!$I$13:$I$19</formula1>
    </dataValidation>
    <dataValidation sqref="S5:S1004" showDropDown="0" showInputMessage="0" showErrorMessage="1" allowBlank="1" errorTitle="Pick from the list" error="Choose a value from the dropdown (list: Settings → Cover Letter)." type="list" errorStyle="stop">
      <formula1>Settings!$G$13:$G$15</formula1>
    </dataValidation>
    <dataValidation sqref="T5:T1004" showDropDown="0" showInputMessage="0" showErrorMessage="1" allowBlank="1" errorTitle="Pick from the list" error="Choose a value from the dropdown (list: Settings → Yes / No)." type="list" errorStyle="stop">
      <formula1>Settings!$H$13:$H$14</formula1>
    </dataValidation>
    <dataValidation sqref="V5:V1004" showDropDown="0" showInputMessage="1" showErrorMessage="1" allowBlank="1" promptTitle="Key Technologies / Skills" prompt="Several tags, separated by commas, e.g. LLMs, RAG, Python, Vector Databases. Tags listed on Settings (Skill Tags) are counted in Analytics." type="custom">
      <formula1>TRUE</formula1>
    </dataValidation>
    <dataValidation sqref="W5:W1004" showDropDown="0" showInputMessage="1" showErrorMessage="1" allowBlank="1" promptTitle="Why Me?" prompt="1–2 sentences on why you fit this role. Reuse it for cover letters, recruiter messages and 'why are you a good fit?' answers." type="custom">
      <formula1>TRUE</formula1>
    </dataValidation>
    <dataValidation sqref="Y5:Y10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Z5:Z1004" showDropDown="0" showInputMessage="1" showErrorMessage="1" allowBlank="1" errorTitle="Pick from the list" error="Choose a value from the dropdown (list: Settings → Role Category)." promptTitle="Role Category" prompt="Groups job titles for the dashboard and analytics." type="list" errorStyle="stop">
      <formula1>Settings!$J$13:$J$23</formula1>
    </dataValidation>
    <dataValidation sqref="AA5:AA1004" showDropDown="0" showInputMessage="1" showErrorMessage="1" allowBlank="1" errorTitle="Date needed" error="Enter a real date, e.g. 05.10.2026 (Ctrl+; inserts today)." promptTitle="First Response Date" prompt="Date the company first replied (interview invite or rejection). Powers 'Avg. days to response' and stops the NO RESPONSE flag." type="date" operator="between">
      <formula1>43831</formula1>
      <formula2>49674</formula2>
    </dataValidation>
    <dataValidation sqref="AB5:AB1004" showDropDown="0" showInputMessage="1" showErrorMessage="1" allowBlank="1" errorTitle="Pick from the list" error="Choose a value from the dropdown (list: Settings → Stage When Closed)." promptTitle="Stage When Closed" prompt="Only for Rejected / Withdrawn: the last stage you reached (e.g. Interview 2), so interview statistics stay correct. Leave blank if it closed right after applying." type="list" errorStyle="stop">
      <formula1>Settings!$K$13:$K$18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04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5" customWidth="1" min="4" max="4"/>
    <col width="20" customWidth="1" min="5" max="5"/>
    <col width="16" customWidth="1" min="6" max="6"/>
    <col width="13" customWidth="1" min="7" max="7"/>
    <col width="32" customWidth="1" min="8" max="8"/>
    <col width="32" customWidth="1" min="9" max="9"/>
    <col width="14" customWidth="1" min="10" max="10"/>
    <col width="28" customWidth="1" min="11" max="11"/>
    <col width="24" customWidth="1" min="12" max="12"/>
    <col width="12" customWidth="1" min="13" max="13"/>
    <col width="32" customWidth="1" min="14" max="14"/>
    <col hidden="1" width="8" customWidth="1" min="15" max="15"/>
  </cols>
  <sheetData>
    <row r="1" ht="26" customHeight="1">
      <c r="A1" s="73" t="inlineStr">
        <is>
          <t>Interviews</t>
        </is>
      </c>
      <c r="O1" s="74" t="inlineStr">
        <is>
          <t>Due-soon days</t>
        </is>
      </c>
    </row>
    <row r="2">
      <c r="A2" s="4" t="inlineStr">
        <is>
          <t>One row per interview round — preparation, performance and what happens next.</t>
        </is>
      </c>
      <c r="O2">
        <f>Set_DueSoonDays</f>
        <v/>
      </c>
    </row>
    <row r="3">
      <c r="A3" s="63" t="inlineStr">
        <is>
          <t>Interviews in the next few days are highlighted; 'Not Started' prep turns red when the interview is close.</t>
        </is>
      </c>
    </row>
    <row r="4" ht="34" customHeight="1">
      <c r="A4" s="78" t="inlineStr">
        <is>
          <t>Company</t>
        </is>
      </c>
      <c r="B4" s="78" t="inlineStr">
        <is>
          <t>Job Title</t>
        </is>
      </c>
      <c r="C4" s="78" t="inlineStr">
        <is>
          <t>Interview Stage</t>
        </is>
      </c>
      <c r="D4" s="78" t="inlineStr">
        <is>
          <t>Interview Date</t>
        </is>
      </c>
      <c r="E4" s="78" t="inlineStr">
        <is>
          <t>Interviewer</t>
        </is>
      </c>
      <c r="F4" s="78" t="inlineStr">
        <is>
          <t>Interview Type</t>
        </is>
      </c>
      <c r="G4" s="78" t="inlineStr">
        <is>
          <t>Preparation Status</t>
        </is>
      </c>
      <c r="H4" s="78" t="inlineStr">
        <is>
          <t>Key Topics</t>
        </is>
      </c>
      <c r="I4" s="78" t="inlineStr">
        <is>
          <t>Questions to Ask</t>
        </is>
      </c>
      <c r="J4" s="78" t="inlineStr">
        <is>
          <t>My Performance</t>
        </is>
      </c>
      <c r="K4" s="78" t="inlineStr">
        <is>
          <t>Feedback</t>
        </is>
      </c>
      <c r="L4" s="78" t="inlineStr">
        <is>
          <t>Next Step</t>
        </is>
      </c>
      <c r="M4" s="78" t="inlineStr">
        <is>
          <t>Next Step Date</t>
        </is>
      </c>
      <c r="N4" s="78" t="inlineStr">
        <is>
          <t>Notes</t>
        </is>
      </c>
      <c r="O4" s="79" t="inlineStr">
        <is>
          <t>Upcoming Key (helper)</t>
        </is>
      </c>
    </row>
    <row r="5">
      <c r="A5" s="82" t="n"/>
      <c r="B5" s="82" t="n"/>
      <c r="C5" s="82" t="n"/>
      <c r="D5" s="89" t="n"/>
      <c r="E5" s="82" t="n"/>
      <c r="F5" s="82" t="n"/>
      <c r="G5" s="82" t="n"/>
      <c r="H5" s="86" t="n"/>
      <c r="I5" s="86" t="n"/>
      <c r="J5" s="82" t="n"/>
      <c r="K5" s="86" t="n"/>
      <c r="L5" s="86" t="n"/>
      <c r="M5" s="81" t="n"/>
      <c r="N5" s="86" t="n"/>
      <c r="O5" s="87">
        <f>IF(AND($A5&lt;&gt;"",ISNUMBER($D5)),IF(AND(INT($D5)&gt;=TODAY(),INT($D5)-TODAY()&lt;=Set_InterviewWindow),$D5+ROW()/100000,""),"")</f>
        <v/>
      </c>
    </row>
    <row r="6">
      <c r="A6" s="82" t="n"/>
      <c r="B6" s="82" t="n"/>
      <c r="C6" s="82" t="n"/>
      <c r="D6" s="89" t="n"/>
      <c r="E6" s="82" t="n"/>
      <c r="F6" s="82" t="n"/>
      <c r="G6" s="82" t="n"/>
      <c r="H6" s="86" t="n"/>
      <c r="I6" s="86" t="n"/>
      <c r="J6" s="82" t="n"/>
      <c r="K6" s="86" t="n"/>
      <c r="L6" s="86" t="n"/>
      <c r="M6" s="81" t="n"/>
      <c r="N6" s="86" t="n"/>
      <c r="O6" s="87">
        <f>IF(AND($A6&lt;&gt;"",ISNUMBER($D6)),IF(AND(INT($D6)&gt;=TODAY(),INT($D6)-TODAY()&lt;=Set_InterviewWindow),$D6+ROW()/100000,""),"")</f>
        <v/>
      </c>
    </row>
    <row r="7">
      <c r="A7" s="82" t="n"/>
      <c r="B7" s="82" t="n"/>
      <c r="C7" s="82" t="n"/>
      <c r="D7" s="89" t="n"/>
      <c r="E7" s="82" t="n"/>
      <c r="F7" s="82" t="n"/>
      <c r="G7" s="82" t="n"/>
      <c r="H7" s="86" t="n"/>
      <c r="I7" s="86" t="n"/>
      <c r="J7" s="82" t="n"/>
      <c r="K7" s="86" t="n"/>
      <c r="L7" s="86" t="n"/>
      <c r="M7" s="81" t="n"/>
      <c r="N7" s="86" t="n"/>
      <c r="O7" s="87">
        <f>IF(AND($A7&lt;&gt;"",ISNUMBER($D7)),IF(AND(INT($D7)&gt;=TODAY(),INT($D7)-TODAY()&lt;=Set_InterviewWindow),$D7+ROW()/100000,""),"")</f>
        <v/>
      </c>
    </row>
    <row r="8">
      <c r="A8" s="82" t="n"/>
      <c r="B8" s="82" t="n"/>
      <c r="C8" s="82" t="n"/>
      <c r="D8" s="89" t="n"/>
      <c r="E8" s="82" t="n"/>
      <c r="F8" s="82" t="n"/>
      <c r="G8" s="82" t="n"/>
      <c r="H8" s="86" t="n"/>
      <c r="I8" s="86" t="n"/>
      <c r="J8" s="82" t="n"/>
      <c r="K8" s="86" t="n"/>
      <c r="L8" s="86" t="n"/>
      <c r="M8" s="81" t="n"/>
      <c r="N8" s="86" t="n"/>
      <c r="O8" s="87">
        <f>IF(AND($A8&lt;&gt;"",ISNUMBER($D8)),IF(AND(INT($D8)&gt;=TODAY(),INT($D8)-TODAY()&lt;=Set_InterviewWindow),$D8+ROW()/100000,""),"")</f>
        <v/>
      </c>
    </row>
    <row r="9">
      <c r="A9" s="82" t="n"/>
      <c r="B9" s="82" t="n"/>
      <c r="C9" s="82" t="n"/>
      <c r="D9" s="89" t="n"/>
      <c r="E9" s="82" t="n"/>
      <c r="F9" s="82" t="n"/>
      <c r="G9" s="82" t="n"/>
      <c r="H9" s="86" t="n"/>
      <c r="I9" s="86" t="n"/>
      <c r="J9" s="82" t="n"/>
      <c r="K9" s="86" t="n"/>
      <c r="L9" s="86" t="n"/>
      <c r="M9" s="81" t="n"/>
      <c r="N9" s="86" t="n"/>
      <c r="O9" s="87">
        <f>IF(AND($A9&lt;&gt;"",ISNUMBER($D9)),IF(AND(INT($D9)&gt;=TODAY(),INT($D9)-TODAY()&lt;=Set_InterviewWindow),$D9+ROW()/100000,""),"")</f>
        <v/>
      </c>
    </row>
    <row r="10">
      <c r="A10" s="82" t="n"/>
      <c r="B10" s="82" t="n"/>
      <c r="C10" s="82" t="n"/>
      <c r="D10" s="89" t="n"/>
      <c r="E10" s="82" t="n"/>
      <c r="F10" s="82" t="n"/>
      <c r="G10" s="82" t="n"/>
      <c r="H10" s="86" t="n"/>
      <c r="I10" s="86" t="n"/>
      <c r="J10" s="82" t="n"/>
      <c r="K10" s="86" t="n"/>
      <c r="L10" s="86" t="n"/>
      <c r="M10" s="81" t="n"/>
      <c r="N10" s="86" t="n"/>
      <c r="O10" s="87">
        <f>IF(AND($A10&lt;&gt;"",ISNUMBER($D10)),IF(AND(INT($D10)&gt;=TODAY(),INT($D10)-TODAY()&lt;=Set_InterviewWindow),$D10+ROW()/100000,""),"")</f>
        <v/>
      </c>
    </row>
    <row r="11">
      <c r="A11" s="82" t="n"/>
      <c r="B11" s="82" t="n"/>
      <c r="C11" s="82" t="n"/>
      <c r="D11" s="89" t="n"/>
      <c r="E11" s="82" t="n"/>
      <c r="F11" s="82" t="n"/>
      <c r="G11" s="82" t="n"/>
      <c r="H11" s="86" t="n"/>
      <c r="I11" s="86" t="n"/>
      <c r="J11" s="82" t="n"/>
      <c r="K11" s="86" t="n"/>
      <c r="L11" s="86" t="n"/>
      <c r="M11" s="81" t="n"/>
      <c r="N11" s="86" t="n"/>
      <c r="O11" s="87">
        <f>IF(AND($A11&lt;&gt;"",ISNUMBER($D11)),IF(AND(INT($D11)&gt;=TODAY(),INT($D11)-TODAY()&lt;=Set_InterviewWindow),$D11+ROW()/100000,""),"")</f>
        <v/>
      </c>
    </row>
    <row r="12">
      <c r="A12" s="82" t="n"/>
      <c r="B12" s="82" t="n"/>
      <c r="C12" s="82" t="n"/>
      <c r="D12" s="89" t="n"/>
      <c r="E12" s="82" t="n"/>
      <c r="F12" s="82" t="n"/>
      <c r="G12" s="82" t="n"/>
      <c r="H12" s="86" t="n"/>
      <c r="I12" s="86" t="n"/>
      <c r="J12" s="82" t="n"/>
      <c r="K12" s="86" t="n"/>
      <c r="L12" s="86" t="n"/>
      <c r="M12" s="81" t="n"/>
      <c r="N12" s="86" t="n"/>
      <c r="O12" s="87">
        <f>IF(AND($A12&lt;&gt;"",ISNUMBER($D12)),IF(AND(INT($D12)&gt;=TODAY(),INT($D12)-TODAY()&lt;=Set_InterviewWindow),$D12+ROW()/100000,""),"")</f>
        <v/>
      </c>
    </row>
    <row r="13">
      <c r="A13" s="82" t="n"/>
      <c r="B13" s="82" t="n"/>
      <c r="C13" s="82" t="n"/>
      <c r="D13" s="89" t="n"/>
      <c r="E13" s="82" t="n"/>
      <c r="F13" s="82" t="n"/>
      <c r="G13" s="82" t="n"/>
      <c r="H13" s="86" t="n"/>
      <c r="I13" s="86" t="n"/>
      <c r="J13" s="82" t="n"/>
      <c r="K13" s="86" t="n"/>
      <c r="L13" s="86" t="n"/>
      <c r="M13" s="81" t="n"/>
      <c r="N13" s="86" t="n"/>
      <c r="O13" s="87">
        <f>IF(AND($A13&lt;&gt;"",ISNUMBER($D13)),IF(AND(INT($D13)&gt;=TODAY(),INT($D13)-TODAY()&lt;=Set_InterviewWindow),$D13+ROW()/100000,""),"")</f>
        <v/>
      </c>
    </row>
    <row r="14">
      <c r="A14" s="82" t="n"/>
      <c r="B14" s="82" t="n"/>
      <c r="C14" s="82" t="n"/>
      <c r="D14" s="89" t="n"/>
      <c r="E14" s="82" t="n"/>
      <c r="F14" s="82" t="n"/>
      <c r="G14" s="82" t="n"/>
      <c r="H14" s="86" t="n"/>
      <c r="I14" s="86" t="n"/>
      <c r="J14" s="82" t="n"/>
      <c r="K14" s="86" t="n"/>
      <c r="L14" s="86" t="n"/>
      <c r="M14" s="81" t="n"/>
      <c r="N14" s="86" t="n"/>
      <c r="O14" s="87">
        <f>IF(AND($A14&lt;&gt;"",ISNUMBER($D14)),IF(AND(INT($D14)&gt;=TODAY(),INT($D14)-TODAY()&lt;=Set_InterviewWindow),$D14+ROW()/100000,""),"")</f>
        <v/>
      </c>
    </row>
    <row r="15">
      <c r="A15" s="82" t="n"/>
      <c r="B15" s="82" t="n"/>
      <c r="C15" s="82" t="n"/>
      <c r="D15" s="89" t="n"/>
      <c r="E15" s="82" t="n"/>
      <c r="F15" s="82" t="n"/>
      <c r="G15" s="82" t="n"/>
      <c r="H15" s="86" t="n"/>
      <c r="I15" s="86" t="n"/>
      <c r="J15" s="82" t="n"/>
      <c r="K15" s="86" t="n"/>
      <c r="L15" s="86" t="n"/>
      <c r="M15" s="81" t="n"/>
      <c r="N15" s="86" t="n"/>
      <c r="O15" s="87">
        <f>IF(AND($A15&lt;&gt;"",ISNUMBER($D15)),IF(AND(INT($D15)&gt;=TODAY(),INT($D15)-TODAY()&lt;=Set_InterviewWindow),$D15+ROW()/100000,""),"")</f>
        <v/>
      </c>
    </row>
    <row r="16">
      <c r="A16" s="82" t="n"/>
      <c r="B16" s="82" t="n"/>
      <c r="C16" s="82" t="n"/>
      <c r="D16" s="89" t="n"/>
      <c r="E16" s="82" t="n"/>
      <c r="F16" s="82" t="n"/>
      <c r="G16" s="82" t="n"/>
      <c r="H16" s="86" t="n"/>
      <c r="I16" s="86" t="n"/>
      <c r="J16" s="82" t="n"/>
      <c r="K16" s="86" t="n"/>
      <c r="L16" s="86" t="n"/>
      <c r="M16" s="81" t="n"/>
      <c r="N16" s="86" t="n"/>
      <c r="O16" s="87">
        <f>IF(AND($A16&lt;&gt;"",ISNUMBER($D16)),IF(AND(INT($D16)&gt;=TODAY(),INT($D16)-TODAY()&lt;=Set_InterviewWindow),$D16+ROW()/100000,""),"")</f>
        <v/>
      </c>
    </row>
    <row r="17">
      <c r="A17" s="82" t="n"/>
      <c r="B17" s="82" t="n"/>
      <c r="C17" s="82" t="n"/>
      <c r="D17" s="89" t="n"/>
      <c r="E17" s="82" t="n"/>
      <c r="F17" s="82" t="n"/>
      <c r="G17" s="82" t="n"/>
      <c r="H17" s="86" t="n"/>
      <c r="I17" s="86" t="n"/>
      <c r="J17" s="82" t="n"/>
      <c r="K17" s="86" t="n"/>
      <c r="L17" s="86" t="n"/>
      <c r="M17" s="81" t="n"/>
      <c r="N17" s="86" t="n"/>
      <c r="O17" s="87">
        <f>IF(AND($A17&lt;&gt;"",ISNUMBER($D17)),IF(AND(INT($D17)&gt;=TODAY(),INT($D17)-TODAY()&lt;=Set_InterviewWindow),$D17+ROW()/100000,""),"")</f>
        <v/>
      </c>
    </row>
    <row r="18">
      <c r="A18" s="82" t="n"/>
      <c r="B18" s="82" t="n"/>
      <c r="C18" s="82" t="n"/>
      <c r="D18" s="89" t="n"/>
      <c r="E18" s="82" t="n"/>
      <c r="F18" s="82" t="n"/>
      <c r="G18" s="82" t="n"/>
      <c r="H18" s="86" t="n"/>
      <c r="I18" s="86" t="n"/>
      <c r="J18" s="82" t="n"/>
      <c r="K18" s="86" t="n"/>
      <c r="L18" s="86" t="n"/>
      <c r="M18" s="81" t="n"/>
      <c r="N18" s="86" t="n"/>
      <c r="O18" s="87">
        <f>IF(AND($A18&lt;&gt;"",ISNUMBER($D18)),IF(AND(INT($D18)&gt;=TODAY(),INT($D18)-TODAY()&lt;=Set_InterviewWindow),$D18+ROW()/100000,""),"")</f>
        <v/>
      </c>
    </row>
    <row r="19">
      <c r="A19" s="82" t="n"/>
      <c r="B19" s="82" t="n"/>
      <c r="C19" s="82" t="n"/>
      <c r="D19" s="89" t="n"/>
      <c r="E19" s="82" t="n"/>
      <c r="F19" s="82" t="n"/>
      <c r="G19" s="82" t="n"/>
      <c r="H19" s="86" t="n"/>
      <c r="I19" s="86" t="n"/>
      <c r="J19" s="82" t="n"/>
      <c r="K19" s="86" t="n"/>
      <c r="L19" s="86" t="n"/>
      <c r="M19" s="81" t="n"/>
      <c r="N19" s="86" t="n"/>
      <c r="O19" s="87">
        <f>IF(AND($A19&lt;&gt;"",ISNUMBER($D19)),IF(AND(INT($D19)&gt;=TODAY(),INT($D19)-TODAY()&lt;=Set_InterviewWindow),$D19+ROW()/100000,""),"")</f>
        <v/>
      </c>
    </row>
    <row r="20">
      <c r="A20" s="82" t="n"/>
      <c r="B20" s="82" t="n"/>
      <c r="C20" s="82" t="n"/>
      <c r="D20" s="89" t="n"/>
      <c r="E20" s="82" t="n"/>
      <c r="F20" s="82" t="n"/>
      <c r="G20" s="82" t="n"/>
      <c r="H20" s="86" t="n"/>
      <c r="I20" s="86" t="n"/>
      <c r="J20" s="82" t="n"/>
      <c r="K20" s="86" t="n"/>
      <c r="L20" s="86" t="n"/>
      <c r="M20" s="81" t="n"/>
      <c r="N20" s="86" t="n"/>
      <c r="O20" s="87">
        <f>IF(AND($A20&lt;&gt;"",ISNUMBER($D20)),IF(AND(INT($D20)&gt;=TODAY(),INT($D20)-TODAY()&lt;=Set_InterviewWindow),$D20+ROW()/100000,""),"")</f>
        <v/>
      </c>
    </row>
    <row r="21">
      <c r="A21" s="82" t="n"/>
      <c r="B21" s="82" t="n"/>
      <c r="C21" s="82" t="n"/>
      <c r="D21" s="89" t="n"/>
      <c r="E21" s="82" t="n"/>
      <c r="F21" s="82" t="n"/>
      <c r="G21" s="82" t="n"/>
      <c r="H21" s="86" t="n"/>
      <c r="I21" s="86" t="n"/>
      <c r="J21" s="82" t="n"/>
      <c r="K21" s="86" t="n"/>
      <c r="L21" s="86" t="n"/>
      <c r="M21" s="81" t="n"/>
      <c r="N21" s="86" t="n"/>
      <c r="O21" s="87">
        <f>IF(AND($A21&lt;&gt;"",ISNUMBER($D21)),IF(AND(INT($D21)&gt;=TODAY(),INT($D21)-TODAY()&lt;=Set_InterviewWindow),$D21+ROW()/100000,""),"")</f>
        <v/>
      </c>
    </row>
    <row r="22">
      <c r="A22" s="82" t="n"/>
      <c r="B22" s="82" t="n"/>
      <c r="C22" s="82" t="n"/>
      <c r="D22" s="89" t="n"/>
      <c r="E22" s="82" t="n"/>
      <c r="F22" s="82" t="n"/>
      <c r="G22" s="82" t="n"/>
      <c r="H22" s="86" t="n"/>
      <c r="I22" s="86" t="n"/>
      <c r="J22" s="82" t="n"/>
      <c r="K22" s="86" t="n"/>
      <c r="L22" s="86" t="n"/>
      <c r="M22" s="81" t="n"/>
      <c r="N22" s="86" t="n"/>
      <c r="O22" s="87">
        <f>IF(AND($A22&lt;&gt;"",ISNUMBER($D22)),IF(AND(INT($D22)&gt;=TODAY(),INT($D22)-TODAY()&lt;=Set_InterviewWindow),$D22+ROW()/100000,""),"")</f>
        <v/>
      </c>
    </row>
    <row r="23">
      <c r="A23" s="82" t="n"/>
      <c r="B23" s="82" t="n"/>
      <c r="C23" s="82" t="n"/>
      <c r="D23" s="89" t="n"/>
      <c r="E23" s="82" t="n"/>
      <c r="F23" s="82" t="n"/>
      <c r="G23" s="82" t="n"/>
      <c r="H23" s="86" t="n"/>
      <c r="I23" s="86" t="n"/>
      <c r="J23" s="82" t="n"/>
      <c r="K23" s="86" t="n"/>
      <c r="L23" s="86" t="n"/>
      <c r="M23" s="81" t="n"/>
      <c r="N23" s="86" t="n"/>
      <c r="O23" s="87">
        <f>IF(AND($A23&lt;&gt;"",ISNUMBER($D23)),IF(AND(INT($D23)&gt;=TODAY(),INT($D23)-TODAY()&lt;=Set_InterviewWindow),$D23+ROW()/100000,""),"")</f>
        <v/>
      </c>
    </row>
    <row r="24">
      <c r="A24" s="82" t="n"/>
      <c r="B24" s="82" t="n"/>
      <c r="C24" s="82" t="n"/>
      <c r="D24" s="89" t="n"/>
      <c r="E24" s="82" t="n"/>
      <c r="F24" s="82" t="n"/>
      <c r="G24" s="82" t="n"/>
      <c r="H24" s="86" t="n"/>
      <c r="I24" s="86" t="n"/>
      <c r="J24" s="82" t="n"/>
      <c r="K24" s="86" t="n"/>
      <c r="L24" s="86" t="n"/>
      <c r="M24" s="81" t="n"/>
      <c r="N24" s="86" t="n"/>
      <c r="O24" s="87">
        <f>IF(AND($A24&lt;&gt;"",ISNUMBER($D24)),IF(AND(INT($D24)&gt;=TODAY(),INT($D24)-TODAY()&lt;=Set_InterviewWindow),$D24+ROW()/100000,""),"")</f>
        <v/>
      </c>
    </row>
    <row r="25">
      <c r="A25" s="82" t="n"/>
      <c r="B25" s="82" t="n"/>
      <c r="C25" s="82" t="n"/>
      <c r="D25" s="89" t="n"/>
      <c r="E25" s="82" t="n"/>
      <c r="F25" s="82" t="n"/>
      <c r="G25" s="82" t="n"/>
      <c r="H25" s="86" t="n"/>
      <c r="I25" s="86" t="n"/>
      <c r="J25" s="82" t="n"/>
      <c r="K25" s="86" t="n"/>
      <c r="L25" s="86" t="n"/>
      <c r="M25" s="81" t="n"/>
      <c r="N25" s="86" t="n"/>
      <c r="O25" s="87">
        <f>IF(AND($A25&lt;&gt;"",ISNUMBER($D25)),IF(AND(INT($D25)&gt;=TODAY(),INT($D25)-TODAY()&lt;=Set_InterviewWindow),$D25+ROW()/100000,""),"")</f>
        <v/>
      </c>
    </row>
    <row r="26">
      <c r="A26" s="82" t="n"/>
      <c r="B26" s="82" t="n"/>
      <c r="C26" s="82" t="n"/>
      <c r="D26" s="89" t="n"/>
      <c r="E26" s="82" t="n"/>
      <c r="F26" s="82" t="n"/>
      <c r="G26" s="82" t="n"/>
      <c r="H26" s="86" t="n"/>
      <c r="I26" s="86" t="n"/>
      <c r="J26" s="82" t="n"/>
      <c r="K26" s="86" t="n"/>
      <c r="L26" s="86" t="n"/>
      <c r="M26" s="81" t="n"/>
      <c r="N26" s="86" t="n"/>
      <c r="O26" s="87">
        <f>IF(AND($A26&lt;&gt;"",ISNUMBER($D26)),IF(AND(INT($D26)&gt;=TODAY(),INT($D26)-TODAY()&lt;=Set_InterviewWindow),$D26+ROW()/100000,""),"")</f>
        <v/>
      </c>
    </row>
    <row r="27">
      <c r="A27" s="82" t="n"/>
      <c r="B27" s="82" t="n"/>
      <c r="C27" s="82" t="n"/>
      <c r="D27" s="89" t="n"/>
      <c r="E27" s="82" t="n"/>
      <c r="F27" s="82" t="n"/>
      <c r="G27" s="82" t="n"/>
      <c r="H27" s="86" t="n"/>
      <c r="I27" s="86" t="n"/>
      <c r="J27" s="82" t="n"/>
      <c r="K27" s="86" t="n"/>
      <c r="L27" s="86" t="n"/>
      <c r="M27" s="81" t="n"/>
      <c r="N27" s="86" t="n"/>
      <c r="O27" s="87">
        <f>IF(AND($A27&lt;&gt;"",ISNUMBER($D27)),IF(AND(INT($D27)&gt;=TODAY(),INT($D27)-TODAY()&lt;=Set_InterviewWindow),$D27+ROW()/100000,""),"")</f>
        <v/>
      </c>
    </row>
    <row r="28">
      <c r="A28" s="82" t="n"/>
      <c r="B28" s="82" t="n"/>
      <c r="C28" s="82" t="n"/>
      <c r="D28" s="89" t="n"/>
      <c r="E28" s="82" t="n"/>
      <c r="F28" s="82" t="n"/>
      <c r="G28" s="82" t="n"/>
      <c r="H28" s="86" t="n"/>
      <c r="I28" s="86" t="n"/>
      <c r="J28" s="82" t="n"/>
      <c r="K28" s="86" t="n"/>
      <c r="L28" s="86" t="n"/>
      <c r="M28" s="81" t="n"/>
      <c r="N28" s="86" t="n"/>
      <c r="O28" s="87">
        <f>IF(AND($A28&lt;&gt;"",ISNUMBER($D28)),IF(AND(INT($D28)&gt;=TODAY(),INT($D28)-TODAY()&lt;=Set_InterviewWindow),$D28+ROW()/100000,""),"")</f>
        <v/>
      </c>
    </row>
    <row r="29">
      <c r="A29" s="82" t="n"/>
      <c r="B29" s="82" t="n"/>
      <c r="C29" s="82" t="n"/>
      <c r="D29" s="89" t="n"/>
      <c r="E29" s="82" t="n"/>
      <c r="F29" s="82" t="n"/>
      <c r="G29" s="82" t="n"/>
      <c r="H29" s="86" t="n"/>
      <c r="I29" s="86" t="n"/>
      <c r="J29" s="82" t="n"/>
      <c r="K29" s="86" t="n"/>
      <c r="L29" s="86" t="n"/>
      <c r="M29" s="81" t="n"/>
      <c r="N29" s="86" t="n"/>
      <c r="O29" s="87">
        <f>IF(AND($A29&lt;&gt;"",ISNUMBER($D29)),IF(AND(INT($D29)&gt;=TODAY(),INT($D29)-TODAY()&lt;=Set_InterviewWindow),$D29+ROW()/100000,""),"")</f>
        <v/>
      </c>
    </row>
    <row r="30">
      <c r="A30" s="82" t="n"/>
      <c r="B30" s="82" t="n"/>
      <c r="C30" s="82" t="n"/>
      <c r="D30" s="89" t="n"/>
      <c r="E30" s="82" t="n"/>
      <c r="F30" s="82" t="n"/>
      <c r="G30" s="82" t="n"/>
      <c r="H30" s="86" t="n"/>
      <c r="I30" s="86" t="n"/>
      <c r="J30" s="82" t="n"/>
      <c r="K30" s="86" t="n"/>
      <c r="L30" s="86" t="n"/>
      <c r="M30" s="81" t="n"/>
      <c r="N30" s="86" t="n"/>
      <c r="O30" s="87">
        <f>IF(AND($A30&lt;&gt;"",ISNUMBER($D30)),IF(AND(INT($D30)&gt;=TODAY(),INT($D30)-TODAY()&lt;=Set_InterviewWindow),$D30+ROW()/100000,""),"")</f>
        <v/>
      </c>
    </row>
    <row r="31">
      <c r="A31" s="82" t="n"/>
      <c r="B31" s="82" t="n"/>
      <c r="C31" s="82" t="n"/>
      <c r="D31" s="89" t="n"/>
      <c r="E31" s="82" t="n"/>
      <c r="F31" s="82" t="n"/>
      <c r="G31" s="82" t="n"/>
      <c r="H31" s="86" t="n"/>
      <c r="I31" s="86" t="n"/>
      <c r="J31" s="82" t="n"/>
      <c r="K31" s="86" t="n"/>
      <c r="L31" s="86" t="n"/>
      <c r="M31" s="81" t="n"/>
      <c r="N31" s="86" t="n"/>
      <c r="O31" s="87">
        <f>IF(AND($A31&lt;&gt;"",ISNUMBER($D31)),IF(AND(INT($D31)&gt;=TODAY(),INT($D31)-TODAY()&lt;=Set_InterviewWindow),$D31+ROW()/100000,""),"")</f>
        <v/>
      </c>
    </row>
    <row r="32">
      <c r="A32" s="82" t="n"/>
      <c r="B32" s="82" t="n"/>
      <c r="C32" s="82" t="n"/>
      <c r="D32" s="89" t="n"/>
      <c r="E32" s="82" t="n"/>
      <c r="F32" s="82" t="n"/>
      <c r="G32" s="82" t="n"/>
      <c r="H32" s="86" t="n"/>
      <c r="I32" s="86" t="n"/>
      <c r="J32" s="82" t="n"/>
      <c r="K32" s="86" t="n"/>
      <c r="L32" s="86" t="n"/>
      <c r="M32" s="81" t="n"/>
      <c r="N32" s="86" t="n"/>
      <c r="O32" s="87">
        <f>IF(AND($A32&lt;&gt;"",ISNUMBER($D32)),IF(AND(INT($D32)&gt;=TODAY(),INT($D32)-TODAY()&lt;=Set_InterviewWindow),$D32+ROW()/100000,""),"")</f>
        <v/>
      </c>
    </row>
    <row r="33">
      <c r="A33" s="82" t="n"/>
      <c r="B33" s="82" t="n"/>
      <c r="C33" s="82" t="n"/>
      <c r="D33" s="89" t="n"/>
      <c r="E33" s="82" t="n"/>
      <c r="F33" s="82" t="n"/>
      <c r="G33" s="82" t="n"/>
      <c r="H33" s="86" t="n"/>
      <c r="I33" s="86" t="n"/>
      <c r="J33" s="82" t="n"/>
      <c r="K33" s="86" t="n"/>
      <c r="L33" s="86" t="n"/>
      <c r="M33" s="81" t="n"/>
      <c r="N33" s="86" t="n"/>
      <c r="O33" s="87">
        <f>IF(AND($A33&lt;&gt;"",ISNUMBER($D33)),IF(AND(INT($D33)&gt;=TODAY(),INT($D33)-TODAY()&lt;=Set_InterviewWindow),$D33+ROW()/100000,""),"")</f>
        <v/>
      </c>
    </row>
    <row r="34">
      <c r="A34" s="82" t="n"/>
      <c r="B34" s="82" t="n"/>
      <c r="C34" s="82" t="n"/>
      <c r="D34" s="89" t="n"/>
      <c r="E34" s="82" t="n"/>
      <c r="F34" s="82" t="n"/>
      <c r="G34" s="82" t="n"/>
      <c r="H34" s="86" t="n"/>
      <c r="I34" s="86" t="n"/>
      <c r="J34" s="82" t="n"/>
      <c r="K34" s="86" t="n"/>
      <c r="L34" s="86" t="n"/>
      <c r="M34" s="81" t="n"/>
      <c r="N34" s="86" t="n"/>
      <c r="O34" s="87">
        <f>IF(AND($A34&lt;&gt;"",ISNUMBER($D34)),IF(AND(INT($D34)&gt;=TODAY(),INT($D34)-TODAY()&lt;=Set_InterviewWindow),$D34+ROW()/100000,""),"")</f>
        <v/>
      </c>
    </row>
    <row r="35">
      <c r="A35" s="82" t="n"/>
      <c r="B35" s="82" t="n"/>
      <c r="C35" s="82" t="n"/>
      <c r="D35" s="89" t="n"/>
      <c r="E35" s="82" t="n"/>
      <c r="F35" s="82" t="n"/>
      <c r="G35" s="82" t="n"/>
      <c r="H35" s="86" t="n"/>
      <c r="I35" s="86" t="n"/>
      <c r="J35" s="82" t="n"/>
      <c r="K35" s="86" t="n"/>
      <c r="L35" s="86" t="n"/>
      <c r="M35" s="81" t="n"/>
      <c r="N35" s="86" t="n"/>
      <c r="O35" s="87">
        <f>IF(AND($A35&lt;&gt;"",ISNUMBER($D35)),IF(AND(INT($D35)&gt;=TODAY(),INT($D35)-TODAY()&lt;=Set_InterviewWindow),$D35+ROW()/100000,""),"")</f>
        <v/>
      </c>
    </row>
    <row r="36">
      <c r="A36" s="82" t="n"/>
      <c r="B36" s="82" t="n"/>
      <c r="C36" s="82" t="n"/>
      <c r="D36" s="89" t="n"/>
      <c r="E36" s="82" t="n"/>
      <c r="F36" s="82" t="n"/>
      <c r="G36" s="82" t="n"/>
      <c r="H36" s="86" t="n"/>
      <c r="I36" s="86" t="n"/>
      <c r="J36" s="82" t="n"/>
      <c r="K36" s="86" t="n"/>
      <c r="L36" s="86" t="n"/>
      <c r="M36" s="81" t="n"/>
      <c r="N36" s="86" t="n"/>
      <c r="O36" s="87">
        <f>IF(AND($A36&lt;&gt;"",ISNUMBER($D36)),IF(AND(INT($D36)&gt;=TODAY(),INT($D36)-TODAY()&lt;=Set_InterviewWindow),$D36+ROW()/100000,""),"")</f>
        <v/>
      </c>
    </row>
    <row r="37">
      <c r="A37" s="82" t="n"/>
      <c r="B37" s="82" t="n"/>
      <c r="C37" s="82" t="n"/>
      <c r="D37" s="89" t="n"/>
      <c r="E37" s="82" t="n"/>
      <c r="F37" s="82" t="n"/>
      <c r="G37" s="82" t="n"/>
      <c r="H37" s="86" t="n"/>
      <c r="I37" s="86" t="n"/>
      <c r="J37" s="82" t="n"/>
      <c r="K37" s="86" t="n"/>
      <c r="L37" s="86" t="n"/>
      <c r="M37" s="81" t="n"/>
      <c r="N37" s="86" t="n"/>
      <c r="O37" s="87">
        <f>IF(AND($A37&lt;&gt;"",ISNUMBER($D37)),IF(AND(INT($D37)&gt;=TODAY(),INT($D37)-TODAY()&lt;=Set_InterviewWindow),$D37+ROW()/100000,""),"")</f>
        <v/>
      </c>
    </row>
    <row r="38">
      <c r="A38" s="82" t="n"/>
      <c r="B38" s="82" t="n"/>
      <c r="C38" s="82" t="n"/>
      <c r="D38" s="89" t="n"/>
      <c r="E38" s="82" t="n"/>
      <c r="F38" s="82" t="n"/>
      <c r="G38" s="82" t="n"/>
      <c r="H38" s="86" t="n"/>
      <c r="I38" s="86" t="n"/>
      <c r="J38" s="82" t="n"/>
      <c r="K38" s="86" t="n"/>
      <c r="L38" s="86" t="n"/>
      <c r="M38" s="81" t="n"/>
      <c r="N38" s="86" t="n"/>
      <c r="O38" s="87">
        <f>IF(AND($A38&lt;&gt;"",ISNUMBER($D38)),IF(AND(INT($D38)&gt;=TODAY(),INT($D38)-TODAY()&lt;=Set_InterviewWindow),$D38+ROW()/100000,""),"")</f>
        <v/>
      </c>
    </row>
    <row r="39">
      <c r="A39" s="82" t="n"/>
      <c r="B39" s="82" t="n"/>
      <c r="C39" s="82" t="n"/>
      <c r="D39" s="89" t="n"/>
      <c r="E39" s="82" t="n"/>
      <c r="F39" s="82" t="n"/>
      <c r="G39" s="82" t="n"/>
      <c r="H39" s="86" t="n"/>
      <c r="I39" s="86" t="n"/>
      <c r="J39" s="82" t="n"/>
      <c r="K39" s="86" t="n"/>
      <c r="L39" s="86" t="n"/>
      <c r="M39" s="81" t="n"/>
      <c r="N39" s="86" t="n"/>
      <c r="O39" s="87">
        <f>IF(AND($A39&lt;&gt;"",ISNUMBER($D39)),IF(AND(INT($D39)&gt;=TODAY(),INT($D39)-TODAY()&lt;=Set_InterviewWindow),$D39+ROW()/100000,""),"")</f>
        <v/>
      </c>
    </row>
    <row r="40">
      <c r="A40" s="82" t="n"/>
      <c r="B40" s="82" t="n"/>
      <c r="C40" s="82" t="n"/>
      <c r="D40" s="89" t="n"/>
      <c r="E40" s="82" t="n"/>
      <c r="F40" s="82" t="n"/>
      <c r="G40" s="82" t="n"/>
      <c r="H40" s="86" t="n"/>
      <c r="I40" s="86" t="n"/>
      <c r="J40" s="82" t="n"/>
      <c r="K40" s="86" t="n"/>
      <c r="L40" s="86" t="n"/>
      <c r="M40" s="81" t="n"/>
      <c r="N40" s="86" t="n"/>
      <c r="O40" s="87">
        <f>IF(AND($A40&lt;&gt;"",ISNUMBER($D40)),IF(AND(INT($D40)&gt;=TODAY(),INT($D40)-TODAY()&lt;=Set_InterviewWindow),$D40+ROW()/100000,""),"")</f>
        <v/>
      </c>
    </row>
    <row r="41">
      <c r="A41" s="82" t="n"/>
      <c r="B41" s="82" t="n"/>
      <c r="C41" s="82" t="n"/>
      <c r="D41" s="89" t="n"/>
      <c r="E41" s="82" t="n"/>
      <c r="F41" s="82" t="n"/>
      <c r="G41" s="82" t="n"/>
      <c r="H41" s="86" t="n"/>
      <c r="I41" s="86" t="n"/>
      <c r="J41" s="82" t="n"/>
      <c r="K41" s="86" t="n"/>
      <c r="L41" s="86" t="n"/>
      <c r="M41" s="81" t="n"/>
      <c r="N41" s="86" t="n"/>
      <c r="O41" s="87">
        <f>IF(AND($A41&lt;&gt;"",ISNUMBER($D41)),IF(AND(INT($D41)&gt;=TODAY(),INT($D41)-TODAY()&lt;=Set_InterviewWindow),$D41+ROW()/100000,""),"")</f>
        <v/>
      </c>
    </row>
    <row r="42">
      <c r="A42" s="82" t="n"/>
      <c r="B42" s="82" t="n"/>
      <c r="C42" s="82" t="n"/>
      <c r="D42" s="89" t="n"/>
      <c r="E42" s="82" t="n"/>
      <c r="F42" s="82" t="n"/>
      <c r="G42" s="82" t="n"/>
      <c r="H42" s="86" t="n"/>
      <c r="I42" s="86" t="n"/>
      <c r="J42" s="82" t="n"/>
      <c r="K42" s="86" t="n"/>
      <c r="L42" s="86" t="n"/>
      <c r="M42" s="81" t="n"/>
      <c r="N42" s="86" t="n"/>
      <c r="O42" s="87">
        <f>IF(AND($A42&lt;&gt;"",ISNUMBER($D42)),IF(AND(INT($D42)&gt;=TODAY(),INT($D42)-TODAY()&lt;=Set_InterviewWindow),$D42+ROW()/100000,""),"")</f>
        <v/>
      </c>
    </row>
    <row r="43">
      <c r="A43" s="82" t="n"/>
      <c r="B43" s="82" t="n"/>
      <c r="C43" s="82" t="n"/>
      <c r="D43" s="89" t="n"/>
      <c r="E43" s="82" t="n"/>
      <c r="F43" s="82" t="n"/>
      <c r="G43" s="82" t="n"/>
      <c r="H43" s="86" t="n"/>
      <c r="I43" s="86" t="n"/>
      <c r="J43" s="82" t="n"/>
      <c r="K43" s="86" t="n"/>
      <c r="L43" s="86" t="n"/>
      <c r="M43" s="81" t="n"/>
      <c r="N43" s="86" t="n"/>
      <c r="O43" s="87">
        <f>IF(AND($A43&lt;&gt;"",ISNUMBER($D43)),IF(AND(INT($D43)&gt;=TODAY(),INT($D43)-TODAY()&lt;=Set_InterviewWindow),$D43+ROW()/100000,""),"")</f>
        <v/>
      </c>
    </row>
    <row r="44">
      <c r="A44" s="82" t="n"/>
      <c r="B44" s="82" t="n"/>
      <c r="C44" s="82" t="n"/>
      <c r="D44" s="89" t="n"/>
      <c r="E44" s="82" t="n"/>
      <c r="F44" s="82" t="n"/>
      <c r="G44" s="82" t="n"/>
      <c r="H44" s="86" t="n"/>
      <c r="I44" s="86" t="n"/>
      <c r="J44" s="82" t="n"/>
      <c r="K44" s="86" t="n"/>
      <c r="L44" s="86" t="n"/>
      <c r="M44" s="81" t="n"/>
      <c r="N44" s="86" t="n"/>
      <c r="O44" s="87">
        <f>IF(AND($A44&lt;&gt;"",ISNUMBER($D44)),IF(AND(INT($D44)&gt;=TODAY(),INT($D44)-TODAY()&lt;=Set_InterviewWindow),$D44+ROW()/100000,""),"")</f>
        <v/>
      </c>
    </row>
    <row r="45">
      <c r="A45" s="82" t="n"/>
      <c r="B45" s="82" t="n"/>
      <c r="C45" s="82" t="n"/>
      <c r="D45" s="89" t="n"/>
      <c r="E45" s="82" t="n"/>
      <c r="F45" s="82" t="n"/>
      <c r="G45" s="82" t="n"/>
      <c r="H45" s="86" t="n"/>
      <c r="I45" s="86" t="n"/>
      <c r="J45" s="82" t="n"/>
      <c r="K45" s="86" t="n"/>
      <c r="L45" s="86" t="n"/>
      <c r="M45" s="81" t="n"/>
      <c r="N45" s="86" t="n"/>
      <c r="O45" s="87">
        <f>IF(AND($A45&lt;&gt;"",ISNUMBER($D45)),IF(AND(INT($D45)&gt;=TODAY(),INT($D45)-TODAY()&lt;=Set_InterviewWindow),$D45+ROW()/100000,""),"")</f>
        <v/>
      </c>
    </row>
    <row r="46">
      <c r="A46" s="82" t="n"/>
      <c r="B46" s="82" t="n"/>
      <c r="C46" s="82" t="n"/>
      <c r="D46" s="89" t="n"/>
      <c r="E46" s="82" t="n"/>
      <c r="F46" s="82" t="n"/>
      <c r="G46" s="82" t="n"/>
      <c r="H46" s="86" t="n"/>
      <c r="I46" s="86" t="n"/>
      <c r="J46" s="82" t="n"/>
      <c r="K46" s="86" t="n"/>
      <c r="L46" s="86" t="n"/>
      <c r="M46" s="81" t="n"/>
      <c r="N46" s="86" t="n"/>
      <c r="O46" s="87">
        <f>IF(AND($A46&lt;&gt;"",ISNUMBER($D46)),IF(AND(INT($D46)&gt;=TODAY(),INT($D46)-TODAY()&lt;=Set_InterviewWindow),$D46+ROW()/100000,""),"")</f>
        <v/>
      </c>
    </row>
    <row r="47">
      <c r="A47" s="82" t="n"/>
      <c r="B47" s="82" t="n"/>
      <c r="C47" s="82" t="n"/>
      <c r="D47" s="89" t="n"/>
      <c r="E47" s="82" t="n"/>
      <c r="F47" s="82" t="n"/>
      <c r="G47" s="82" t="n"/>
      <c r="H47" s="86" t="n"/>
      <c r="I47" s="86" t="n"/>
      <c r="J47" s="82" t="n"/>
      <c r="K47" s="86" t="n"/>
      <c r="L47" s="86" t="n"/>
      <c r="M47" s="81" t="n"/>
      <c r="N47" s="86" t="n"/>
      <c r="O47" s="87">
        <f>IF(AND($A47&lt;&gt;"",ISNUMBER($D47)),IF(AND(INT($D47)&gt;=TODAY(),INT($D47)-TODAY()&lt;=Set_InterviewWindow),$D47+ROW()/100000,""),"")</f>
        <v/>
      </c>
    </row>
    <row r="48">
      <c r="A48" s="82" t="n"/>
      <c r="B48" s="82" t="n"/>
      <c r="C48" s="82" t="n"/>
      <c r="D48" s="89" t="n"/>
      <c r="E48" s="82" t="n"/>
      <c r="F48" s="82" t="n"/>
      <c r="G48" s="82" t="n"/>
      <c r="H48" s="86" t="n"/>
      <c r="I48" s="86" t="n"/>
      <c r="J48" s="82" t="n"/>
      <c r="K48" s="86" t="n"/>
      <c r="L48" s="86" t="n"/>
      <c r="M48" s="81" t="n"/>
      <c r="N48" s="86" t="n"/>
      <c r="O48" s="87">
        <f>IF(AND($A48&lt;&gt;"",ISNUMBER($D48)),IF(AND(INT($D48)&gt;=TODAY(),INT($D48)-TODAY()&lt;=Set_InterviewWindow),$D48+ROW()/100000,""),"")</f>
        <v/>
      </c>
    </row>
    <row r="49">
      <c r="A49" s="82" t="n"/>
      <c r="B49" s="82" t="n"/>
      <c r="C49" s="82" t="n"/>
      <c r="D49" s="89" t="n"/>
      <c r="E49" s="82" t="n"/>
      <c r="F49" s="82" t="n"/>
      <c r="G49" s="82" t="n"/>
      <c r="H49" s="86" t="n"/>
      <c r="I49" s="86" t="n"/>
      <c r="J49" s="82" t="n"/>
      <c r="K49" s="86" t="n"/>
      <c r="L49" s="86" t="n"/>
      <c r="M49" s="81" t="n"/>
      <c r="N49" s="86" t="n"/>
      <c r="O49" s="87">
        <f>IF(AND($A49&lt;&gt;"",ISNUMBER($D49)),IF(AND(INT($D49)&gt;=TODAY(),INT($D49)-TODAY()&lt;=Set_InterviewWindow),$D49+ROW()/100000,""),"")</f>
        <v/>
      </c>
    </row>
    <row r="50">
      <c r="A50" s="82" t="n"/>
      <c r="B50" s="82" t="n"/>
      <c r="C50" s="82" t="n"/>
      <c r="D50" s="89" t="n"/>
      <c r="E50" s="82" t="n"/>
      <c r="F50" s="82" t="n"/>
      <c r="G50" s="82" t="n"/>
      <c r="H50" s="86" t="n"/>
      <c r="I50" s="86" t="n"/>
      <c r="J50" s="82" t="n"/>
      <c r="K50" s="86" t="n"/>
      <c r="L50" s="86" t="n"/>
      <c r="M50" s="81" t="n"/>
      <c r="N50" s="86" t="n"/>
      <c r="O50" s="87">
        <f>IF(AND($A50&lt;&gt;"",ISNUMBER($D50)),IF(AND(INT($D50)&gt;=TODAY(),INT($D50)-TODAY()&lt;=Set_InterviewWindow),$D50+ROW()/100000,""),"")</f>
        <v/>
      </c>
    </row>
    <row r="51">
      <c r="A51" s="82" t="n"/>
      <c r="B51" s="82" t="n"/>
      <c r="C51" s="82" t="n"/>
      <c r="D51" s="89" t="n"/>
      <c r="E51" s="82" t="n"/>
      <c r="F51" s="82" t="n"/>
      <c r="G51" s="82" t="n"/>
      <c r="H51" s="86" t="n"/>
      <c r="I51" s="86" t="n"/>
      <c r="J51" s="82" t="n"/>
      <c r="K51" s="86" t="n"/>
      <c r="L51" s="86" t="n"/>
      <c r="M51" s="81" t="n"/>
      <c r="N51" s="86" t="n"/>
      <c r="O51" s="87">
        <f>IF(AND($A51&lt;&gt;"",ISNUMBER($D51)),IF(AND(INT($D51)&gt;=TODAY(),INT($D51)-TODAY()&lt;=Set_InterviewWindow),$D51+ROW()/100000,""),"")</f>
        <v/>
      </c>
    </row>
    <row r="52">
      <c r="A52" s="82" t="n"/>
      <c r="B52" s="82" t="n"/>
      <c r="C52" s="82" t="n"/>
      <c r="D52" s="89" t="n"/>
      <c r="E52" s="82" t="n"/>
      <c r="F52" s="82" t="n"/>
      <c r="G52" s="82" t="n"/>
      <c r="H52" s="86" t="n"/>
      <c r="I52" s="86" t="n"/>
      <c r="J52" s="82" t="n"/>
      <c r="K52" s="86" t="n"/>
      <c r="L52" s="86" t="n"/>
      <c r="M52" s="81" t="n"/>
      <c r="N52" s="86" t="n"/>
      <c r="O52" s="87">
        <f>IF(AND($A52&lt;&gt;"",ISNUMBER($D52)),IF(AND(INT($D52)&gt;=TODAY(),INT($D52)-TODAY()&lt;=Set_InterviewWindow),$D52+ROW()/100000,""),"")</f>
        <v/>
      </c>
    </row>
    <row r="53">
      <c r="A53" s="82" t="n"/>
      <c r="B53" s="82" t="n"/>
      <c r="C53" s="82" t="n"/>
      <c r="D53" s="89" t="n"/>
      <c r="E53" s="82" t="n"/>
      <c r="F53" s="82" t="n"/>
      <c r="G53" s="82" t="n"/>
      <c r="H53" s="86" t="n"/>
      <c r="I53" s="86" t="n"/>
      <c r="J53" s="82" t="n"/>
      <c r="K53" s="86" t="n"/>
      <c r="L53" s="86" t="n"/>
      <c r="M53" s="81" t="n"/>
      <c r="N53" s="86" t="n"/>
      <c r="O53" s="87">
        <f>IF(AND($A53&lt;&gt;"",ISNUMBER($D53)),IF(AND(INT($D53)&gt;=TODAY(),INT($D53)-TODAY()&lt;=Set_InterviewWindow),$D53+ROW()/100000,""),"")</f>
        <v/>
      </c>
    </row>
    <row r="54">
      <c r="A54" s="82" t="n"/>
      <c r="B54" s="82" t="n"/>
      <c r="C54" s="82" t="n"/>
      <c r="D54" s="89" t="n"/>
      <c r="E54" s="82" t="n"/>
      <c r="F54" s="82" t="n"/>
      <c r="G54" s="82" t="n"/>
      <c r="H54" s="86" t="n"/>
      <c r="I54" s="86" t="n"/>
      <c r="J54" s="82" t="n"/>
      <c r="K54" s="86" t="n"/>
      <c r="L54" s="86" t="n"/>
      <c r="M54" s="81" t="n"/>
      <c r="N54" s="86" t="n"/>
      <c r="O54" s="87">
        <f>IF(AND($A54&lt;&gt;"",ISNUMBER($D54)),IF(AND(INT($D54)&gt;=TODAY(),INT($D54)-TODAY()&lt;=Set_InterviewWindow),$D54+ROW()/100000,""),"")</f>
        <v/>
      </c>
    </row>
    <row r="55">
      <c r="A55" s="82" t="n"/>
      <c r="B55" s="82" t="n"/>
      <c r="C55" s="82" t="n"/>
      <c r="D55" s="89" t="n"/>
      <c r="E55" s="82" t="n"/>
      <c r="F55" s="82" t="n"/>
      <c r="G55" s="82" t="n"/>
      <c r="H55" s="86" t="n"/>
      <c r="I55" s="86" t="n"/>
      <c r="J55" s="82" t="n"/>
      <c r="K55" s="86" t="n"/>
      <c r="L55" s="86" t="n"/>
      <c r="M55" s="81" t="n"/>
      <c r="N55" s="86" t="n"/>
      <c r="O55" s="87">
        <f>IF(AND($A55&lt;&gt;"",ISNUMBER($D55)),IF(AND(INT($D55)&gt;=TODAY(),INT($D55)-TODAY()&lt;=Set_InterviewWindow),$D55+ROW()/100000,""),"")</f>
        <v/>
      </c>
    </row>
    <row r="56">
      <c r="A56" s="82" t="n"/>
      <c r="B56" s="82" t="n"/>
      <c r="C56" s="82" t="n"/>
      <c r="D56" s="89" t="n"/>
      <c r="E56" s="82" t="n"/>
      <c r="F56" s="82" t="n"/>
      <c r="G56" s="82" t="n"/>
      <c r="H56" s="86" t="n"/>
      <c r="I56" s="86" t="n"/>
      <c r="J56" s="82" t="n"/>
      <c r="K56" s="86" t="n"/>
      <c r="L56" s="86" t="n"/>
      <c r="M56" s="81" t="n"/>
      <c r="N56" s="86" t="n"/>
      <c r="O56" s="87">
        <f>IF(AND($A56&lt;&gt;"",ISNUMBER($D56)),IF(AND(INT($D56)&gt;=TODAY(),INT($D56)-TODAY()&lt;=Set_InterviewWindow),$D56+ROW()/100000,""),"")</f>
        <v/>
      </c>
    </row>
    <row r="57">
      <c r="A57" s="82" t="n"/>
      <c r="B57" s="82" t="n"/>
      <c r="C57" s="82" t="n"/>
      <c r="D57" s="89" t="n"/>
      <c r="E57" s="82" t="n"/>
      <c r="F57" s="82" t="n"/>
      <c r="G57" s="82" t="n"/>
      <c r="H57" s="86" t="n"/>
      <c r="I57" s="86" t="n"/>
      <c r="J57" s="82" t="n"/>
      <c r="K57" s="86" t="n"/>
      <c r="L57" s="86" t="n"/>
      <c r="M57" s="81" t="n"/>
      <c r="N57" s="86" t="n"/>
      <c r="O57" s="87">
        <f>IF(AND($A57&lt;&gt;"",ISNUMBER($D57)),IF(AND(INT($D57)&gt;=TODAY(),INT($D57)-TODAY()&lt;=Set_InterviewWindow),$D57+ROW()/100000,""),"")</f>
        <v/>
      </c>
    </row>
    <row r="58">
      <c r="A58" s="82" t="n"/>
      <c r="B58" s="82" t="n"/>
      <c r="C58" s="82" t="n"/>
      <c r="D58" s="89" t="n"/>
      <c r="E58" s="82" t="n"/>
      <c r="F58" s="82" t="n"/>
      <c r="G58" s="82" t="n"/>
      <c r="H58" s="86" t="n"/>
      <c r="I58" s="86" t="n"/>
      <c r="J58" s="82" t="n"/>
      <c r="K58" s="86" t="n"/>
      <c r="L58" s="86" t="n"/>
      <c r="M58" s="81" t="n"/>
      <c r="N58" s="86" t="n"/>
      <c r="O58" s="87">
        <f>IF(AND($A58&lt;&gt;"",ISNUMBER($D58)),IF(AND(INT($D58)&gt;=TODAY(),INT($D58)-TODAY()&lt;=Set_InterviewWindow),$D58+ROW()/100000,""),"")</f>
        <v/>
      </c>
    </row>
    <row r="59">
      <c r="A59" s="82" t="n"/>
      <c r="B59" s="82" t="n"/>
      <c r="C59" s="82" t="n"/>
      <c r="D59" s="89" t="n"/>
      <c r="E59" s="82" t="n"/>
      <c r="F59" s="82" t="n"/>
      <c r="G59" s="82" t="n"/>
      <c r="H59" s="86" t="n"/>
      <c r="I59" s="86" t="n"/>
      <c r="J59" s="82" t="n"/>
      <c r="K59" s="86" t="n"/>
      <c r="L59" s="86" t="n"/>
      <c r="M59" s="81" t="n"/>
      <c r="N59" s="86" t="n"/>
      <c r="O59" s="87">
        <f>IF(AND($A59&lt;&gt;"",ISNUMBER($D59)),IF(AND(INT($D59)&gt;=TODAY(),INT($D59)-TODAY()&lt;=Set_InterviewWindow),$D59+ROW()/100000,""),"")</f>
        <v/>
      </c>
    </row>
    <row r="60">
      <c r="A60" s="82" t="n"/>
      <c r="B60" s="82" t="n"/>
      <c r="C60" s="82" t="n"/>
      <c r="D60" s="89" t="n"/>
      <c r="E60" s="82" t="n"/>
      <c r="F60" s="82" t="n"/>
      <c r="G60" s="82" t="n"/>
      <c r="H60" s="86" t="n"/>
      <c r="I60" s="86" t="n"/>
      <c r="J60" s="82" t="n"/>
      <c r="K60" s="86" t="n"/>
      <c r="L60" s="86" t="n"/>
      <c r="M60" s="81" t="n"/>
      <c r="N60" s="86" t="n"/>
      <c r="O60" s="87">
        <f>IF(AND($A60&lt;&gt;"",ISNUMBER($D60)),IF(AND(INT($D60)&gt;=TODAY(),INT($D60)-TODAY()&lt;=Set_InterviewWindow),$D60+ROW()/100000,""),"")</f>
        <v/>
      </c>
    </row>
    <row r="61">
      <c r="A61" s="82" t="n"/>
      <c r="B61" s="82" t="n"/>
      <c r="C61" s="82" t="n"/>
      <c r="D61" s="89" t="n"/>
      <c r="E61" s="82" t="n"/>
      <c r="F61" s="82" t="n"/>
      <c r="G61" s="82" t="n"/>
      <c r="H61" s="86" t="n"/>
      <c r="I61" s="86" t="n"/>
      <c r="J61" s="82" t="n"/>
      <c r="K61" s="86" t="n"/>
      <c r="L61" s="86" t="n"/>
      <c r="M61" s="81" t="n"/>
      <c r="N61" s="86" t="n"/>
      <c r="O61" s="87">
        <f>IF(AND($A61&lt;&gt;"",ISNUMBER($D61)),IF(AND(INT($D61)&gt;=TODAY(),INT($D61)-TODAY()&lt;=Set_InterviewWindow),$D61+ROW()/100000,""),"")</f>
        <v/>
      </c>
    </row>
    <row r="62">
      <c r="A62" s="82" t="n"/>
      <c r="B62" s="82" t="n"/>
      <c r="C62" s="82" t="n"/>
      <c r="D62" s="89" t="n"/>
      <c r="E62" s="82" t="n"/>
      <c r="F62" s="82" t="n"/>
      <c r="G62" s="82" t="n"/>
      <c r="H62" s="86" t="n"/>
      <c r="I62" s="86" t="n"/>
      <c r="J62" s="82" t="n"/>
      <c r="K62" s="86" t="n"/>
      <c r="L62" s="86" t="n"/>
      <c r="M62" s="81" t="n"/>
      <c r="N62" s="86" t="n"/>
      <c r="O62" s="87">
        <f>IF(AND($A62&lt;&gt;"",ISNUMBER($D62)),IF(AND(INT($D62)&gt;=TODAY(),INT($D62)-TODAY()&lt;=Set_InterviewWindow),$D62+ROW()/100000,""),"")</f>
        <v/>
      </c>
    </row>
    <row r="63">
      <c r="A63" s="82" t="n"/>
      <c r="B63" s="82" t="n"/>
      <c r="C63" s="82" t="n"/>
      <c r="D63" s="89" t="n"/>
      <c r="E63" s="82" t="n"/>
      <c r="F63" s="82" t="n"/>
      <c r="G63" s="82" t="n"/>
      <c r="H63" s="86" t="n"/>
      <c r="I63" s="86" t="n"/>
      <c r="J63" s="82" t="n"/>
      <c r="K63" s="86" t="n"/>
      <c r="L63" s="86" t="n"/>
      <c r="M63" s="81" t="n"/>
      <c r="N63" s="86" t="n"/>
      <c r="O63" s="87">
        <f>IF(AND($A63&lt;&gt;"",ISNUMBER($D63)),IF(AND(INT($D63)&gt;=TODAY(),INT($D63)-TODAY()&lt;=Set_InterviewWindow),$D63+ROW()/100000,""),"")</f>
        <v/>
      </c>
    </row>
    <row r="64">
      <c r="A64" s="82" t="n"/>
      <c r="B64" s="82" t="n"/>
      <c r="C64" s="82" t="n"/>
      <c r="D64" s="89" t="n"/>
      <c r="E64" s="82" t="n"/>
      <c r="F64" s="82" t="n"/>
      <c r="G64" s="82" t="n"/>
      <c r="H64" s="86" t="n"/>
      <c r="I64" s="86" t="n"/>
      <c r="J64" s="82" t="n"/>
      <c r="K64" s="86" t="n"/>
      <c r="L64" s="86" t="n"/>
      <c r="M64" s="81" t="n"/>
      <c r="N64" s="86" t="n"/>
      <c r="O64" s="87">
        <f>IF(AND($A64&lt;&gt;"",ISNUMBER($D64)),IF(AND(INT($D64)&gt;=TODAY(),INT($D64)-TODAY()&lt;=Set_InterviewWindow),$D64+ROW()/100000,""),"")</f>
        <v/>
      </c>
    </row>
    <row r="65">
      <c r="A65" s="82" t="n"/>
      <c r="B65" s="82" t="n"/>
      <c r="C65" s="82" t="n"/>
      <c r="D65" s="89" t="n"/>
      <c r="E65" s="82" t="n"/>
      <c r="F65" s="82" t="n"/>
      <c r="G65" s="82" t="n"/>
      <c r="H65" s="86" t="n"/>
      <c r="I65" s="86" t="n"/>
      <c r="J65" s="82" t="n"/>
      <c r="K65" s="86" t="n"/>
      <c r="L65" s="86" t="n"/>
      <c r="M65" s="81" t="n"/>
      <c r="N65" s="86" t="n"/>
      <c r="O65" s="87">
        <f>IF(AND($A65&lt;&gt;"",ISNUMBER($D65)),IF(AND(INT($D65)&gt;=TODAY(),INT($D65)-TODAY()&lt;=Set_InterviewWindow),$D65+ROW()/100000,""),"")</f>
        <v/>
      </c>
    </row>
    <row r="66">
      <c r="A66" s="82" t="n"/>
      <c r="B66" s="82" t="n"/>
      <c r="C66" s="82" t="n"/>
      <c r="D66" s="89" t="n"/>
      <c r="E66" s="82" t="n"/>
      <c r="F66" s="82" t="n"/>
      <c r="G66" s="82" t="n"/>
      <c r="H66" s="86" t="n"/>
      <c r="I66" s="86" t="n"/>
      <c r="J66" s="82" t="n"/>
      <c r="K66" s="86" t="n"/>
      <c r="L66" s="86" t="n"/>
      <c r="M66" s="81" t="n"/>
      <c r="N66" s="86" t="n"/>
      <c r="O66" s="87">
        <f>IF(AND($A66&lt;&gt;"",ISNUMBER($D66)),IF(AND(INT($D66)&gt;=TODAY(),INT($D66)-TODAY()&lt;=Set_InterviewWindow),$D66+ROW()/100000,""),"")</f>
        <v/>
      </c>
    </row>
    <row r="67">
      <c r="A67" s="82" t="n"/>
      <c r="B67" s="82" t="n"/>
      <c r="C67" s="82" t="n"/>
      <c r="D67" s="89" t="n"/>
      <c r="E67" s="82" t="n"/>
      <c r="F67" s="82" t="n"/>
      <c r="G67" s="82" t="n"/>
      <c r="H67" s="86" t="n"/>
      <c r="I67" s="86" t="n"/>
      <c r="J67" s="82" t="n"/>
      <c r="K67" s="86" t="n"/>
      <c r="L67" s="86" t="n"/>
      <c r="M67" s="81" t="n"/>
      <c r="N67" s="86" t="n"/>
      <c r="O67" s="87">
        <f>IF(AND($A67&lt;&gt;"",ISNUMBER($D67)),IF(AND(INT($D67)&gt;=TODAY(),INT($D67)-TODAY()&lt;=Set_InterviewWindow),$D67+ROW()/100000,""),"")</f>
        <v/>
      </c>
    </row>
    <row r="68">
      <c r="A68" s="82" t="n"/>
      <c r="B68" s="82" t="n"/>
      <c r="C68" s="82" t="n"/>
      <c r="D68" s="89" t="n"/>
      <c r="E68" s="82" t="n"/>
      <c r="F68" s="82" t="n"/>
      <c r="G68" s="82" t="n"/>
      <c r="H68" s="86" t="n"/>
      <c r="I68" s="86" t="n"/>
      <c r="J68" s="82" t="n"/>
      <c r="K68" s="86" t="n"/>
      <c r="L68" s="86" t="n"/>
      <c r="M68" s="81" t="n"/>
      <c r="N68" s="86" t="n"/>
      <c r="O68" s="87">
        <f>IF(AND($A68&lt;&gt;"",ISNUMBER($D68)),IF(AND(INT($D68)&gt;=TODAY(),INT($D68)-TODAY()&lt;=Set_InterviewWindow),$D68+ROW()/100000,""),"")</f>
        <v/>
      </c>
    </row>
    <row r="69">
      <c r="A69" s="82" t="n"/>
      <c r="B69" s="82" t="n"/>
      <c r="C69" s="82" t="n"/>
      <c r="D69" s="89" t="n"/>
      <c r="E69" s="82" t="n"/>
      <c r="F69" s="82" t="n"/>
      <c r="G69" s="82" t="n"/>
      <c r="H69" s="86" t="n"/>
      <c r="I69" s="86" t="n"/>
      <c r="J69" s="82" t="n"/>
      <c r="K69" s="86" t="n"/>
      <c r="L69" s="86" t="n"/>
      <c r="M69" s="81" t="n"/>
      <c r="N69" s="86" t="n"/>
      <c r="O69" s="87">
        <f>IF(AND($A69&lt;&gt;"",ISNUMBER($D69)),IF(AND(INT($D69)&gt;=TODAY(),INT($D69)-TODAY()&lt;=Set_InterviewWindow),$D69+ROW()/100000,""),"")</f>
        <v/>
      </c>
    </row>
    <row r="70">
      <c r="A70" s="82" t="n"/>
      <c r="B70" s="82" t="n"/>
      <c r="C70" s="82" t="n"/>
      <c r="D70" s="89" t="n"/>
      <c r="E70" s="82" t="n"/>
      <c r="F70" s="82" t="n"/>
      <c r="G70" s="82" t="n"/>
      <c r="H70" s="86" t="n"/>
      <c r="I70" s="86" t="n"/>
      <c r="J70" s="82" t="n"/>
      <c r="K70" s="86" t="n"/>
      <c r="L70" s="86" t="n"/>
      <c r="M70" s="81" t="n"/>
      <c r="N70" s="86" t="n"/>
      <c r="O70" s="87">
        <f>IF(AND($A70&lt;&gt;"",ISNUMBER($D70)),IF(AND(INT($D70)&gt;=TODAY(),INT($D70)-TODAY()&lt;=Set_InterviewWindow),$D70+ROW()/100000,""),"")</f>
        <v/>
      </c>
    </row>
    <row r="71">
      <c r="A71" s="82" t="n"/>
      <c r="B71" s="82" t="n"/>
      <c r="C71" s="82" t="n"/>
      <c r="D71" s="89" t="n"/>
      <c r="E71" s="82" t="n"/>
      <c r="F71" s="82" t="n"/>
      <c r="G71" s="82" t="n"/>
      <c r="H71" s="86" t="n"/>
      <c r="I71" s="86" t="n"/>
      <c r="J71" s="82" t="n"/>
      <c r="K71" s="86" t="n"/>
      <c r="L71" s="86" t="n"/>
      <c r="M71" s="81" t="n"/>
      <c r="N71" s="86" t="n"/>
      <c r="O71" s="87">
        <f>IF(AND($A71&lt;&gt;"",ISNUMBER($D71)),IF(AND(INT($D71)&gt;=TODAY(),INT($D71)-TODAY()&lt;=Set_InterviewWindow),$D71+ROW()/100000,""),"")</f>
        <v/>
      </c>
    </row>
    <row r="72">
      <c r="A72" s="82" t="n"/>
      <c r="B72" s="82" t="n"/>
      <c r="C72" s="82" t="n"/>
      <c r="D72" s="89" t="n"/>
      <c r="E72" s="82" t="n"/>
      <c r="F72" s="82" t="n"/>
      <c r="G72" s="82" t="n"/>
      <c r="H72" s="86" t="n"/>
      <c r="I72" s="86" t="n"/>
      <c r="J72" s="82" t="n"/>
      <c r="K72" s="86" t="n"/>
      <c r="L72" s="86" t="n"/>
      <c r="M72" s="81" t="n"/>
      <c r="N72" s="86" t="n"/>
      <c r="O72" s="87">
        <f>IF(AND($A72&lt;&gt;"",ISNUMBER($D72)),IF(AND(INT($D72)&gt;=TODAY(),INT($D72)-TODAY()&lt;=Set_InterviewWindow),$D72+ROW()/100000,""),"")</f>
        <v/>
      </c>
    </row>
    <row r="73">
      <c r="A73" s="82" t="n"/>
      <c r="B73" s="82" t="n"/>
      <c r="C73" s="82" t="n"/>
      <c r="D73" s="89" t="n"/>
      <c r="E73" s="82" t="n"/>
      <c r="F73" s="82" t="n"/>
      <c r="G73" s="82" t="n"/>
      <c r="H73" s="86" t="n"/>
      <c r="I73" s="86" t="n"/>
      <c r="J73" s="82" t="n"/>
      <c r="K73" s="86" t="n"/>
      <c r="L73" s="86" t="n"/>
      <c r="M73" s="81" t="n"/>
      <c r="N73" s="86" t="n"/>
      <c r="O73" s="87">
        <f>IF(AND($A73&lt;&gt;"",ISNUMBER($D73)),IF(AND(INT($D73)&gt;=TODAY(),INT($D73)-TODAY()&lt;=Set_InterviewWindow),$D73+ROW()/100000,""),"")</f>
        <v/>
      </c>
    </row>
    <row r="74">
      <c r="A74" s="82" t="n"/>
      <c r="B74" s="82" t="n"/>
      <c r="C74" s="82" t="n"/>
      <c r="D74" s="89" t="n"/>
      <c r="E74" s="82" t="n"/>
      <c r="F74" s="82" t="n"/>
      <c r="G74" s="82" t="n"/>
      <c r="H74" s="86" t="n"/>
      <c r="I74" s="86" t="n"/>
      <c r="J74" s="82" t="n"/>
      <c r="K74" s="86" t="n"/>
      <c r="L74" s="86" t="n"/>
      <c r="M74" s="81" t="n"/>
      <c r="N74" s="86" t="n"/>
      <c r="O74" s="87">
        <f>IF(AND($A74&lt;&gt;"",ISNUMBER($D74)),IF(AND(INT($D74)&gt;=TODAY(),INT($D74)-TODAY()&lt;=Set_InterviewWindow),$D74+ROW()/100000,""),"")</f>
        <v/>
      </c>
    </row>
    <row r="75">
      <c r="A75" s="82" t="n"/>
      <c r="B75" s="82" t="n"/>
      <c r="C75" s="82" t="n"/>
      <c r="D75" s="89" t="n"/>
      <c r="E75" s="82" t="n"/>
      <c r="F75" s="82" t="n"/>
      <c r="G75" s="82" t="n"/>
      <c r="H75" s="86" t="n"/>
      <c r="I75" s="86" t="n"/>
      <c r="J75" s="82" t="n"/>
      <c r="K75" s="86" t="n"/>
      <c r="L75" s="86" t="n"/>
      <c r="M75" s="81" t="n"/>
      <c r="N75" s="86" t="n"/>
      <c r="O75" s="87">
        <f>IF(AND($A75&lt;&gt;"",ISNUMBER($D75)),IF(AND(INT($D75)&gt;=TODAY(),INT($D75)-TODAY()&lt;=Set_InterviewWindow),$D75+ROW()/100000,""),"")</f>
        <v/>
      </c>
    </row>
    <row r="76">
      <c r="A76" s="82" t="n"/>
      <c r="B76" s="82" t="n"/>
      <c r="C76" s="82" t="n"/>
      <c r="D76" s="89" t="n"/>
      <c r="E76" s="82" t="n"/>
      <c r="F76" s="82" t="n"/>
      <c r="G76" s="82" t="n"/>
      <c r="H76" s="86" t="n"/>
      <c r="I76" s="86" t="n"/>
      <c r="J76" s="82" t="n"/>
      <c r="K76" s="86" t="n"/>
      <c r="L76" s="86" t="n"/>
      <c r="M76" s="81" t="n"/>
      <c r="N76" s="86" t="n"/>
      <c r="O76" s="87">
        <f>IF(AND($A76&lt;&gt;"",ISNUMBER($D76)),IF(AND(INT($D76)&gt;=TODAY(),INT($D76)-TODAY()&lt;=Set_InterviewWindow),$D76+ROW()/100000,""),"")</f>
        <v/>
      </c>
    </row>
    <row r="77">
      <c r="A77" s="82" t="n"/>
      <c r="B77" s="82" t="n"/>
      <c r="C77" s="82" t="n"/>
      <c r="D77" s="89" t="n"/>
      <c r="E77" s="82" t="n"/>
      <c r="F77" s="82" t="n"/>
      <c r="G77" s="82" t="n"/>
      <c r="H77" s="86" t="n"/>
      <c r="I77" s="86" t="n"/>
      <c r="J77" s="82" t="n"/>
      <c r="K77" s="86" t="n"/>
      <c r="L77" s="86" t="n"/>
      <c r="M77" s="81" t="n"/>
      <c r="N77" s="86" t="n"/>
      <c r="O77" s="87">
        <f>IF(AND($A77&lt;&gt;"",ISNUMBER($D77)),IF(AND(INT($D77)&gt;=TODAY(),INT($D77)-TODAY()&lt;=Set_InterviewWindow),$D77+ROW()/100000,""),"")</f>
        <v/>
      </c>
    </row>
    <row r="78">
      <c r="A78" s="82" t="n"/>
      <c r="B78" s="82" t="n"/>
      <c r="C78" s="82" t="n"/>
      <c r="D78" s="89" t="n"/>
      <c r="E78" s="82" t="n"/>
      <c r="F78" s="82" t="n"/>
      <c r="G78" s="82" t="n"/>
      <c r="H78" s="86" t="n"/>
      <c r="I78" s="86" t="n"/>
      <c r="J78" s="82" t="n"/>
      <c r="K78" s="86" t="n"/>
      <c r="L78" s="86" t="n"/>
      <c r="M78" s="81" t="n"/>
      <c r="N78" s="86" t="n"/>
      <c r="O78" s="87">
        <f>IF(AND($A78&lt;&gt;"",ISNUMBER($D78)),IF(AND(INT($D78)&gt;=TODAY(),INT($D78)-TODAY()&lt;=Set_InterviewWindow),$D78+ROW()/100000,""),"")</f>
        <v/>
      </c>
    </row>
    <row r="79">
      <c r="A79" s="82" t="n"/>
      <c r="B79" s="82" t="n"/>
      <c r="C79" s="82" t="n"/>
      <c r="D79" s="89" t="n"/>
      <c r="E79" s="82" t="n"/>
      <c r="F79" s="82" t="n"/>
      <c r="G79" s="82" t="n"/>
      <c r="H79" s="86" t="n"/>
      <c r="I79" s="86" t="n"/>
      <c r="J79" s="82" t="n"/>
      <c r="K79" s="86" t="n"/>
      <c r="L79" s="86" t="n"/>
      <c r="M79" s="81" t="n"/>
      <c r="N79" s="86" t="n"/>
      <c r="O79" s="87">
        <f>IF(AND($A79&lt;&gt;"",ISNUMBER($D79)),IF(AND(INT($D79)&gt;=TODAY(),INT($D79)-TODAY()&lt;=Set_InterviewWindow),$D79+ROW()/100000,""),"")</f>
        <v/>
      </c>
    </row>
    <row r="80">
      <c r="A80" s="82" t="n"/>
      <c r="B80" s="82" t="n"/>
      <c r="C80" s="82" t="n"/>
      <c r="D80" s="89" t="n"/>
      <c r="E80" s="82" t="n"/>
      <c r="F80" s="82" t="n"/>
      <c r="G80" s="82" t="n"/>
      <c r="H80" s="86" t="n"/>
      <c r="I80" s="86" t="n"/>
      <c r="J80" s="82" t="n"/>
      <c r="K80" s="86" t="n"/>
      <c r="L80" s="86" t="n"/>
      <c r="M80" s="81" t="n"/>
      <c r="N80" s="86" t="n"/>
      <c r="O80" s="87">
        <f>IF(AND($A80&lt;&gt;"",ISNUMBER($D80)),IF(AND(INT($D80)&gt;=TODAY(),INT($D80)-TODAY()&lt;=Set_InterviewWindow),$D80+ROW()/100000,""),"")</f>
        <v/>
      </c>
    </row>
    <row r="81">
      <c r="A81" s="82" t="n"/>
      <c r="B81" s="82" t="n"/>
      <c r="C81" s="82" t="n"/>
      <c r="D81" s="89" t="n"/>
      <c r="E81" s="82" t="n"/>
      <c r="F81" s="82" t="n"/>
      <c r="G81" s="82" t="n"/>
      <c r="H81" s="86" t="n"/>
      <c r="I81" s="86" t="n"/>
      <c r="J81" s="82" t="n"/>
      <c r="K81" s="86" t="n"/>
      <c r="L81" s="86" t="n"/>
      <c r="M81" s="81" t="n"/>
      <c r="N81" s="86" t="n"/>
      <c r="O81" s="87">
        <f>IF(AND($A81&lt;&gt;"",ISNUMBER($D81)),IF(AND(INT($D81)&gt;=TODAY(),INT($D81)-TODAY()&lt;=Set_InterviewWindow),$D81+ROW()/100000,""),"")</f>
        <v/>
      </c>
    </row>
    <row r="82">
      <c r="A82" s="82" t="n"/>
      <c r="B82" s="82" t="n"/>
      <c r="C82" s="82" t="n"/>
      <c r="D82" s="89" t="n"/>
      <c r="E82" s="82" t="n"/>
      <c r="F82" s="82" t="n"/>
      <c r="G82" s="82" t="n"/>
      <c r="H82" s="86" t="n"/>
      <c r="I82" s="86" t="n"/>
      <c r="J82" s="82" t="n"/>
      <c r="K82" s="86" t="n"/>
      <c r="L82" s="86" t="n"/>
      <c r="M82" s="81" t="n"/>
      <c r="N82" s="86" t="n"/>
      <c r="O82" s="87">
        <f>IF(AND($A82&lt;&gt;"",ISNUMBER($D82)),IF(AND(INT($D82)&gt;=TODAY(),INT($D82)-TODAY()&lt;=Set_InterviewWindow),$D82+ROW()/100000,""),"")</f>
        <v/>
      </c>
    </row>
    <row r="83">
      <c r="A83" s="82" t="n"/>
      <c r="B83" s="82" t="n"/>
      <c r="C83" s="82" t="n"/>
      <c r="D83" s="89" t="n"/>
      <c r="E83" s="82" t="n"/>
      <c r="F83" s="82" t="n"/>
      <c r="G83" s="82" t="n"/>
      <c r="H83" s="86" t="n"/>
      <c r="I83" s="86" t="n"/>
      <c r="J83" s="82" t="n"/>
      <c r="K83" s="86" t="n"/>
      <c r="L83" s="86" t="n"/>
      <c r="M83" s="81" t="n"/>
      <c r="N83" s="86" t="n"/>
      <c r="O83" s="87">
        <f>IF(AND($A83&lt;&gt;"",ISNUMBER($D83)),IF(AND(INT($D83)&gt;=TODAY(),INT($D83)-TODAY()&lt;=Set_InterviewWindow),$D83+ROW()/100000,""),"")</f>
        <v/>
      </c>
    </row>
    <row r="84">
      <c r="A84" s="82" t="n"/>
      <c r="B84" s="82" t="n"/>
      <c r="C84" s="82" t="n"/>
      <c r="D84" s="89" t="n"/>
      <c r="E84" s="82" t="n"/>
      <c r="F84" s="82" t="n"/>
      <c r="G84" s="82" t="n"/>
      <c r="H84" s="86" t="n"/>
      <c r="I84" s="86" t="n"/>
      <c r="J84" s="82" t="n"/>
      <c r="K84" s="86" t="n"/>
      <c r="L84" s="86" t="n"/>
      <c r="M84" s="81" t="n"/>
      <c r="N84" s="86" t="n"/>
      <c r="O84" s="87">
        <f>IF(AND($A84&lt;&gt;"",ISNUMBER($D84)),IF(AND(INT($D84)&gt;=TODAY(),INT($D84)-TODAY()&lt;=Set_InterviewWindow),$D84+ROW()/100000,""),"")</f>
        <v/>
      </c>
    </row>
    <row r="85">
      <c r="A85" s="82" t="n"/>
      <c r="B85" s="82" t="n"/>
      <c r="C85" s="82" t="n"/>
      <c r="D85" s="89" t="n"/>
      <c r="E85" s="82" t="n"/>
      <c r="F85" s="82" t="n"/>
      <c r="G85" s="82" t="n"/>
      <c r="H85" s="86" t="n"/>
      <c r="I85" s="86" t="n"/>
      <c r="J85" s="82" t="n"/>
      <c r="K85" s="86" t="n"/>
      <c r="L85" s="86" t="n"/>
      <c r="M85" s="81" t="n"/>
      <c r="N85" s="86" t="n"/>
      <c r="O85" s="87">
        <f>IF(AND($A85&lt;&gt;"",ISNUMBER($D85)),IF(AND(INT($D85)&gt;=TODAY(),INT($D85)-TODAY()&lt;=Set_InterviewWindow),$D85+ROW()/100000,""),"")</f>
        <v/>
      </c>
    </row>
    <row r="86">
      <c r="A86" s="82" t="n"/>
      <c r="B86" s="82" t="n"/>
      <c r="C86" s="82" t="n"/>
      <c r="D86" s="89" t="n"/>
      <c r="E86" s="82" t="n"/>
      <c r="F86" s="82" t="n"/>
      <c r="G86" s="82" t="n"/>
      <c r="H86" s="86" t="n"/>
      <c r="I86" s="86" t="n"/>
      <c r="J86" s="82" t="n"/>
      <c r="K86" s="86" t="n"/>
      <c r="L86" s="86" t="n"/>
      <c r="M86" s="81" t="n"/>
      <c r="N86" s="86" t="n"/>
      <c r="O86" s="87">
        <f>IF(AND($A86&lt;&gt;"",ISNUMBER($D86)),IF(AND(INT($D86)&gt;=TODAY(),INT($D86)-TODAY()&lt;=Set_InterviewWindow),$D86+ROW()/100000,""),"")</f>
        <v/>
      </c>
    </row>
    <row r="87">
      <c r="A87" s="82" t="n"/>
      <c r="B87" s="82" t="n"/>
      <c r="C87" s="82" t="n"/>
      <c r="D87" s="89" t="n"/>
      <c r="E87" s="82" t="n"/>
      <c r="F87" s="82" t="n"/>
      <c r="G87" s="82" t="n"/>
      <c r="H87" s="86" t="n"/>
      <c r="I87" s="86" t="n"/>
      <c r="J87" s="82" t="n"/>
      <c r="K87" s="86" t="n"/>
      <c r="L87" s="86" t="n"/>
      <c r="M87" s="81" t="n"/>
      <c r="N87" s="86" t="n"/>
      <c r="O87" s="87">
        <f>IF(AND($A87&lt;&gt;"",ISNUMBER($D87)),IF(AND(INT($D87)&gt;=TODAY(),INT($D87)-TODAY()&lt;=Set_InterviewWindow),$D87+ROW()/100000,""),"")</f>
        <v/>
      </c>
    </row>
    <row r="88">
      <c r="A88" s="82" t="n"/>
      <c r="B88" s="82" t="n"/>
      <c r="C88" s="82" t="n"/>
      <c r="D88" s="89" t="n"/>
      <c r="E88" s="82" t="n"/>
      <c r="F88" s="82" t="n"/>
      <c r="G88" s="82" t="n"/>
      <c r="H88" s="86" t="n"/>
      <c r="I88" s="86" t="n"/>
      <c r="J88" s="82" t="n"/>
      <c r="K88" s="86" t="n"/>
      <c r="L88" s="86" t="n"/>
      <c r="M88" s="81" t="n"/>
      <c r="N88" s="86" t="n"/>
      <c r="O88" s="87">
        <f>IF(AND($A88&lt;&gt;"",ISNUMBER($D88)),IF(AND(INT($D88)&gt;=TODAY(),INT($D88)-TODAY()&lt;=Set_InterviewWindow),$D88+ROW()/100000,""),"")</f>
        <v/>
      </c>
    </row>
    <row r="89">
      <c r="A89" s="82" t="n"/>
      <c r="B89" s="82" t="n"/>
      <c r="C89" s="82" t="n"/>
      <c r="D89" s="89" t="n"/>
      <c r="E89" s="82" t="n"/>
      <c r="F89" s="82" t="n"/>
      <c r="G89" s="82" t="n"/>
      <c r="H89" s="86" t="n"/>
      <c r="I89" s="86" t="n"/>
      <c r="J89" s="82" t="n"/>
      <c r="K89" s="86" t="n"/>
      <c r="L89" s="86" t="n"/>
      <c r="M89" s="81" t="n"/>
      <c r="N89" s="86" t="n"/>
      <c r="O89" s="87">
        <f>IF(AND($A89&lt;&gt;"",ISNUMBER($D89)),IF(AND(INT($D89)&gt;=TODAY(),INT($D89)-TODAY()&lt;=Set_InterviewWindow),$D89+ROW()/100000,""),"")</f>
        <v/>
      </c>
    </row>
    <row r="90">
      <c r="A90" s="82" t="n"/>
      <c r="B90" s="82" t="n"/>
      <c r="C90" s="82" t="n"/>
      <c r="D90" s="89" t="n"/>
      <c r="E90" s="82" t="n"/>
      <c r="F90" s="82" t="n"/>
      <c r="G90" s="82" t="n"/>
      <c r="H90" s="86" t="n"/>
      <c r="I90" s="86" t="n"/>
      <c r="J90" s="82" t="n"/>
      <c r="K90" s="86" t="n"/>
      <c r="L90" s="86" t="n"/>
      <c r="M90" s="81" t="n"/>
      <c r="N90" s="86" t="n"/>
      <c r="O90" s="87">
        <f>IF(AND($A90&lt;&gt;"",ISNUMBER($D90)),IF(AND(INT($D90)&gt;=TODAY(),INT($D90)-TODAY()&lt;=Set_InterviewWindow),$D90+ROW()/100000,""),"")</f>
        <v/>
      </c>
    </row>
    <row r="91">
      <c r="A91" s="82" t="n"/>
      <c r="B91" s="82" t="n"/>
      <c r="C91" s="82" t="n"/>
      <c r="D91" s="89" t="n"/>
      <c r="E91" s="82" t="n"/>
      <c r="F91" s="82" t="n"/>
      <c r="G91" s="82" t="n"/>
      <c r="H91" s="86" t="n"/>
      <c r="I91" s="86" t="n"/>
      <c r="J91" s="82" t="n"/>
      <c r="K91" s="86" t="n"/>
      <c r="L91" s="86" t="n"/>
      <c r="M91" s="81" t="n"/>
      <c r="N91" s="86" t="n"/>
      <c r="O91" s="87">
        <f>IF(AND($A91&lt;&gt;"",ISNUMBER($D91)),IF(AND(INT($D91)&gt;=TODAY(),INT($D91)-TODAY()&lt;=Set_InterviewWindow),$D91+ROW()/100000,""),"")</f>
        <v/>
      </c>
    </row>
    <row r="92">
      <c r="A92" s="82" t="n"/>
      <c r="B92" s="82" t="n"/>
      <c r="C92" s="82" t="n"/>
      <c r="D92" s="89" t="n"/>
      <c r="E92" s="82" t="n"/>
      <c r="F92" s="82" t="n"/>
      <c r="G92" s="82" t="n"/>
      <c r="H92" s="86" t="n"/>
      <c r="I92" s="86" t="n"/>
      <c r="J92" s="82" t="n"/>
      <c r="K92" s="86" t="n"/>
      <c r="L92" s="86" t="n"/>
      <c r="M92" s="81" t="n"/>
      <c r="N92" s="86" t="n"/>
      <c r="O92" s="87">
        <f>IF(AND($A92&lt;&gt;"",ISNUMBER($D92)),IF(AND(INT($D92)&gt;=TODAY(),INT($D92)-TODAY()&lt;=Set_InterviewWindow),$D92+ROW()/100000,""),"")</f>
        <v/>
      </c>
    </row>
    <row r="93">
      <c r="A93" s="82" t="n"/>
      <c r="B93" s="82" t="n"/>
      <c r="C93" s="82" t="n"/>
      <c r="D93" s="89" t="n"/>
      <c r="E93" s="82" t="n"/>
      <c r="F93" s="82" t="n"/>
      <c r="G93" s="82" t="n"/>
      <c r="H93" s="86" t="n"/>
      <c r="I93" s="86" t="n"/>
      <c r="J93" s="82" t="n"/>
      <c r="K93" s="86" t="n"/>
      <c r="L93" s="86" t="n"/>
      <c r="M93" s="81" t="n"/>
      <c r="N93" s="86" t="n"/>
      <c r="O93" s="87">
        <f>IF(AND($A93&lt;&gt;"",ISNUMBER($D93)),IF(AND(INT($D93)&gt;=TODAY(),INT($D93)-TODAY()&lt;=Set_InterviewWindow),$D93+ROW()/100000,""),"")</f>
        <v/>
      </c>
    </row>
    <row r="94">
      <c r="A94" s="82" t="n"/>
      <c r="B94" s="82" t="n"/>
      <c r="C94" s="82" t="n"/>
      <c r="D94" s="89" t="n"/>
      <c r="E94" s="82" t="n"/>
      <c r="F94" s="82" t="n"/>
      <c r="G94" s="82" t="n"/>
      <c r="H94" s="86" t="n"/>
      <c r="I94" s="86" t="n"/>
      <c r="J94" s="82" t="n"/>
      <c r="K94" s="86" t="n"/>
      <c r="L94" s="86" t="n"/>
      <c r="M94" s="81" t="n"/>
      <c r="N94" s="86" t="n"/>
      <c r="O94" s="87">
        <f>IF(AND($A94&lt;&gt;"",ISNUMBER($D94)),IF(AND(INT($D94)&gt;=TODAY(),INT($D94)-TODAY()&lt;=Set_InterviewWindow),$D94+ROW()/100000,""),"")</f>
        <v/>
      </c>
    </row>
    <row r="95">
      <c r="A95" s="82" t="n"/>
      <c r="B95" s="82" t="n"/>
      <c r="C95" s="82" t="n"/>
      <c r="D95" s="89" t="n"/>
      <c r="E95" s="82" t="n"/>
      <c r="F95" s="82" t="n"/>
      <c r="G95" s="82" t="n"/>
      <c r="H95" s="86" t="n"/>
      <c r="I95" s="86" t="n"/>
      <c r="J95" s="82" t="n"/>
      <c r="K95" s="86" t="n"/>
      <c r="L95" s="86" t="n"/>
      <c r="M95" s="81" t="n"/>
      <c r="N95" s="86" t="n"/>
      <c r="O95" s="87">
        <f>IF(AND($A95&lt;&gt;"",ISNUMBER($D95)),IF(AND(INT($D95)&gt;=TODAY(),INT($D95)-TODAY()&lt;=Set_InterviewWindow),$D95+ROW()/100000,""),"")</f>
        <v/>
      </c>
    </row>
    <row r="96">
      <c r="A96" s="82" t="n"/>
      <c r="B96" s="82" t="n"/>
      <c r="C96" s="82" t="n"/>
      <c r="D96" s="89" t="n"/>
      <c r="E96" s="82" t="n"/>
      <c r="F96" s="82" t="n"/>
      <c r="G96" s="82" t="n"/>
      <c r="H96" s="86" t="n"/>
      <c r="I96" s="86" t="n"/>
      <c r="J96" s="82" t="n"/>
      <c r="K96" s="86" t="n"/>
      <c r="L96" s="86" t="n"/>
      <c r="M96" s="81" t="n"/>
      <c r="N96" s="86" t="n"/>
      <c r="O96" s="87">
        <f>IF(AND($A96&lt;&gt;"",ISNUMBER($D96)),IF(AND(INT($D96)&gt;=TODAY(),INT($D96)-TODAY()&lt;=Set_InterviewWindow),$D96+ROW()/100000,""),"")</f>
        <v/>
      </c>
    </row>
    <row r="97">
      <c r="A97" s="82" t="n"/>
      <c r="B97" s="82" t="n"/>
      <c r="C97" s="82" t="n"/>
      <c r="D97" s="89" t="n"/>
      <c r="E97" s="82" t="n"/>
      <c r="F97" s="82" t="n"/>
      <c r="G97" s="82" t="n"/>
      <c r="H97" s="86" t="n"/>
      <c r="I97" s="86" t="n"/>
      <c r="J97" s="82" t="n"/>
      <c r="K97" s="86" t="n"/>
      <c r="L97" s="86" t="n"/>
      <c r="M97" s="81" t="n"/>
      <c r="N97" s="86" t="n"/>
      <c r="O97" s="87">
        <f>IF(AND($A97&lt;&gt;"",ISNUMBER($D97)),IF(AND(INT($D97)&gt;=TODAY(),INT($D97)-TODAY()&lt;=Set_InterviewWindow),$D97+ROW()/100000,""),"")</f>
        <v/>
      </c>
    </row>
    <row r="98">
      <c r="A98" s="82" t="n"/>
      <c r="B98" s="82" t="n"/>
      <c r="C98" s="82" t="n"/>
      <c r="D98" s="89" t="n"/>
      <c r="E98" s="82" t="n"/>
      <c r="F98" s="82" t="n"/>
      <c r="G98" s="82" t="n"/>
      <c r="H98" s="86" t="n"/>
      <c r="I98" s="86" t="n"/>
      <c r="J98" s="82" t="n"/>
      <c r="K98" s="86" t="n"/>
      <c r="L98" s="86" t="n"/>
      <c r="M98" s="81" t="n"/>
      <c r="N98" s="86" t="n"/>
      <c r="O98" s="87">
        <f>IF(AND($A98&lt;&gt;"",ISNUMBER($D98)),IF(AND(INT($D98)&gt;=TODAY(),INT($D98)-TODAY()&lt;=Set_InterviewWindow),$D98+ROW()/100000,""),"")</f>
        <v/>
      </c>
    </row>
    <row r="99">
      <c r="A99" s="82" t="n"/>
      <c r="B99" s="82" t="n"/>
      <c r="C99" s="82" t="n"/>
      <c r="D99" s="89" t="n"/>
      <c r="E99" s="82" t="n"/>
      <c r="F99" s="82" t="n"/>
      <c r="G99" s="82" t="n"/>
      <c r="H99" s="86" t="n"/>
      <c r="I99" s="86" t="n"/>
      <c r="J99" s="82" t="n"/>
      <c r="K99" s="86" t="n"/>
      <c r="L99" s="86" t="n"/>
      <c r="M99" s="81" t="n"/>
      <c r="N99" s="86" t="n"/>
      <c r="O99" s="87">
        <f>IF(AND($A99&lt;&gt;"",ISNUMBER($D99)),IF(AND(INT($D99)&gt;=TODAY(),INT($D99)-TODAY()&lt;=Set_InterviewWindow),$D99+ROW()/100000,""),"")</f>
        <v/>
      </c>
    </row>
    <row r="100">
      <c r="A100" s="82" t="n"/>
      <c r="B100" s="82" t="n"/>
      <c r="C100" s="82" t="n"/>
      <c r="D100" s="89" t="n"/>
      <c r="E100" s="82" t="n"/>
      <c r="F100" s="82" t="n"/>
      <c r="G100" s="82" t="n"/>
      <c r="H100" s="86" t="n"/>
      <c r="I100" s="86" t="n"/>
      <c r="J100" s="82" t="n"/>
      <c r="K100" s="86" t="n"/>
      <c r="L100" s="86" t="n"/>
      <c r="M100" s="81" t="n"/>
      <c r="N100" s="86" t="n"/>
      <c r="O100" s="87">
        <f>IF(AND($A100&lt;&gt;"",ISNUMBER($D100)),IF(AND(INT($D100)&gt;=TODAY(),INT($D100)-TODAY()&lt;=Set_InterviewWindow),$D100+ROW()/100000,""),"")</f>
        <v/>
      </c>
    </row>
    <row r="101">
      <c r="A101" s="82" t="n"/>
      <c r="B101" s="82" t="n"/>
      <c r="C101" s="82" t="n"/>
      <c r="D101" s="89" t="n"/>
      <c r="E101" s="82" t="n"/>
      <c r="F101" s="82" t="n"/>
      <c r="G101" s="82" t="n"/>
      <c r="H101" s="86" t="n"/>
      <c r="I101" s="86" t="n"/>
      <c r="J101" s="82" t="n"/>
      <c r="K101" s="86" t="n"/>
      <c r="L101" s="86" t="n"/>
      <c r="M101" s="81" t="n"/>
      <c r="N101" s="86" t="n"/>
      <c r="O101" s="87">
        <f>IF(AND($A101&lt;&gt;"",ISNUMBER($D101)),IF(AND(INT($D101)&gt;=TODAY(),INT($D101)-TODAY()&lt;=Set_InterviewWindow),$D101+ROW()/100000,""),"")</f>
        <v/>
      </c>
    </row>
    <row r="102">
      <c r="A102" s="82" t="n"/>
      <c r="B102" s="82" t="n"/>
      <c r="C102" s="82" t="n"/>
      <c r="D102" s="89" t="n"/>
      <c r="E102" s="82" t="n"/>
      <c r="F102" s="82" t="n"/>
      <c r="G102" s="82" t="n"/>
      <c r="H102" s="86" t="n"/>
      <c r="I102" s="86" t="n"/>
      <c r="J102" s="82" t="n"/>
      <c r="K102" s="86" t="n"/>
      <c r="L102" s="86" t="n"/>
      <c r="M102" s="81" t="n"/>
      <c r="N102" s="86" t="n"/>
      <c r="O102" s="87">
        <f>IF(AND($A102&lt;&gt;"",ISNUMBER($D102)),IF(AND(INT($D102)&gt;=TODAY(),INT($D102)-TODAY()&lt;=Set_InterviewWindow),$D102+ROW()/100000,""),"")</f>
        <v/>
      </c>
    </row>
    <row r="103">
      <c r="A103" s="82" t="n"/>
      <c r="B103" s="82" t="n"/>
      <c r="C103" s="82" t="n"/>
      <c r="D103" s="89" t="n"/>
      <c r="E103" s="82" t="n"/>
      <c r="F103" s="82" t="n"/>
      <c r="G103" s="82" t="n"/>
      <c r="H103" s="86" t="n"/>
      <c r="I103" s="86" t="n"/>
      <c r="J103" s="82" t="n"/>
      <c r="K103" s="86" t="n"/>
      <c r="L103" s="86" t="n"/>
      <c r="M103" s="81" t="n"/>
      <c r="N103" s="86" t="n"/>
      <c r="O103" s="87">
        <f>IF(AND($A103&lt;&gt;"",ISNUMBER($D103)),IF(AND(INT($D103)&gt;=TODAY(),INT($D103)-TODAY()&lt;=Set_InterviewWindow),$D103+ROW()/100000,""),"")</f>
        <v/>
      </c>
    </row>
    <row r="104">
      <c r="A104" s="82" t="n"/>
      <c r="B104" s="82" t="n"/>
      <c r="C104" s="82" t="n"/>
      <c r="D104" s="89" t="n"/>
      <c r="E104" s="82" t="n"/>
      <c r="F104" s="82" t="n"/>
      <c r="G104" s="82" t="n"/>
      <c r="H104" s="86" t="n"/>
      <c r="I104" s="86" t="n"/>
      <c r="J104" s="82" t="n"/>
      <c r="K104" s="86" t="n"/>
      <c r="L104" s="86" t="n"/>
      <c r="M104" s="81" t="n"/>
      <c r="N104" s="86" t="n"/>
      <c r="O104" s="87">
        <f>IF(AND($A104&lt;&gt;"",ISNUMBER($D104)),IF(AND(INT($D104)&gt;=TODAY(),INT($D104)-TODAY()&lt;=Set_InterviewWindow),$D104+ROW()/100000,""),"")</f>
        <v/>
      </c>
    </row>
    <row r="105">
      <c r="A105" s="82" t="n"/>
      <c r="B105" s="82" t="n"/>
      <c r="C105" s="82" t="n"/>
      <c r="D105" s="89" t="n"/>
      <c r="E105" s="82" t="n"/>
      <c r="F105" s="82" t="n"/>
      <c r="G105" s="82" t="n"/>
      <c r="H105" s="86" t="n"/>
      <c r="I105" s="86" t="n"/>
      <c r="J105" s="82" t="n"/>
      <c r="K105" s="86" t="n"/>
      <c r="L105" s="86" t="n"/>
      <c r="M105" s="81" t="n"/>
      <c r="N105" s="86" t="n"/>
      <c r="O105" s="87">
        <f>IF(AND($A105&lt;&gt;"",ISNUMBER($D105)),IF(AND(INT($D105)&gt;=TODAY(),INT($D105)-TODAY()&lt;=Set_InterviewWindow),$D105+ROW()/100000,""),"")</f>
        <v/>
      </c>
    </row>
    <row r="106">
      <c r="A106" s="82" t="n"/>
      <c r="B106" s="82" t="n"/>
      <c r="C106" s="82" t="n"/>
      <c r="D106" s="89" t="n"/>
      <c r="E106" s="82" t="n"/>
      <c r="F106" s="82" t="n"/>
      <c r="G106" s="82" t="n"/>
      <c r="H106" s="86" t="n"/>
      <c r="I106" s="86" t="n"/>
      <c r="J106" s="82" t="n"/>
      <c r="K106" s="86" t="n"/>
      <c r="L106" s="86" t="n"/>
      <c r="M106" s="81" t="n"/>
      <c r="N106" s="86" t="n"/>
      <c r="O106" s="87">
        <f>IF(AND($A106&lt;&gt;"",ISNUMBER($D106)),IF(AND(INT($D106)&gt;=TODAY(),INT($D106)-TODAY()&lt;=Set_InterviewWindow),$D106+ROW()/100000,""),"")</f>
        <v/>
      </c>
    </row>
    <row r="107">
      <c r="A107" s="82" t="n"/>
      <c r="B107" s="82" t="n"/>
      <c r="C107" s="82" t="n"/>
      <c r="D107" s="89" t="n"/>
      <c r="E107" s="82" t="n"/>
      <c r="F107" s="82" t="n"/>
      <c r="G107" s="82" t="n"/>
      <c r="H107" s="86" t="n"/>
      <c r="I107" s="86" t="n"/>
      <c r="J107" s="82" t="n"/>
      <c r="K107" s="86" t="n"/>
      <c r="L107" s="86" t="n"/>
      <c r="M107" s="81" t="n"/>
      <c r="N107" s="86" t="n"/>
      <c r="O107" s="87">
        <f>IF(AND($A107&lt;&gt;"",ISNUMBER($D107)),IF(AND(INT($D107)&gt;=TODAY(),INT($D107)-TODAY()&lt;=Set_InterviewWindow),$D107+ROW()/100000,""),"")</f>
        <v/>
      </c>
    </row>
    <row r="108">
      <c r="A108" s="82" t="n"/>
      <c r="B108" s="82" t="n"/>
      <c r="C108" s="82" t="n"/>
      <c r="D108" s="89" t="n"/>
      <c r="E108" s="82" t="n"/>
      <c r="F108" s="82" t="n"/>
      <c r="G108" s="82" t="n"/>
      <c r="H108" s="86" t="n"/>
      <c r="I108" s="86" t="n"/>
      <c r="J108" s="82" t="n"/>
      <c r="K108" s="86" t="n"/>
      <c r="L108" s="86" t="n"/>
      <c r="M108" s="81" t="n"/>
      <c r="N108" s="86" t="n"/>
      <c r="O108" s="87">
        <f>IF(AND($A108&lt;&gt;"",ISNUMBER($D108)),IF(AND(INT($D108)&gt;=TODAY(),INT($D108)-TODAY()&lt;=Set_InterviewWindow),$D108+ROW()/100000,""),"")</f>
        <v/>
      </c>
    </row>
    <row r="109">
      <c r="A109" s="82" t="n"/>
      <c r="B109" s="82" t="n"/>
      <c r="C109" s="82" t="n"/>
      <c r="D109" s="89" t="n"/>
      <c r="E109" s="82" t="n"/>
      <c r="F109" s="82" t="n"/>
      <c r="G109" s="82" t="n"/>
      <c r="H109" s="86" t="n"/>
      <c r="I109" s="86" t="n"/>
      <c r="J109" s="82" t="n"/>
      <c r="K109" s="86" t="n"/>
      <c r="L109" s="86" t="n"/>
      <c r="M109" s="81" t="n"/>
      <c r="N109" s="86" t="n"/>
      <c r="O109" s="87">
        <f>IF(AND($A109&lt;&gt;"",ISNUMBER($D109)),IF(AND(INT($D109)&gt;=TODAY(),INT($D109)-TODAY()&lt;=Set_InterviewWindow),$D109+ROW()/100000,""),"")</f>
        <v/>
      </c>
    </row>
    <row r="110">
      <c r="A110" s="82" t="n"/>
      <c r="B110" s="82" t="n"/>
      <c r="C110" s="82" t="n"/>
      <c r="D110" s="89" t="n"/>
      <c r="E110" s="82" t="n"/>
      <c r="F110" s="82" t="n"/>
      <c r="G110" s="82" t="n"/>
      <c r="H110" s="86" t="n"/>
      <c r="I110" s="86" t="n"/>
      <c r="J110" s="82" t="n"/>
      <c r="K110" s="86" t="n"/>
      <c r="L110" s="86" t="n"/>
      <c r="M110" s="81" t="n"/>
      <c r="N110" s="86" t="n"/>
      <c r="O110" s="87">
        <f>IF(AND($A110&lt;&gt;"",ISNUMBER($D110)),IF(AND(INT($D110)&gt;=TODAY(),INT($D110)-TODAY()&lt;=Set_InterviewWindow),$D110+ROW()/100000,""),"")</f>
        <v/>
      </c>
    </row>
    <row r="111">
      <c r="A111" s="82" t="n"/>
      <c r="B111" s="82" t="n"/>
      <c r="C111" s="82" t="n"/>
      <c r="D111" s="89" t="n"/>
      <c r="E111" s="82" t="n"/>
      <c r="F111" s="82" t="n"/>
      <c r="G111" s="82" t="n"/>
      <c r="H111" s="86" t="n"/>
      <c r="I111" s="86" t="n"/>
      <c r="J111" s="82" t="n"/>
      <c r="K111" s="86" t="n"/>
      <c r="L111" s="86" t="n"/>
      <c r="M111" s="81" t="n"/>
      <c r="N111" s="86" t="n"/>
      <c r="O111" s="87">
        <f>IF(AND($A111&lt;&gt;"",ISNUMBER($D111)),IF(AND(INT($D111)&gt;=TODAY(),INT($D111)-TODAY()&lt;=Set_InterviewWindow),$D111+ROW()/100000,""),"")</f>
        <v/>
      </c>
    </row>
    <row r="112">
      <c r="A112" s="82" t="n"/>
      <c r="B112" s="82" t="n"/>
      <c r="C112" s="82" t="n"/>
      <c r="D112" s="89" t="n"/>
      <c r="E112" s="82" t="n"/>
      <c r="F112" s="82" t="n"/>
      <c r="G112" s="82" t="n"/>
      <c r="H112" s="86" t="n"/>
      <c r="I112" s="86" t="n"/>
      <c r="J112" s="82" t="n"/>
      <c r="K112" s="86" t="n"/>
      <c r="L112" s="86" t="n"/>
      <c r="M112" s="81" t="n"/>
      <c r="N112" s="86" t="n"/>
      <c r="O112" s="87">
        <f>IF(AND($A112&lt;&gt;"",ISNUMBER($D112)),IF(AND(INT($D112)&gt;=TODAY(),INT($D112)-TODAY()&lt;=Set_InterviewWindow),$D112+ROW()/100000,""),"")</f>
        <v/>
      </c>
    </row>
    <row r="113">
      <c r="A113" s="82" t="n"/>
      <c r="B113" s="82" t="n"/>
      <c r="C113" s="82" t="n"/>
      <c r="D113" s="89" t="n"/>
      <c r="E113" s="82" t="n"/>
      <c r="F113" s="82" t="n"/>
      <c r="G113" s="82" t="n"/>
      <c r="H113" s="86" t="n"/>
      <c r="I113" s="86" t="n"/>
      <c r="J113" s="82" t="n"/>
      <c r="K113" s="86" t="n"/>
      <c r="L113" s="86" t="n"/>
      <c r="M113" s="81" t="n"/>
      <c r="N113" s="86" t="n"/>
      <c r="O113" s="87">
        <f>IF(AND($A113&lt;&gt;"",ISNUMBER($D113)),IF(AND(INT($D113)&gt;=TODAY(),INT($D113)-TODAY()&lt;=Set_InterviewWindow),$D113+ROW()/100000,""),"")</f>
        <v/>
      </c>
    </row>
    <row r="114">
      <c r="A114" s="82" t="n"/>
      <c r="B114" s="82" t="n"/>
      <c r="C114" s="82" t="n"/>
      <c r="D114" s="89" t="n"/>
      <c r="E114" s="82" t="n"/>
      <c r="F114" s="82" t="n"/>
      <c r="G114" s="82" t="n"/>
      <c r="H114" s="86" t="n"/>
      <c r="I114" s="86" t="n"/>
      <c r="J114" s="82" t="n"/>
      <c r="K114" s="86" t="n"/>
      <c r="L114" s="86" t="n"/>
      <c r="M114" s="81" t="n"/>
      <c r="N114" s="86" t="n"/>
      <c r="O114" s="87">
        <f>IF(AND($A114&lt;&gt;"",ISNUMBER($D114)),IF(AND(INT($D114)&gt;=TODAY(),INT($D114)-TODAY()&lt;=Set_InterviewWindow),$D114+ROW()/100000,""),"")</f>
        <v/>
      </c>
    </row>
    <row r="115">
      <c r="A115" s="82" t="n"/>
      <c r="B115" s="82" t="n"/>
      <c r="C115" s="82" t="n"/>
      <c r="D115" s="89" t="n"/>
      <c r="E115" s="82" t="n"/>
      <c r="F115" s="82" t="n"/>
      <c r="G115" s="82" t="n"/>
      <c r="H115" s="86" t="n"/>
      <c r="I115" s="86" t="n"/>
      <c r="J115" s="82" t="n"/>
      <c r="K115" s="86" t="n"/>
      <c r="L115" s="86" t="n"/>
      <c r="M115" s="81" t="n"/>
      <c r="N115" s="86" t="n"/>
      <c r="O115" s="87">
        <f>IF(AND($A115&lt;&gt;"",ISNUMBER($D115)),IF(AND(INT($D115)&gt;=TODAY(),INT($D115)-TODAY()&lt;=Set_InterviewWindow),$D115+ROW()/100000,""),"")</f>
        <v/>
      </c>
    </row>
    <row r="116">
      <c r="A116" s="82" t="n"/>
      <c r="B116" s="82" t="n"/>
      <c r="C116" s="82" t="n"/>
      <c r="D116" s="89" t="n"/>
      <c r="E116" s="82" t="n"/>
      <c r="F116" s="82" t="n"/>
      <c r="G116" s="82" t="n"/>
      <c r="H116" s="86" t="n"/>
      <c r="I116" s="86" t="n"/>
      <c r="J116" s="82" t="n"/>
      <c r="K116" s="86" t="n"/>
      <c r="L116" s="86" t="n"/>
      <c r="M116" s="81" t="n"/>
      <c r="N116" s="86" t="n"/>
      <c r="O116" s="87">
        <f>IF(AND($A116&lt;&gt;"",ISNUMBER($D116)),IF(AND(INT($D116)&gt;=TODAY(),INT($D116)-TODAY()&lt;=Set_InterviewWindow),$D116+ROW()/100000,""),"")</f>
        <v/>
      </c>
    </row>
    <row r="117">
      <c r="A117" s="82" t="n"/>
      <c r="B117" s="82" t="n"/>
      <c r="C117" s="82" t="n"/>
      <c r="D117" s="89" t="n"/>
      <c r="E117" s="82" t="n"/>
      <c r="F117" s="82" t="n"/>
      <c r="G117" s="82" t="n"/>
      <c r="H117" s="86" t="n"/>
      <c r="I117" s="86" t="n"/>
      <c r="J117" s="82" t="n"/>
      <c r="K117" s="86" t="n"/>
      <c r="L117" s="86" t="n"/>
      <c r="M117" s="81" t="n"/>
      <c r="N117" s="86" t="n"/>
      <c r="O117" s="87">
        <f>IF(AND($A117&lt;&gt;"",ISNUMBER($D117)),IF(AND(INT($D117)&gt;=TODAY(),INT($D117)-TODAY()&lt;=Set_InterviewWindow),$D117+ROW()/100000,""),"")</f>
        <v/>
      </c>
    </row>
    <row r="118">
      <c r="A118" s="82" t="n"/>
      <c r="B118" s="82" t="n"/>
      <c r="C118" s="82" t="n"/>
      <c r="D118" s="89" t="n"/>
      <c r="E118" s="82" t="n"/>
      <c r="F118" s="82" t="n"/>
      <c r="G118" s="82" t="n"/>
      <c r="H118" s="86" t="n"/>
      <c r="I118" s="86" t="n"/>
      <c r="J118" s="82" t="n"/>
      <c r="K118" s="86" t="n"/>
      <c r="L118" s="86" t="n"/>
      <c r="M118" s="81" t="n"/>
      <c r="N118" s="86" t="n"/>
      <c r="O118" s="87">
        <f>IF(AND($A118&lt;&gt;"",ISNUMBER($D118)),IF(AND(INT($D118)&gt;=TODAY(),INT($D118)-TODAY()&lt;=Set_InterviewWindow),$D118+ROW()/100000,""),"")</f>
        <v/>
      </c>
    </row>
    <row r="119">
      <c r="A119" s="82" t="n"/>
      <c r="B119" s="82" t="n"/>
      <c r="C119" s="82" t="n"/>
      <c r="D119" s="89" t="n"/>
      <c r="E119" s="82" t="n"/>
      <c r="F119" s="82" t="n"/>
      <c r="G119" s="82" t="n"/>
      <c r="H119" s="86" t="n"/>
      <c r="I119" s="86" t="n"/>
      <c r="J119" s="82" t="n"/>
      <c r="K119" s="86" t="n"/>
      <c r="L119" s="86" t="n"/>
      <c r="M119" s="81" t="n"/>
      <c r="N119" s="86" t="n"/>
      <c r="O119" s="87">
        <f>IF(AND($A119&lt;&gt;"",ISNUMBER($D119)),IF(AND(INT($D119)&gt;=TODAY(),INT($D119)-TODAY()&lt;=Set_InterviewWindow),$D119+ROW()/100000,""),"")</f>
        <v/>
      </c>
    </row>
    <row r="120">
      <c r="A120" s="82" t="n"/>
      <c r="B120" s="82" t="n"/>
      <c r="C120" s="82" t="n"/>
      <c r="D120" s="89" t="n"/>
      <c r="E120" s="82" t="n"/>
      <c r="F120" s="82" t="n"/>
      <c r="G120" s="82" t="n"/>
      <c r="H120" s="86" t="n"/>
      <c r="I120" s="86" t="n"/>
      <c r="J120" s="82" t="n"/>
      <c r="K120" s="86" t="n"/>
      <c r="L120" s="86" t="n"/>
      <c r="M120" s="81" t="n"/>
      <c r="N120" s="86" t="n"/>
      <c r="O120" s="87">
        <f>IF(AND($A120&lt;&gt;"",ISNUMBER($D120)),IF(AND(INT($D120)&gt;=TODAY(),INT($D120)-TODAY()&lt;=Set_InterviewWindow),$D120+ROW()/100000,""),"")</f>
        <v/>
      </c>
    </row>
    <row r="121">
      <c r="A121" s="82" t="n"/>
      <c r="B121" s="82" t="n"/>
      <c r="C121" s="82" t="n"/>
      <c r="D121" s="89" t="n"/>
      <c r="E121" s="82" t="n"/>
      <c r="F121" s="82" t="n"/>
      <c r="G121" s="82" t="n"/>
      <c r="H121" s="86" t="n"/>
      <c r="I121" s="86" t="n"/>
      <c r="J121" s="82" t="n"/>
      <c r="K121" s="86" t="n"/>
      <c r="L121" s="86" t="n"/>
      <c r="M121" s="81" t="n"/>
      <c r="N121" s="86" t="n"/>
      <c r="O121" s="87">
        <f>IF(AND($A121&lt;&gt;"",ISNUMBER($D121)),IF(AND(INT($D121)&gt;=TODAY(),INT($D121)-TODAY()&lt;=Set_InterviewWindow),$D121+ROW()/100000,""),"")</f>
        <v/>
      </c>
    </row>
    <row r="122">
      <c r="A122" s="82" t="n"/>
      <c r="B122" s="82" t="n"/>
      <c r="C122" s="82" t="n"/>
      <c r="D122" s="89" t="n"/>
      <c r="E122" s="82" t="n"/>
      <c r="F122" s="82" t="n"/>
      <c r="G122" s="82" t="n"/>
      <c r="H122" s="86" t="n"/>
      <c r="I122" s="86" t="n"/>
      <c r="J122" s="82" t="n"/>
      <c r="K122" s="86" t="n"/>
      <c r="L122" s="86" t="n"/>
      <c r="M122" s="81" t="n"/>
      <c r="N122" s="86" t="n"/>
      <c r="O122" s="87">
        <f>IF(AND($A122&lt;&gt;"",ISNUMBER($D122)),IF(AND(INT($D122)&gt;=TODAY(),INT($D122)-TODAY()&lt;=Set_InterviewWindow),$D122+ROW()/100000,""),"")</f>
        <v/>
      </c>
    </row>
    <row r="123">
      <c r="A123" s="82" t="n"/>
      <c r="B123" s="82" t="n"/>
      <c r="C123" s="82" t="n"/>
      <c r="D123" s="89" t="n"/>
      <c r="E123" s="82" t="n"/>
      <c r="F123" s="82" t="n"/>
      <c r="G123" s="82" t="n"/>
      <c r="H123" s="86" t="n"/>
      <c r="I123" s="86" t="n"/>
      <c r="J123" s="82" t="n"/>
      <c r="K123" s="86" t="n"/>
      <c r="L123" s="86" t="n"/>
      <c r="M123" s="81" t="n"/>
      <c r="N123" s="86" t="n"/>
      <c r="O123" s="87">
        <f>IF(AND($A123&lt;&gt;"",ISNUMBER($D123)),IF(AND(INT($D123)&gt;=TODAY(),INT($D123)-TODAY()&lt;=Set_InterviewWindow),$D123+ROW()/100000,""),"")</f>
        <v/>
      </c>
    </row>
    <row r="124">
      <c r="A124" s="82" t="n"/>
      <c r="B124" s="82" t="n"/>
      <c r="C124" s="82" t="n"/>
      <c r="D124" s="89" t="n"/>
      <c r="E124" s="82" t="n"/>
      <c r="F124" s="82" t="n"/>
      <c r="G124" s="82" t="n"/>
      <c r="H124" s="86" t="n"/>
      <c r="I124" s="86" t="n"/>
      <c r="J124" s="82" t="n"/>
      <c r="K124" s="86" t="n"/>
      <c r="L124" s="86" t="n"/>
      <c r="M124" s="81" t="n"/>
      <c r="N124" s="86" t="n"/>
      <c r="O124" s="87">
        <f>IF(AND($A124&lt;&gt;"",ISNUMBER($D124)),IF(AND(INT($D124)&gt;=TODAY(),INT($D124)-TODAY()&lt;=Set_InterviewWindow),$D124+ROW()/100000,""),"")</f>
        <v/>
      </c>
    </row>
    <row r="125">
      <c r="A125" s="82" t="n"/>
      <c r="B125" s="82" t="n"/>
      <c r="C125" s="82" t="n"/>
      <c r="D125" s="89" t="n"/>
      <c r="E125" s="82" t="n"/>
      <c r="F125" s="82" t="n"/>
      <c r="G125" s="82" t="n"/>
      <c r="H125" s="86" t="n"/>
      <c r="I125" s="86" t="n"/>
      <c r="J125" s="82" t="n"/>
      <c r="K125" s="86" t="n"/>
      <c r="L125" s="86" t="n"/>
      <c r="M125" s="81" t="n"/>
      <c r="N125" s="86" t="n"/>
      <c r="O125" s="87">
        <f>IF(AND($A125&lt;&gt;"",ISNUMBER($D125)),IF(AND(INT($D125)&gt;=TODAY(),INT($D125)-TODAY()&lt;=Set_InterviewWindow),$D125+ROW()/100000,""),"")</f>
        <v/>
      </c>
    </row>
    <row r="126">
      <c r="A126" s="82" t="n"/>
      <c r="B126" s="82" t="n"/>
      <c r="C126" s="82" t="n"/>
      <c r="D126" s="89" t="n"/>
      <c r="E126" s="82" t="n"/>
      <c r="F126" s="82" t="n"/>
      <c r="G126" s="82" t="n"/>
      <c r="H126" s="86" t="n"/>
      <c r="I126" s="86" t="n"/>
      <c r="J126" s="82" t="n"/>
      <c r="K126" s="86" t="n"/>
      <c r="L126" s="86" t="n"/>
      <c r="M126" s="81" t="n"/>
      <c r="N126" s="86" t="n"/>
      <c r="O126" s="87">
        <f>IF(AND($A126&lt;&gt;"",ISNUMBER($D126)),IF(AND(INT($D126)&gt;=TODAY(),INT($D126)-TODAY()&lt;=Set_InterviewWindow),$D126+ROW()/100000,""),"")</f>
        <v/>
      </c>
    </row>
    <row r="127">
      <c r="A127" s="82" t="n"/>
      <c r="B127" s="82" t="n"/>
      <c r="C127" s="82" t="n"/>
      <c r="D127" s="89" t="n"/>
      <c r="E127" s="82" t="n"/>
      <c r="F127" s="82" t="n"/>
      <c r="G127" s="82" t="n"/>
      <c r="H127" s="86" t="n"/>
      <c r="I127" s="86" t="n"/>
      <c r="J127" s="82" t="n"/>
      <c r="K127" s="86" t="n"/>
      <c r="L127" s="86" t="n"/>
      <c r="M127" s="81" t="n"/>
      <c r="N127" s="86" t="n"/>
      <c r="O127" s="87">
        <f>IF(AND($A127&lt;&gt;"",ISNUMBER($D127)),IF(AND(INT($D127)&gt;=TODAY(),INT($D127)-TODAY()&lt;=Set_InterviewWindow),$D127+ROW()/100000,""),"")</f>
        <v/>
      </c>
    </row>
    <row r="128">
      <c r="A128" s="82" t="n"/>
      <c r="B128" s="82" t="n"/>
      <c r="C128" s="82" t="n"/>
      <c r="D128" s="89" t="n"/>
      <c r="E128" s="82" t="n"/>
      <c r="F128" s="82" t="n"/>
      <c r="G128" s="82" t="n"/>
      <c r="H128" s="86" t="n"/>
      <c r="I128" s="86" t="n"/>
      <c r="J128" s="82" t="n"/>
      <c r="K128" s="86" t="n"/>
      <c r="L128" s="86" t="n"/>
      <c r="M128" s="81" t="n"/>
      <c r="N128" s="86" t="n"/>
      <c r="O128" s="87">
        <f>IF(AND($A128&lt;&gt;"",ISNUMBER($D128)),IF(AND(INT($D128)&gt;=TODAY(),INT($D128)-TODAY()&lt;=Set_InterviewWindow),$D128+ROW()/100000,""),"")</f>
        <v/>
      </c>
    </row>
    <row r="129">
      <c r="A129" s="82" t="n"/>
      <c r="B129" s="82" t="n"/>
      <c r="C129" s="82" t="n"/>
      <c r="D129" s="89" t="n"/>
      <c r="E129" s="82" t="n"/>
      <c r="F129" s="82" t="n"/>
      <c r="G129" s="82" t="n"/>
      <c r="H129" s="86" t="n"/>
      <c r="I129" s="86" t="n"/>
      <c r="J129" s="82" t="n"/>
      <c r="K129" s="86" t="n"/>
      <c r="L129" s="86" t="n"/>
      <c r="M129" s="81" t="n"/>
      <c r="N129" s="86" t="n"/>
      <c r="O129" s="87">
        <f>IF(AND($A129&lt;&gt;"",ISNUMBER($D129)),IF(AND(INT($D129)&gt;=TODAY(),INT($D129)-TODAY()&lt;=Set_InterviewWindow),$D129+ROW()/100000,""),"")</f>
        <v/>
      </c>
    </row>
    <row r="130">
      <c r="A130" s="82" t="n"/>
      <c r="B130" s="82" t="n"/>
      <c r="C130" s="82" t="n"/>
      <c r="D130" s="89" t="n"/>
      <c r="E130" s="82" t="n"/>
      <c r="F130" s="82" t="n"/>
      <c r="G130" s="82" t="n"/>
      <c r="H130" s="86" t="n"/>
      <c r="I130" s="86" t="n"/>
      <c r="J130" s="82" t="n"/>
      <c r="K130" s="86" t="n"/>
      <c r="L130" s="86" t="n"/>
      <c r="M130" s="81" t="n"/>
      <c r="N130" s="86" t="n"/>
      <c r="O130" s="87">
        <f>IF(AND($A130&lt;&gt;"",ISNUMBER($D130)),IF(AND(INT($D130)&gt;=TODAY(),INT($D130)-TODAY()&lt;=Set_InterviewWindow),$D130+ROW()/100000,""),"")</f>
        <v/>
      </c>
    </row>
    <row r="131">
      <c r="A131" s="82" t="n"/>
      <c r="B131" s="82" t="n"/>
      <c r="C131" s="82" t="n"/>
      <c r="D131" s="89" t="n"/>
      <c r="E131" s="82" t="n"/>
      <c r="F131" s="82" t="n"/>
      <c r="G131" s="82" t="n"/>
      <c r="H131" s="86" t="n"/>
      <c r="I131" s="86" t="n"/>
      <c r="J131" s="82" t="n"/>
      <c r="K131" s="86" t="n"/>
      <c r="L131" s="86" t="n"/>
      <c r="M131" s="81" t="n"/>
      <c r="N131" s="86" t="n"/>
      <c r="O131" s="87">
        <f>IF(AND($A131&lt;&gt;"",ISNUMBER($D131)),IF(AND(INT($D131)&gt;=TODAY(),INT($D131)-TODAY()&lt;=Set_InterviewWindow),$D131+ROW()/100000,""),"")</f>
        <v/>
      </c>
    </row>
    <row r="132">
      <c r="A132" s="82" t="n"/>
      <c r="B132" s="82" t="n"/>
      <c r="C132" s="82" t="n"/>
      <c r="D132" s="89" t="n"/>
      <c r="E132" s="82" t="n"/>
      <c r="F132" s="82" t="n"/>
      <c r="G132" s="82" t="n"/>
      <c r="H132" s="86" t="n"/>
      <c r="I132" s="86" t="n"/>
      <c r="J132" s="82" t="n"/>
      <c r="K132" s="86" t="n"/>
      <c r="L132" s="86" t="n"/>
      <c r="M132" s="81" t="n"/>
      <c r="N132" s="86" t="n"/>
      <c r="O132" s="87">
        <f>IF(AND($A132&lt;&gt;"",ISNUMBER($D132)),IF(AND(INT($D132)&gt;=TODAY(),INT($D132)-TODAY()&lt;=Set_InterviewWindow),$D132+ROW()/100000,""),"")</f>
        <v/>
      </c>
    </row>
    <row r="133">
      <c r="A133" s="82" t="n"/>
      <c r="B133" s="82" t="n"/>
      <c r="C133" s="82" t="n"/>
      <c r="D133" s="89" t="n"/>
      <c r="E133" s="82" t="n"/>
      <c r="F133" s="82" t="n"/>
      <c r="G133" s="82" t="n"/>
      <c r="H133" s="86" t="n"/>
      <c r="I133" s="86" t="n"/>
      <c r="J133" s="82" t="n"/>
      <c r="K133" s="86" t="n"/>
      <c r="L133" s="86" t="n"/>
      <c r="M133" s="81" t="n"/>
      <c r="N133" s="86" t="n"/>
      <c r="O133" s="87">
        <f>IF(AND($A133&lt;&gt;"",ISNUMBER($D133)),IF(AND(INT($D133)&gt;=TODAY(),INT($D133)-TODAY()&lt;=Set_InterviewWindow),$D133+ROW()/100000,""),"")</f>
        <v/>
      </c>
    </row>
    <row r="134">
      <c r="A134" s="82" t="n"/>
      <c r="B134" s="82" t="n"/>
      <c r="C134" s="82" t="n"/>
      <c r="D134" s="89" t="n"/>
      <c r="E134" s="82" t="n"/>
      <c r="F134" s="82" t="n"/>
      <c r="G134" s="82" t="n"/>
      <c r="H134" s="86" t="n"/>
      <c r="I134" s="86" t="n"/>
      <c r="J134" s="82" t="n"/>
      <c r="K134" s="86" t="n"/>
      <c r="L134" s="86" t="n"/>
      <c r="M134" s="81" t="n"/>
      <c r="N134" s="86" t="n"/>
      <c r="O134" s="87">
        <f>IF(AND($A134&lt;&gt;"",ISNUMBER($D134)),IF(AND(INT($D134)&gt;=TODAY(),INT($D134)-TODAY()&lt;=Set_InterviewWindow),$D134+ROW()/100000,""),"")</f>
        <v/>
      </c>
    </row>
    <row r="135">
      <c r="A135" s="82" t="n"/>
      <c r="B135" s="82" t="n"/>
      <c r="C135" s="82" t="n"/>
      <c r="D135" s="89" t="n"/>
      <c r="E135" s="82" t="n"/>
      <c r="F135" s="82" t="n"/>
      <c r="G135" s="82" t="n"/>
      <c r="H135" s="86" t="n"/>
      <c r="I135" s="86" t="n"/>
      <c r="J135" s="82" t="n"/>
      <c r="K135" s="86" t="n"/>
      <c r="L135" s="86" t="n"/>
      <c r="M135" s="81" t="n"/>
      <c r="N135" s="86" t="n"/>
      <c r="O135" s="87">
        <f>IF(AND($A135&lt;&gt;"",ISNUMBER($D135)),IF(AND(INT($D135)&gt;=TODAY(),INT($D135)-TODAY()&lt;=Set_InterviewWindow),$D135+ROW()/100000,""),"")</f>
        <v/>
      </c>
    </row>
    <row r="136">
      <c r="A136" s="82" t="n"/>
      <c r="B136" s="82" t="n"/>
      <c r="C136" s="82" t="n"/>
      <c r="D136" s="89" t="n"/>
      <c r="E136" s="82" t="n"/>
      <c r="F136" s="82" t="n"/>
      <c r="G136" s="82" t="n"/>
      <c r="H136" s="86" t="n"/>
      <c r="I136" s="86" t="n"/>
      <c r="J136" s="82" t="n"/>
      <c r="K136" s="86" t="n"/>
      <c r="L136" s="86" t="n"/>
      <c r="M136" s="81" t="n"/>
      <c r="N136" s="86" t="n"/>
      <c r="O136" s="87">
        <f>IF(AND($A136&lt;&gt;"",ISNUMBER($D136)),IF(AND(INT($D136)&gt;=TODAY(),INT($D136)-TODAY()&lt;=Set_InterviewWindow),$D136+ROW()/100000,""),"")</f>
        <v/>
      </c>
    </row>
    <row r="137">
      <c r="A137" s="82" t="n"/>
      <c r="B137" s="82" t="n"/>
      <c r="C137" s="82" t="n"/>
      <c r="D137" s="89" t="n"/>
      <c r="E137" s="82" t="n"/>
      <c r="F137" s="82" t="n"/>
      <c r="G137" s="82" t="n"/>
      <c r="H137" s="86" t="n"/>
      <c r="I137" s="86" t="n"/>
      <c r="J137" s="82" t="n"/>
      <c r="K137" s="86" t="n"/>
      <c r="L137" s="86" t="n"/>
      <c r="M137" s="81" t="n"/>
      <c r="N137" s="86" t="n"/>
      <c r="O137" s="87">
        <f>IF(AND($A137&lt;&gt;"",ISNUMBER($D137)),IF(AND(INT($D137)&gt;=TODAY(),INT($D137)-TODAY()&lt;=Set_InterviewWindow),$D137+ROW()/100000,""),"")</f>
        <v/>
      </c>
    </row>
    <row r="138">
      <c r="A138" s="82" t="n"/>
      <c r="B138" s="82" t="n"/>
      <c r="C138" s="82" t="n"/>
      <c r="D138" s="89" t="n"/>
      <c r="E138" s="82" t="n"/>
      <c r="F138" s="82" t="n"/>
      <c r="G138" s="82" t="n"/>
      <c r="H138" s="86" t="n"/>
      <c r="I138" s="86" t="n"/>
      <c r="J138" s="82" t="n"/>
      <c r="K138" s="86" t="n"/>
      <c r="L138" s="86" t="n"/>
      <c r="M138" s="81" t="n"/>
      <c r="N138" s="86" t="n"/>
      <c r="O138" s="87">
        <f>IF(AND($A138&lt;&gt;"",ISNUMBER($D138)),IF(AND(INT($D138)&gt;=TODAY(),INT($D138)-TODAY()&lt;=Set_InterviewWindow),$D138+ROW()/100000,""),"")</f>
        <v/>
      </c>
    </row>
    <row r="139">
      <c r="A139" s="82" t="n"/>
      <c r="B139" s="82" t="n"/>
      <c r="C139" s="82" t="n"/>
      <c r="D139" s="89" t="n"/>
      <c r="E139" s="82" t="n"/>
      <c r="F139" s="82" t="n"/>
      <c r="G139" s="82" t="n"/>
      <c r="H139" s="86" t="n"/>
      <c r="I139" s="86" t="n"/>
      <c r="J139" s="82" t="n"/>
      <c r="K139" s="86" t="n"/>
      <c r="L139" s="86" t="n"/>
      <c r="M139" s="81" t="n"/>
      <c r="N139" s="86" t="n"/>
      <c r="O139" s="87">
        <f>IF(AND($A139&lt;&gt;"",ISNUMBER($D139)),IF(AND(INT($D139)&gt;=TODAY(),INT($D139)-TODAY()&lt;=Set_InterviewWindow),$D139+ROW()/100000,""),"")</f>
        <v/>
      </c>
    </row>
    <row r="140">
      <c r="A140" s="82" t="n"/>
      <c r="B140" s="82" t="n"/>
      <c r="C140" s="82" t="n"/>
      <c r="D140" s="89" t="n"/>
      <c r="E140" s="82" t="n"/>
      <c r="F140" s="82" t="n"/>
      <c r="G140" s="82" t="n"/>
      <c r="H140" s="86" t="n"/>
      <c r="I140" s="86" t="n"/>
      <c r="J140" s="82" t="n"/>
      <c r="K140" s="86" t="n"/>
      <c r="L140" s="86" t="n"/>
      <c r="M140" s="81" t="n"/>
      <c r="N140" s="86" t="n"/>
      <c r="O140" s="87">
        <f>IF(AND($A140&lt;&gt;"",ISNUMBER($D140)),IF(AND(INT($D140)&gt;=TODAY(),INT($D140)-TODAY()&lt;=Set_InterviewWindow),$D140+ROW()/100000,""),"")</f>
        <v/>
      </c>
    </row>
    <row r="141">
      <c r="A141" s="82" t="n"/>
      <c r="B141" s="82" t="n"/>
      <c r="C141" s="82" t="n"/>
      <c r="D141" s="89" t="n"/>
      <c r="E141" s="82" t="n"/>
      <c r="F141" s="82" t="n"/>
      <c r="G141" s="82" t="n"/>
      <c r="H141" s="86" t="n"/>
      <c r="I141" s="86" t="n"/>
      <c r="J141" s="82" t="n"/>
      <c r="K141" s="86" t="n"/>
      <c r="L141" s="86" t="n"/>
      <c r="M141" s="81" t="n"/>
      <c r="N141" s="86" t="n"/>
      <c r="O141" s="87">
        <f>IF(AND($A141&lt;&gt;"",ISNUMBER($D141)),IF(AND(INT($D141)&gt;=TODAY(),INT($D141)-TODAY()&lt;=Set_InterviewWindow),$D141+ROW()/100000,""),"")</f>
        <v/>
      </c>
    </row>
    <row r="142">
      <c r="A142" s="82" t="n"/>
      <c r="B142" s="82" t="n"/>
      <c r="C142" s="82" t="n"/>
      <c r="D142" s="89" t="n"/>
      <c r="E142" s="82" t="n"/>
      <c r="F142" s="82" t="n"/>
      <c r="G142" s="82" t="n"/>
      <c r="H142" s="86" t="n"/>
      <c r="I142" s="86" t="n"/>
      <c r="J142" s="82" t="n"/>
      <c r="K142" s="86" t="n"/>
      <c r="L142" s="86" t="n"/>
      <c r="M142" s="81" t="n"/>
      <c r="N142" s="86" t="n"/>
      <c r="O142" s="87">
        <f>IF(AND($A142&lt;&gt;"",ISNUMBER($D142)),IF(AND(INT($D142)&gt;=TODAY(),INT($D142)-TODAY()&lt;=Set_InterviewWindow),$D142+ROW()/100000,""),"")</f>
        <v/>
      </c>
    </row>
    <row r="143">
      <c r="A143" s="82" t="n"/>
      <c r="B143" s="82" t="n"/>
      <c r="C143" s="82" t="n"/>
      <c r="D143" s="89" t="n"/>
      <c r="E143" s="82" t="n"/>
      <c r="F143" s="82" t="n"/>
      <c r="G143" s="82" t="n"/>
      <c r="H143" s="86" t="n"/>
      <c r="I143" s="86" t="n"/>
      <c r="J143" s="82" t="n"/>
      <c r="K143" s="86" t="n"/>
      <c r="L143" s="86" t="n"/>
      <c r="M143" s="81" t="n"/>
      <c r="N143" s="86" t="n"/>
      <c r="O143" s="87">
        <f>IF(AND($A143&lt;&gt;"",ISNUMBER($D143)),IF(AND(INT($D143)&gt;=TODAY(),INT($D143)-TODAY()&lt;=Set_InterviewWindow),$D143+ROW()/100000,""),"")</f>
        <v/>
      </c>
    </row>
    <row r="144">
      <c r="A144" s="82" t="n"/>
      <c r="B144" s="82" t="n"/>
      <c r="C144" s="82" t="n"/>
      <c r="D144" s="89" t="n"/>
      <c r="E144" s="82" t="n"/>
      <c r="F144" s="82" t="n"/>
      <c r="G144" s="82" t="n"/>
      <c r="H144" s="86" t="n"/>
      <c r="I144" s="86" t="n"/>
      <c r="J144" s="82" t="n"/>
      <c r="K144" s="86" t="n"/>
      <c r="L144" s="86" t="n"/>
      <c r="M144" s="81" t="n"/>
      <c r="N144" s="86" t="n"/>
      <c r="O144" s="87">
        <f>IF(AND($A144&lt;&gt;"",ISNUMBER($D144)),IF(AND(INT($D144)&gt;=TODAY(),INT($D144)-TODAY()&lt;=Set_InterviewWindow),$D144+ROW()/100000,""),"")</f>
        <v/>
      </c>
    </row>
    <row r="145">
      <c r="A145" s="82" t="n"/>
      <c r="B145" s="82" t="n"/>
      <c r="C145" s="82" t="n"/>
      <c r="D145" s="89" t="n"/>
      <c r="E145" s="82" t="n"/>
      <c r="F145" s="82" t="n"/>
      <c r="G145" s="82" t="n"/>
      <c r="H145" s="86" t="n"/>
      <c r="I145" s="86" t="n"/>
      <c r="J145" s="82" t="n"/>
      <c r="K145" s="86" t="n"/>
      <c r="L145" s="86" t="n"/>
      <c r="M145" s="81" t="n"/>
      <c r="N145" s="86" t="n"/>
      <c r="O145" s="87">
        <f>IF(AND($A145&lt;&gt;"",ISNUMBER($D145)),IF(AND(INT($D145)&gt;=TODAY(),INT($D145)-TODAY()&lt;=Set_InterviewWindow),$D145+ROW()/100000,""),"")</f>
        <v/>
      </c>
    </row>
    <row r="146">
      <c r="A146" s="82" t="n"/>
      <c r="B146" s="82" t="n"/>
      <c r="C146" s="82" t="n"/>
      <c r="D146" s="89" t="n"/>
      <c r="E146" s="82" t="n"/>
      <c r="F146" s="82" t="n"/>
      <c r="G146" s="82" t="n"/>
      <c r="H146" s="86" t="n"/>
      <c r="I146" s="86" t="n"/>
      <c r="J146" s="82" t="n"/>
      <c r="K146" s="86" t="n"/>
      <c r="L146" s="86" t="n"/>
      <c r="M146" s="81" t="n"/>
      <c r="N146" s="86" t="n"/>
      <c r="O146" s="87">
        <f>IF(AND($A146&lt;&gt;"",ISNUMBER($D146)),IF(AND(INT($D146)&gt;=TODAY(),INT($D146)-TODAY()&lt;=Set_InterviewWindow),$D146+ROW()/100000,""),"")</f>
        <v/>
      </c>
    </row>
    <row r="147">
      <c r="A147" s="82" t="n"/>
      <c r="B147" s="82" t="n"/>
      <c r="C147" s="82" t="n"/>
      <c r="D147" s="89" t="n"/>
      <c r="E147" s="82" t="n"/>
      <c r="F147" s="82" t="n"/>
      <c r="G147" s="82" t="n"/>
      <c r="H147" s="86" t="n"/>
      <c r="I147" s="86" t="n"/>
      <c r="J147" s="82" t="n"/>
      <c r="K147" s="86" t="n"/>
      <c r="L147" s="86" t="n"/>
      <c r="M147" s="81" t="n"/>
      <c r="N147" s="86" t="n"/>
      <c r="O147" s="87">
        <f>IF(AND($A147&lt;&gt;"",ISNUMBER($D147)),IF(AND(INT($D147)&gt;=TODAY(),INT($D147)-TODAY()&lt;=Set_InterviewWindow),$D147+ROW()/100000,""),"")</f>
        <v/>
      </c>
    </row>
    <row r="148">
      <c r="A148" s="82" t="n"/>
      <c r="B148" s="82" t="n"/>
      <c r="C148" s="82" t="n"/>
      <c r="D148" s="89" t="n"/>
      <c r="E148" s="82" t="n"/>
      <c r="F148" s="82" t="n"/>
      <c r="G148" s="82" t="n"/>
      <c r="H148" s="86" t="n"/>
      <c r="I148" s="86" t="n"/>
      <c r="J148" s="82" t="n"/>
      <c r="K148" s="86" t="n"/>
      <c r="L148" s="86" t="n"/>
      <c r="M148" s="81" t="n"/>
      <c r="N148" s="86" t="n"/>
      <c r="O148" s="87">
        <f>IF(AND($A148&lt;&gt;"",ISNUMBER($D148)),IF(AND(INT($D148)&gt;=TODAY(),INT($D148)-TODAY()&lt;=Set_InterviewWindow),$D148+ROW()/100000,""),"")</f>
        <v/>
      </c>
    </row>
    <row r="149">
      <c r="A149" s="82" t="n"/>
      <c r="B149" s="82" t="n"/>
      <c r="C149" s="82" t="n"/>
      <c r="D149" s="89" t="n"/>
      <c r="E149" s="82" t="n"/>
      <c r="F149" s="82" t="n"/>
      <c r="G149" s="82" t="n"/>
      <c r="H149" s="86" t="n"/>
      <c r="I149" s="86" t="n"/>
      <c r="J149" s="82" t="n"/>
      <c r="K149" s="86" t="n"/>
      <c r="L149" s="86" t="n"/>
      <c r="M149" s="81" t="n"/>
      <c r="N149" s="86" t="n"/>
      <c r="O149" s="87">
        <f>IF(AND($A149&lt;&gt;"",ISNUMBER($D149)),IF(AND(INT($D149)&gt;=TODAY(),INT($D149)-TODAY()&lt;=Set_InterviewWindow),$D149+ROW()/100000,""),"")</f>
        <v/>
      </c>
    </row>
    <row r="150">
      <c r="A150" s="82" t="n"/>
      <c r="B150" s="82" t="n"/>
      <c r="C150" s="82" t="n"/>
      <c r="D150" s="89" t="n"/>
      <c r="E150" s="82" t="n"/>
      <c r="F150" s="82" t="n"/>
      <c r="G150" s="82" t="n"/>
      <c r="H150" s="86" t="n"/>
      <c r="I150" s="86" t="n"/>
      <c r="J150" s="82" t="n"/>
      <c r="K150" s="86" t="n"/>
      <c r="L150" s="86" t="n"/>
      <c r="M150" s="81" t="n"/>
      <c r="N150" s="86" t="n"/>
      <c r="O150" s="87">
        <f>IF(AND($A150&lt;&gt;"",ISNUMBER($D150)),IF(AND(INT($D150)&gt;=TODAY(),INT($D150)-TODAY()&lt;=Set_InterviewWindow),$D150+ROW()/100000,""),"")</f>
        <v/>
      </c>
    </row>
    <row r="151">
      <c r="A151" s="82" t="n"/>
      <c r="B151" s="82" t="n"/>
      <c r="C151" s="82" t="n"/>
      <c r="D151" s="89" t="n"/>
      <c r="E151" s="82" t="n"/>
      <c r="F151" s="82" t="n"/>
      <c r="G151" s="82" t="n"/>
      <c r="H151" s="86" t="n"/>
      <c r="I151" s="86" t="n"/>
      <c r="J151" s="82" t="n"/>
      <c r="K151" s="86" t="n"/>
      <c r="L151" s="86" t="n"/>
      <c r="M151" s="81" t="n"/>
      <c r="N151" s="86" t="n"/>
      <c r="O151" s="87">
        <f>IF(AND($A151&lt;&gt;"",ISNUMBER($D151)),IF(AND(INT($D151)&gt;=TODAY(),INT($D151)-TODAY()&lt;=Set_InterviewWindow),$D151+ROW()/100000,""),"")</f>
        <v/>
      </c>
    </row>
    <row r="152">
      <c r="A152" s="82" t="n"/>
      <c r="B152" s="82" t="n"/>
      <c r="C152" s="82" t="n"/>
      <c r="D152" s="89" t="n"/>
      <c r="E152" s="82" t="n"/>
      <c r="F152" s="82" t="n"/>
      <c r="G152" s="82" t="n"/>
      <c r="H152" s="86" t="n"/>
      <c r="I152" s="86" t="n"/>
      <c r="J152" s="82" t="n"/>
      <c r="K152" s="86" t="n"/>
      <c r="L152" s="86" t="n"/>
      <c r="M152" s="81" t="n"/>
      <c r="N152" s="86" t="n"/>
      <c r="O152" s="87">
        <f>IF(AND($A152&lt;&gt;"",ISNUMBER($D152)),IF(AND(INT($D152)&gt;=TODAY(),INT($D152)-TODAY()&lt;=Set_InterviewWindow),$D152+ROW()/100000,""),"")</f>
        <v/>
      </c>
    </row>
    <row r="153">
      <c r="A153" s="82" t="n"/>
      <c r="B153" s="82" t="n"/>
      <c r="C153" s="82" t="n"/>
      <c r="D153" s="89" t="n"/>
      <c r="E153" s="82" t="n"/>
      <c r="F153" s="82" t="n"/>
      <c r="G153" s="82" t="n"/>
      <c r="H153" s="86" t="n"/>
      <c r="I153" s="86" t="n"/>
      <c r="J153" s="82" t="n"/>
      <c r="K153" s="86" t="n"/>
      <c r="L153" s="86" t="n"/>
      <c r="M153" s="81" t="n"/>
      <c r="N153" s="86" t="n"/>
      <c r="O153" s="87">
        <f>IF(AND($A153&lt;&gt;"",ISNUMBER($D153)),IF(AND(INT($D153)&gt;=TODAY(),INT($D153)-TODAY()&lt;=Set_InterviewWindow),$D153+ROW()/100000,""),"")</f>
        <v/>
      </c>
    </row>
    <row r="154">
      <c r="A154" s="82" t="n"/>
      <c r="B154" s="82" t="n"/>
      <c r="C154" s="82" t="n"/>
      <c r="D154" s="89" t="n"/>
      <c r="E154" s="82" t="n"/>
      <c r="F154" s="82" t="n"/>
      <c r="G154" s="82" t="n"/>
      <c r="H154" s="86" t="n"/>
      <c r="I154" s="86" t="n"/>
      <c r="J154" s="82" t="n"/>
      <c r="K154" s="86" t="n"/>
      <c r="L154" s="86" t="n"/>
      <c r="M154" s="81" t="n"/>
      <c r="N154" s="86" t="n"/>
      <c r="O154" s="87">
        <f>IF(AND($A154&lt;&gt;"",ISNUMBER($D154)),IF(AND(INT($D154)&gt;=TODAY(),INT($D154)-TODAY()&lt;=Set_InterviewWindow),$D154+ROW()/100000,""),"")</f>
        <v/>
      </c>
    </row>
    <row r="155">
      <c r="A155" s="82" t="n"/>
      <c r="B155" s="82" t="n"/>
      <c r="C155" s="82" t="n"/>
      <c r="D155" s="89" t="n"/>
      <c r="E155" s="82" t="n"/>
      <c r="F155" s="82" t="n"/>
      <c r="G155" s="82" t="n"/>
      <c r="H155" s="86" t="n"/>
      <c r="I155" s="86" t="n"/>
      <c r="J155" s="82" t="n"/>
      <c r="K155" s="86" t="n"/>
      <c r="L155" s="86" t="n"/>
      <c r="M155" s="81" t="n"/>
      <c r="N155" s="86" t="n"/>
      <c r="O155" s="87">
        <f>IF(AND($A155&lt;&gt;"",ISNUMBER($D155)),IF(AND(INT($D155)&gt;=TODAY(),INT($D155)-TODAY()&lt;=Set_InterviewWindow),$D155+ROW()/100000,""),"")</f>
        <v/>
      </c>
    </row>
    <row r="156">
      <c r="A156" s="82" t="n"/>
      <c r="B156" s="82" t="n"/>
      <c r="C156" s="82" t="n"/>
      <c r="D156" s="89" t="n"/>
      <c r="E156" s="82" t="n"/>
      <c r="F156" s="82" t="n"/>
      <c r="G156" s="82" t="n"/>
      <c r="H156" s="86" t="n"/>
      <c r="I156" s="86" t="n"/>
      <c r="J156" s="82" t="n"/>
      <c r="K156" s="86" t="n"/>
      <c r="L156" s="86" t="n"/>
      <c r="M156" s="81" t="n"/>
      <c r="N156" s="86" t="n"/>
      <c r="O156" s="87">
        <f>IF(AND($A156&lt;&gt;"",ISNUMBER($D156)),IF(AND(INT($D156)&gt;=TODAY(),INT($D156)-TODAY()&lt;=Set_InterviewWindow),$D156+ROW()/100000,""),"")</f>
        <v/>
      </c>
    </row>
    <row r="157">
      <c r="A157" s="82" t="n"/>
      <c r="B157" s="82" t="n"/>
      <c r="C157" s="82" t="n"/>
      <c r="D157" s="89" t="n"/>
      <c r="E157" s="82" t="n"/>
      <c r="F157" s="82" t="n"/>
      <c r="G157" s="82" t="n"/>
      <c r="H157" s="86" t="n"/>
      <c r="I157" s="86" t="n"/>
      <c r="J157" s="82" t="n"/>
      <c r="K157" s="86" t="n"/>
      <c r="L157" s="86" t="n"/>
      <c r="M157" s="81" t="n"/>
      <c r="N157" s="86" t="n"/>
      <c r="O157" s="87">
        <f>IF(AND($A157&lt;&gt;"",ISNUMBER($D157)),IF(AND(INT($D157)&gt;=TODAY(),INT($D157)-TODAY()&lt;=Set_InterviewWindow),$D157+ROW()/100000,""),"")</f>
        <v/>
      </c>
    </row>
    <row r="158">
      <c r="A158" s="82" t="n"/>
      <c r="B158" s="82" t="n"/>
      <c r="C158" s="82" t="n"/>
      <c r="D158" s="89" t="n"/>
      <c r="E158" s="82" t="n"/>
      <c r="F158" s="82" t="n"/>
      <c r="G158" s="82" t="n"/>
      <c r="H158" s="86" t="n"/>
      <c r="I158" s="86" t="n"/>
      <c r="J158" s="82" t="n"/>
      <c r="K158" s="86" t="n"/>
      <c r="L158" s="86" t="n"/>
      <c r="M158" s="81" t="n"/>
      <c r="N158" s="86" t="n"/>
      <c r="O158" s="87">
        <f>IF(AND($A158&lt;&gt;"",ISNUMBER($D158)),IF(AND(INT($D158)&gt;=TODAY(),INT($D158)-TODAY()&lt;=Set_InterviewWindow),$D158+ROW()/100000,""),"")</f>
        <v/>
      </c>
    </row>
    <row r="159">
      <c r="A159" s="82" t="n"/>
      <c r="B159" s="82" t="n"/>
      <c r="C159" s="82" t="n"/>
      <c r="D159" s="89" t="n"/>
      <c r="E159" s="82" t="n"/>
      <c r="F159" s="82" t="n"/>
      <c r="G159" s="82" t="n"/>
      <c r="H159" s="86" t="n"/>
      <c r="I159" s="86" t="n"/>
      <c r="J159" s="82" t="n"/>
      <c r="K159" s="86" t="n"/>
      <c r="L159" s="86" t="n"/>
      <c r="M159" s="81" t="n"/>
      <c r="N159" s="86" t="n"/>
      <c r="O159" s="87">
        <f>IF(AND($A159&lt;&gt;"",ISNUMBER($D159)),IF(AND(INT($D159)&gt;=TODAY(),INT($D159)-TODAY()&lt;=Set_InterviewWindow),$D159+ROW()/100000,""),"")</f>
        <v/>
      </c>
    </row>
    <row r="160">
      <c r="A160" s="82" t="n"/>
      <c r="B160" s="82" t="n"/>
      <c r="C160" s="82" t="n"/>
      <c r="D160" s="89" t="n"/>
      <c r="E160" s="82" t="n"/>
      <c r="F160" s="82" t="n"/>
      <c r="G160" s="82" t="n"/>
      <c r="H160" s="86" t="n"/>
      <c r="I160" s="86" t="n"/>
      <c r="J160" s="82" t="n"/>
      <c r="K160" s="86" t="n"/>
      <c r="L160" s="86" t="n"/>
      <c r="M160" s="81" t="n"/>
      <c r="N160" s="86" t="n"/>
      <c r="O160" s="87">
        <f>IF(AND($A160&lt;&gt;"",ISNUMBER($D160)),IF(AND(INT($D160)&gt;=TODAY(),INT($D160)-TODAY()&lt;=Set_InterviewWindow),$D160+ROW()/100000,""),"")</f>
        <v/>
      </c>
    </row>
    <row r="161">
      <c r="A161" s="82" t="n"/>
      <c r="B161" s="82" t="n"/>
      <c r="C161" s="82" t="n"/>
      <c r="D161" s="89" t="n"/>
      <c r="E161" s="82" t="n"/>
      <c r="F161" s="82" t="n"/>
      <c r="G161" s="82" t="n"/>
      <c r="H161" s="86" t="n"/>
      <c r="I161" s="86" t="n"/>
      <c r="J161" s="82" t="n"/>
      <c r="K161" s="86" t="n"/>
      <c r="L161" s="86" t="n"/>
      <c r="M161" s="81" t="n"/>
      <c r="N161" s="86" t="n"/>
      <c r="O161" s="87">
        <f>IF(AND($A161&lt;&gt;"",ISNUMBER($D161)),IF(AND(INT($D161)&gt;=TODAY(),INT($D161)-TODAY()&lt;=Set_InterviewWindow),$D161+ROW()/100000,""),"")</f>
        <v/>
      </c>
    </row>
    <row r="162">
      <c r="A162" s="82" t="n"/>
      <c r="B162" s="82" t="n"/>
      <c r="C162" s="82" t="n"/>
      <c r="D162" s="89" t="n"/>
      <c r="E162" s="82" t="n"/>
      <c r="F162" s="82" t="n"/>
      <c r="G162" s="82" t="n"/>
      <c r="H162" s="86" t="n"/>
      <c r="I162" s="86" t="n"/>
      <c r="J162" s="82" t="n"/>
      <c r="K162" s="86" t="n"/>
      <c r="L162" s="86" t="n"/>
      <c r="M162" s="81" t="n"/>
      <c r="N162" s="86" t="n"/>
      <c r="O162" s="87">
        <f>IF(AND($A162&lt;&gt;"",ISNUMBER($D162)),IF(AND(INT($D162)&gt;=TODAY(),INT($D162)-TODAY()&lt;=Set_InterviewWindow),$D162+ROW()/100000,""),"")</f>
        <v/>
      </c>
    </row>
    <row r="163">
      <c r="A163" s="82" t="n"/>
      <c r="B163" s="82" t="n"/>
      <c r="C163" s="82" t="n"/>
      <c r="D163" s="89" t="n"/>
      <c r="E163" s="82" t="n"/>
      <c r="F163" s="82" t="n"/>
      <c r="G163" s="82" t="n"/>
      <c r="H163" s="86" t="n"/>
      <c r="I163" s="86" t="n"/>
      <c r="J163" s="82" t="n"/>
      <c r="K163" s="86" t="n"/>
      <c r="L163" s="86" t="n"/>
      <c r="M163" s="81" t="n"/>
      <c r="N163" s="86" t="n"/>
      <c r="O163" s="87">
        <f>IF(AND($A163&lt;&gt;"",ISNUMBER($D163)),IF(AND(INT($D163)&gt;=TODAY(),INT($D163)-TODAY()&lt;=Set_InterviewWindow),$D163+ROW()/100000,""),"")</f>
        <v/>
      </c>
    </row>
    <row r="164">
      <c r="A164" s="82" t="n"/>
      <c r="B164" s="82" t="n"/>
      <c r="C164" s="82" t="n"/>
      <c r="D164" s="89" t="n"/>
      <c r="E164" s="82" t="n"/>
      <c r="F164" s="82" t="n"/>
      <c r="G164" s="82" t="n"/>
      <c r="H164" s="86" t="n"/>
      <c r="I164" s="86" t="n"/>
      <c r="J164" s="82" t="n"/>
      <c r="K164" s="86" t="n"/>
      <c r="L164" s="86" t="n"/>
      <c r="M164" s="81" t="n"/>
      <c r="N164" s="86" t="n"/>
      <c r="O164" s="87">
        <f>IF(AND($A164&lt;&gt;"",ISNUMBER($D164)),IF(AND(INT($D164)&gt;=TODAY(),INT($D164)-TODAY()&lt;=Set_InterviewWindow),$D164+ROW()/100000,""),"")</f>
        <v/>
      </c>
    </row>
    <row r="165">
      <c r="A165" s="82" t="n"/>
      <c r="B165" s="82" t="n"/>
      <c r="C165" s="82" t="n"/>
      <c r="D165" s="89" t="n"/>
      <c r="E165" s="82" t="n"/>
      <c r="F165" s="82" t="n"/>
      <c r="G165" s="82" t="n"/>
      <c r="H165" s="86" t="n"/>
      <c r="I165" s="86" t="n"/>
      <c r="J165" s="82" t="n"/>
      <c r="K165" s="86" t="n"/>
      <c r="L165" s="86" t="n"/>
      <c r="M165" s="81" t="n"/>
      <c r="N165" s="86" t="n"/>
      <c r="O165" s="87">
        <f>IF(AND($A165&lt;&gt;"",ISNUMBER($D165)),IF(AND(INT($D165)&gt;=TODAY(),INT($D165)-TODAY()&lt;=Set_InterviewWindow),$D165+ROW()/100000,""),"")</f>
        <v/>
      </c>
    </row>
    <row r="166">
      <c r="A166" s="82" t="n"/>
      <c r="B166" s="82" t="n"/>
      <c r="C166" s="82" t="n"/>
      <c r="D166" s="89" t="n"/>
      <c r="E166" s="82" t="n"/>
      <c r="F166" s="82" t="n"/>
      <c r="G166" s="82" t="n"/>
      <c r="H166" s="86" t="n"/>
      <c r="I166" s="86" t="n"/>
      <c r="J166" s="82" t="n"/>
      <c r="K166" s="86" t="n"/>
      <c r="L166" s="86" t="n"/>
      <c r="M166" s="81" t="n"/>
      <c r="N166" s="86" t="n"/>
      <c r="O166" s="87">
        <f>IF(AND($A166&lt;&gt;"",ISNUMBER($D166)),IF(AND(INT($D166)&gt;=TODAY(),INT($D166)-TODAY()&lt;=Set_InterviewWindow),$D166+ROW()/100000,""),"")</f>
        <v/>
      </c>
    </row>
    <row r="167">
      <c r="A167" s="82" t="n"/>
      <c r="B167" s="82" t="n"/>
      <c r="C167" s="82" t="n"/>
      <c r="D167" s="89" t="n"/>
      <c r="E167" s="82" t="n"/>
      <c r="F167" s="82" t="n"/>
      <c r="G167" s="82" t="n"/>
      <c r="H167" s="86" t="n"/>
      <c r="I167" s="86" t="n"/>
      <c r="J167" s="82" t="n"/>
      <c r="K167" s="86" t="n"/>
      <c r="L167" s="86" t="n"/>
      <c r="M167" s="81" t="n"/>
      <c r="N167" s="86" t="n"/>
      <c r="O167" s="87">
        <f>IF(AND($A167&lt;&gt;"",ISNUMBER($D167)),IF(AND(INT($D167)&gt;=TODAY(),INT($D167)-TODAY()&lt;=Set_InterviewWindow),$D167+ROW()/100000,""),"")</f>
        <v/>
      </c>
    </row>
    <row r="168">
      <c r="A168" s="82" t="n"/>
      <c r="B168" s="82" t="n"/>
      <c r="C168" s="82" t="n"/>
      <c r="D168" s="89" t="n"/>
      <c r="E168" s="82" t="n"/>
      <c r="F168" s="82" t="n"/>
      <c r="G168" s="82" t="n"/>
      <c r="H168" s="86" t="n"/>
      <c r="I168" s="86" t="n"/>
      <c r="J168" s="82" t="n"/>
      <c r="K168" s="86" t="n"/>
      <c r="L168" s="86" t="n"/>
      <c r="M168" s="81" t="n"/>
      <c r="N168" s="86" t="n"/>
      <c r="O168" s="87">
        <f>IF(AND($A168&lt;&gt;"",ISNUMBER($D168)),IF(AND(INT($D168)&gt;=TODAY(),INT($D168)-TODAY()&lt;=Set_InterviewWindow),$D168+ROW()/100000,""),"")</f>
        <v/>
      </c>
    </row>
    <row r="169">
      <c r="A169" s="82" t="n"/>
      <c r="B169" s="82" t="n"/>
      <c r="C169" s="82" t="n"/>
      <c r="D169" s="89" t="n"/>
      <c r="E169" s="82" t="n"/>
      <c r="F169" s="82" t="n"/>
      <c r="G169" s="82" t="n"/>
      <c r="H169" s="86" t="n"/>
      <c r="I169" s="86" t="n"/>
      <c r="J169" s="82" t="n"/>
      <c r="K169" s="86" t="n"/>
      <c r="L169" s="86" t="n"/>
      <c r="M169" s="81" t="n"/>
      <c r="N169" s="86" t="n"/>
      <c r="O169" s="87">
        <f>IF(AND($A169&lt;&gt;"",ISNUMBER($D169)),IF(AND(INT($D169)&gt;=TODAY(),INT($D169)-TODAY()&lt;=Set_InterviewWindow),$D169+ROW()/100000,""),"")</f>
        <v/>
      </c>
    </row>
    <row r="170">
      <c r="A170" s="82" t="n"/>
      <c r="B170" s="82" t="n"/>
      <c r="C170" s="82" t="n"/>
      <c r="D170" s="89" t="n"/>
      <c r="E170" s="82" t="n"/>
      <c r="F170" s="82" t="n"/>
      <c r="G170" s="82" t="n"/>
      <c r="H170" s="86" t="n"/>
      <c r="I170" s="86" t="n"/>
      <c r="J170" s="82" t="n"/>
      <c r="K170" s="86" t="n"/>
      <c r="L170" s="86" t="n"/>
      <c r="M170" s="81" t="n"/>
      <c r="N170" s="86" t="n"/>
      <c r="O170" s="87">
        <f>IF(AND($A170&lt;&gt;"",ISNUMBER($D170)),IF(AND(INT($D170)&gt;=TODAY(),INT($D170)-TODAY()&lt;=Set_InterviewWindow),$D170+ROW()/100000,""),"")</f>
        <v/>
      </c>
    </row>
    <row r="171">
      <c r="A171" s="82" t="n"/>
      <c r="B171" s="82" t="n"/>
      <c r="C171" s="82" t="n"/>
      <c r="D171" s="89" t="n"/>
      <c r="E171" s="82" t="n"/>
      <c r="F171" s="82" t="n"/>
      <c r="G171" s="82" t="n"/>
      <c r="H171" s="86" t="n"/>
      <c r="I171" s="86" t="n"/>
      <c r="J171" s="82" t="n"/>
      <c r="K171" s="86" t="n"/>
      <c r="L171" s="86" t="n"/>
      <c r="M171" s="81" t="n"/>
      <c r="N171" s="86" t="n"/>
      <c r="O171" s="87">
        <f>IF(AND($A171&lt;&gt;"",ISNUMBER($D171)),IF(AND(INT($D171)&gt;=TODAY(),INT($D171)-TODAY()&lt;=Set_InterviewWindow),$D171+ROW()/100000,""),"")</f>
        <v/>
      </c>
    </row>
    <row r="172">
      <c r="A172" s="82" t="n"/>
      <c r="B172" s="82" t="n"/>
      <c r="C172" s="82" t="n"/>
      <c r="D172" s="89" t="n"/>
      <c r="E172" s="82" t="n"/>
      <c r="F172" s="82" t="n"/>
      <c r="G172" s="82" t="n"/>
      <c r="H172" s="86" t="n"/>
      <c r="I172" s="86" t="n"/>
      <c r="J172" s="82" t="n"/>
      <c r="K172" s="86" t="n"/>
      <c r="L172" s="86" t="n"/>
      <c r="M172" s="81" t="n"/>
      <c r="N172" s="86" t="n"/>
      <c r="O172" s="87">
        <f>IF(AND($A172&lt;&gt;"",ISNUMBER($D172)),IF(AND(INT($D172)&gt;=TODAY(),INT($D172)-TODAY()&lt;=Set_InterviewWindow),$D172+ROW()/100000,""),"")</f>
        <v/>
      </c>
    </row>
    <row r="173">
      <c r="A173" s="82" t="n"/>
      <c r="B173" s="82" t="n"/>
      <c r="C173" s="82" t="n"/>
      <c r="D173" s="89" t="n"/>
      <c r="E173" s="82" t="n"/>
      <c r="F173" s="82" t="n"/>
      <c r="G173" s="82" t="n"/>
      <c r="H173" s="86" t="n"/>
      <c r="I173" s="86" t="n"/>
      <c r="J173" s="82" t="n"/>
      <c r="K173" s="86" t="n"/>
      <c r="L173" s="86" t="n"/>
      <c r="M173" s="81" t="n"/>
      <c r="N173" s="86" t="n"/>
      <c r="O173" s="87">
        <f>IF(AND($A173&lt;&gt;"",ISNUMBER($D173)),IF(AND(INT($D173)&gt;=TODAY(),INT($D173)-TODAY()&lt;=Set_InterviewWindow),$D173+ROW()/100000,""),"")</f>
        <v/>
      </c>
    </row>
    <row r="174">
      <c r="A174" s="82" t="n"/>
      <c r="B174" s="82" t="n"/>
      <c r="C174" s="82" t="n"/>
      <c r="D174" s="89" t="n"/>
      <c r="E174" s="82" t="n"/>
      <c r="F174" s="82" t="n"/>
      <c r="G174" s="82" t="n"/>
      <c r="H174" s="86" t="n"/>
      <c r="I174" s="86" t="n"/>
      <c r="J174" s="82" t="n"/>
      <c r="K174" s="86" t="n"/>
      <c r="L174" s="86" t="n"/>
      <c r="M174" s="81" t="n"/>
      <c r="N174" s="86" t="n"/>
      <c r="O174" s="87">
        <f>IF(AND($A174&lt;&gt;"",ISNUMBER($D174)),IF(AND(INT($D174)&gt;=TODAY(),INT($D174)-TODAY()&lt;=Set_InterviewWindow),$D174+ROW()/100000,""),"")</f>
        <v/>
      </c>
    </row>
    <row r="175">
      <c r="A175" s="82" t="n"/>
      <c r="B175" s="82" t="n"/>
      <c r="C175" s="82" t="n"/>
      <c r="D175" s="89" t="n"/>
      <c r="E175" s="82" t="n"/>
      <c r="F175" s="82" t="n"/>
      <c r="G175" s="82" t="n"/>
      <c r="H175" s="86" t="n"/>
      <c r="I175" s="86" t="n"/>
      <c r="J175" s="82" t="n"/>
      <c r="K175" s="86" t="n"/>
      <c r="L175" s="86" t="n"/>
      <c r="M175" s="81" t="n"/>
      <c r="N175" s="86" t="n"/>
      <c r="O175" s="87">
        <f>IF(AND($A175&lt;&gt;"",ISNUMBER($D175)),IF(AND(INT($D175)&gt;=TODAY(),INT($D175)-TODAY()&lt;=Set_InterviewWindow),$D175+ROW()/100000,""),"")</f>
        <v/>
      </c>
    </row>
    <row r="176">
      <c r="A176" s="82" t="n"/>
      <c r="B176" s="82" t="n"/>
      <c r="C176" s="82" t="n"/>
      <c r="D176" s="89" t="n"/>
      <c r="E176" s="82" t="n"/>
      <c r="F176" s="82" t="n"/>
      <c r="G176" s="82" t="n"/>
      <c r="H176" s="86" t="n"/>
      <c r="I176" s="86" t="n"/>
      <c r="J176" s="82" t="n"/>
      <c r="K176" s="86" t="n"/>
      <c r="L176" s="86" t="n"/>
      <c r="M176" s="81" t="n"/>
      <c r="N176" s="86" t="n"/>
      <c r="O176" s="87">
        <f>IF(AND($A176&lt;&gt;"",ISNUMBER($D176)),IF(AND(INT($D176)&gt;=TODAY(),INT($D176)-TODAY()&lt;=Set_InterviewWindow),$D176+ROW()/100000,""),"")</f>
        <v/>
      </c>
    </row>
    <row r="177">
      <c r="A177" s="82" t="n"/>
      <c r="B177" s="82" t="n"/>
      <c r="C177" s="82" t="n"/>
      <c r="D177" s="89" t="n"/>
      <c r="E177" s="82" t="n"/>
      <c r="F177" s="82" t="n"/>
      <c r="G177" s="82" t="n"/>
      <c r="H177" s="86" t="n"/>
      <c r="I177" s="86" t="n"/>
      <c r="J177" s="82" t="n"/>
      <c r="K177" s="86" t="n"/>
      <c r="L177" s="86" t="n"/>
      <c r="M177" s="81" t="n"/>
      <c r="N177" s="86" t="n"/>
      <c r="O177" s="87">
        <f>IF(AND($A177&lt;&gt;"",ISNUMBER($D177)),IF(AND(INT($D177)&gt;=TODAY(),INT($D177)-TODAY()&lt;=Set_InterviewWindow),$D177+ROW()/100000,""),"")</f>
        <v/>
      </c>
    </row>
    <row r="178">
      <c r="A178" s="82" t="n"/>
      <c r="B178" s="82" t="n"/>
      <c r="C178" s="82" t="n"/>
      <c r="D178" s="89" t="n"/>
      <c r="E178" s="82" t="n"/>
      <c r="F178" s="82" t="n"/>
      <c r="G178" s="82" t="n"/>
      <c r="H178" s="86" t="n"/>
      <c r="I178" s="86" t="n"/>
      <c r="J178" s="82" t="n"/>
      <c r="K178" s="86" t="n"/>
      <c r="L178" s="86" t="n"/>
      <c r="M178" s="81" t="n"/>
      <c r="N178" s="86" t="n"/>
      <c r="O178" s="87">
        <f>IF(AND($A178&lt;&gt;"",ISNUMBER($D178)),IF(AND(INT($D178)&gt;=TODAY(),INT($D178)-TODAY()&lt;=Set_InterviewWindow),$D178+ROW()/100000,""),"")</f>
        <v/>
      </c>
    </row>
    <row r="179">
      <c r="A179" s="82" t="n"/>
      <c r="B179" s="82" t="n"/>
      <c r="C179" s="82" t="n"/>
      <c r="D179" s="89" t="n"/>
      <c r="E179" s="82" t="n"/>
      <c r="F179" s="82" t="n"/>
      <c r="G179" s="82" t="n"/>
      <c r="H179" s="86" t="n"/>
      <c r="I179" s="86" t="n"/>
      <c r="J179" s="82" t="n"/>
      <c r="K179" s="86" t="n"/>
      <c r="L179" s="86" t="n"/>
      <c r="M179" s="81" t="n"/>
      <c r="N179" s="86" t="n"/>
      <c r="O179" s="87">
        <f>IF(AND($A179&lt;&gt;"",ISNUMBER($D179)),IF(AND(INT($D179)&gt;=TODAY(),INT($D179)-TODAY()&lt;=Set_InterviewWindow),$D179+ROW()/100000,""),"")</f>
        <v/>
      </c>
    </row>
    <row r="180">
      <c r="A180" s="82" t="n"/>
      <c r="B180" s="82" t="n"/>
      <c r="C180" s="82" t="n"/>
      <c r="D180" s="89" t="n"/>
      <c r="E180" s="82" t="n"/>
      <c r="F180" s="82" t="n"/>
      <c r="G180" s="82" t="n"/>
      <c r="H180" s="86" t="n"/>
      <c r="I180" s="86" t="n"/>
      <c r="J180" s="82" t="n"/>
      <c r="K180" s="86" t="n"/>
      <c r="L180" s="86" t="n"/>
      <c r="M180" s="81" t="n"/>
      <c r="N180" s="86" t="n"/>
      <c r="O180" s="87">
        <f>IF(AND($A180&lt;&gt;"",ISNUMBER($D180)),IF(AND(INT($D180)&gt;=TODAY(),INT($D180)-TODAY()&lt;=Set_InterviewWindow),$D180+ROW()/100000,""),"")</f>
        <v/>
      </c>
    </row>
    <row r="181">
      <c r="A181" s="82" t="n"/>
      <c r="B181" s="82" t="n"/>
      <c r="C181" s="82" t="n"/>
      <c r="D181" s="89" t="n"/>
      <c r="E181" s="82" t="n"/>
      <c r="F181" s="82" t="n"/>
      <c r="G181" s="82" t="n"/>
      <c r="H181" s="86" t="n"/>
      <c r="I181" s="86" t="n"/>
      <c r="J181" s="82" t="n"/>
      <c r="K181" s="86" t="n"/>
      <c r="L181" s="86" t="n"/>
      <c r="M181" s="81" t="n"/>
      <c r="N181" s="86" t="n"/>
      <c r="O181" s="87">
        <f>IF(AND($A181&lt;&gt;"",ISNUMBER($D181)),IF(AND(INT($D181)&gt;=TODAY(),INT($D181)-TODAY()&lt;=Set_InterviewWindow),$D181+ROW()/100000,""),"")</f>
        <v/>
      </c>
    </row>
    <row r="182">
      <c r="A182" s="82" t="n"/>
      <c r="B182" s="82" t="n"/>
      <c r="C182" s="82" t="n"/>
      <c r="D182" s="89" t="n"/>
      <c r="E182" s="82" t="n"/>
      <c r="F182" s="82" t="n"/>
      <c r="G182" s="82" t="n"/>
      <c r="H182" s="86" t="n"/>
      <c r="I182" s="86" t="n"/>
      <c r="J182" s="82" t="n"/>
      <c r="K182" s="86" t="n"/>
      <c r="L182" s="86" t="n"/>
      <c r="M182" s="81" t="n"/>
      <c r="N182" s="86" t="n"/>
      <c r="O182" s="87">
        <f>IF(AND($A182&lt;&gt;"",ISNUMBER($D182)),IF(AND(INT($D182)&gt;=TODAY(),INT($D182)-TODAY()&lt;=Set_InterviewWindow),$D182+ROW()/100000,""),"")</f>
        <v/>
      </c>
    </row>
    <row r="183">
      <c r="A183" s="82" t="n"/>
      <c r="B183" s="82" t="n"/>
      <c r="C183" s="82" t="n"/>
      <c r="D183" s="89" t="n"/>
      <c r="E183" s="82" t="n"/>
      <c r="F183" s="82" t="n"/>
      <c r="G183" s="82" t="n"/>
      <c r="H183" s="86" t="n"/>
      <c r="I183" s="86" t="n"/>
      <c r="J183" s="82" t="n"/>
      <c r="K183" s="86" t="n"/>
      <c r="L183" s="86" t="n"/>
      <c r="M183" s="81" t="n"/>
      <c r="N183" s="86" t="n"/>
      <c r="O183" s="87">
        <f>IF(AND($A183&lt;&gt;"",ISNUMBER($D183)),IF(AND(INT($D183)&gt;=TODAY(),INT($D183)-TODAY()&lt;=Set_InterviewWindow),$D183+ROW()/100000,""),"")</f>
        <v/>
      </c>
    </row>
    <row r="184">
      <c r="A184" s="82" t="n"/>
      <c r="B184" s="82" t="n"/>
      <c r="C184" s="82" t="n"/>
      <c r="D184" s="89" t="n"/>
      <c r="E184" s="82" t="n"/>
      <c r="F184" s="82" t="n"/>
      <c r="G184" s="82" t="n"/>
      <c r="H184" s="86" t="n"/>
      <c r="I184" s="86" t="n"/>
      <c r="J184" s="82" t="n"/>
      <c r="K184" s="86" t="n"/>
      <c r="L184" s="86" t="n"/>
      <c r="M184" s="81" t="n"/>
      <c r="N184" s="86" t="n"/>
      <c r="O184" s="87">
        <f>IF(AND($A184&lt;&gt;"",ISNUMBER($D184)),IF(AND(INT($D184)&gt;=TODAY(),INT($D184)-TODAY()&lt;=Set_InterviewWindow),$D184+ROW()/100000,""),"")</f>
        <v/>
      </c>
    </row>
    <row r="185">
      <c r="A185" s="82" t="n"/>
      <c r="B185" s="82" t="n"/>
      <c r="C185" s="82" t="n"/>
      <c r="D185" s="89" t="n"/>
      <c r="E185" s="82" t="n"/>
      <c r="F185" s="82" t="n"/>
      <c r="G185" s="82" t="n"/>
      <c r="H185" s="86" t="n"/>
      <c r="I185" s="86" t="n"/>
      <c r="J185" s="82" t="n"/>
      <c r="K185" s="86" t="n"/>
      <c r="L185" s="86" t="n"/>
      <c r="M185" s="81" t="n"/>
      <c r="N185" s="86" t="n"/>
      <c r="O185" s="87">
        <f>IF(AND($A185&lt;&gt;"",ISNUMBER($D185)),IF(AND(INT($D185)&gt;=TODAY(),INT($D185)-TODAY()&lt;=Set_InterviewWindow),$D185+ROW()/100000,""),"")</f>
        <v/>
      </c>
    </row>
    <row r="186">
      <c r="A186" s="82" t="n"/>
      <c r="B186" s="82" t="n"/>
      <c r="C186" s="82" t="n"/>
      <c r="D186" s="89" t="n"/>
      <c r="E186" s="82" t="n"/>
      <c r="F186" s="82" t="n"/>
      <c r="G186" s="82" t="n"/>
      <c r="H186" s="86" t="n"/>
      <c r="I186" s="86" t="n"/>
      <c r="J186" s="82" t="n"/>
      <c r="K186" s="86" t="n"/>
      <c r="L186" s="86" t="n"/>
      <c r="M186" s="81" t="n"/>
      <c r="N186" s="86" t="n"/>
      <c r="O186" s="87">
        <f>IF(AND($A186&lt;&gt;"",ISNUMBER($D186)),IF(AND(INT($D186)&gt;=TODAY(),INT($D186)-TODAY()&lt;=Set_InterviewWindow),$D186+ROW()/100000,""),"")</f>
        <v/>
      </c>
    </row>
    <row r="187">
      <c r="A187" s="82" t="n"/>
      <c r="B187" s="82" t="n"/>
      <c r="C187" s="82" t="n"/>
      <c r="D187" s="89" t="n"/>
      <c r="E187" s="82" t="n"/>
      <c r="F187" s="82" t="n"/>
      <c r="G187" s="82" t="n"/>
      <c r="H187" s="86" t="n"/>
      <c r="I187" s="86" t="n"/>
      <c r="J187" s="82" t="n"/>
      <c r="K187" s="86" t="n"/>
      <c r="L187" s="86" t="n"/>
      <c r="M187" s="81" t="n"/>
      <c r="N187" s="86" t="n"/>
      <c r="O187" s="87">
        <f>IF(AND($A187&lt;&gt;"",ISNUMBER($D187)),IF(AND(INT($D187)&gt;=TODAY(),INT($D187)-TODAY()&lt;=Set_InterviewWindow),$D187+ROW()/100000,""),"")</f>
        <v/>
      </c>
    </row>
    <row r="188">
      <c r="A188" s="82" t="n"/>
      <c r="B188" s="82" t="n"/>
      <c r="C188" s="82" t="n"/>
      <c r="D188" s="89" t="n"/>
      <c r="E188" s="82" t="n"/>
      <c r="F188" s="82" t="n"/>
      <c r="G188" s="82" t="n"/>
      <c r="H188" s="86" t="n"/>
      <c r="I188" s="86" t="n"/>
      <c r="J188" s="82" t="n"/>
      <c r="K188" s="86" t="n"/>
      <c r="L188" s="86" t="n"/>
      <c r="M188" s="81" t="n"/>
      <c r="N188" s="86" t="n"/>
      <c r="O188" s="87">
        <f>IF(AND($A188&lt;&gt;"",ISNUMBER($D188)),IF(AND(INT($D188)&gt;=TODAY(),INT($D188)-TODAY()&lt;=Set_InterviewWindow),$D188+ROW()/100000,""),"")</f>
        <v/>
      </c>
    </row>
    <row r="189">
      <c r="A189" s="82" t="n"/>
      <c r="B189" s="82" t="n"/>
      <c r="C189" s="82" t="n"/>
      <c r="D189" s="89" t="n"/>
      <c r="E189" s="82" t="n"/>
      <c r="F189" s="82" t="n"/>
      <c r="G189" s="82" t="n"/>
      <c r="H189" s="86" t="n"/>
      <c r="I189" s="86" t="n"/>
      <c r="J189" s="82" t="n"/>
      <c r="K189" s="86" t="n"/>
      <c r="L189" s="86" t="n"/>
      <c r="M189" s="81" t="n"/>
      <c r="N189" s="86" t="n"/>
      <c r="O189" s="87">
        <f>IF(AND($A189&lt;&gt;"",ISNUMBER($D189)),IF(AND(INT($D189)&gt;=TODAY(),INT($D189)-TODAY()&lt;=Set_InterviewWindow),$D189+ROW()/100000,""),"")</f>
        <v/>
      </c>
    </row>
    <row r="190">
      <c r="A190" s="82" t="n"/>
      <c r="B190" s="82" t="n"/>
      <c r="C190" s="82" t="n"/>
      <c r="D190" s="89" t="n"/>
      <c r="E190" s="82" t="n"/>
      <c r="F190" s="82" t="n"/>
      <c r="G190" s="82" t="n"/>
      <c r="H190" s="86" t="n"/>
      <c r="I190" s="86" t="n"/>
      <c r="J190" s="82" t="n"/>
      <c r="K190" s="86" t="n"/>
      <c r="L190" s="86" t="n"/>
      <c r="M190" s="81" t="n"/>
      <c r="N190" s="86" t="n"/>
      <c r="O190" s="87">
        <f>IF(AND($A190&lt;&gt;"",ISNUMBER($D190)),IF(AND(INT($D190)&gt;=TODAY(),INT($D190)-TODAY()&lt;=Set_InterviewWindow),$D190+ROW()/100000,""),"")</f>
        <v/>
      </c>
    </row>
    <row r="191">
      <c r="A191" s="82" t="n"/>
      <c r="B191" s="82" t="n"/>
      <c r="C191" s="82" t="n"/>
      <c r="D191" s="89" t="n"/>
      <c r="E191" s="82" t="n"/>
      <c r="F191" s="82" t="n"/>
      <c r="G191" s="82" t="n"/>
      <c r="H191" s="86" t="n"/>
      <c r="I191" s="86" t="n"/>
      <c r="J191" s="82" t="n"/>
      <c r="K191" s="86" t="n"/>
      <c r="L191" s="86" t="n"/>
      <c r="M191" s="81" t="n"/>
      <c r="N191" s="86" t="n"/>
      <c r="O191" s="87">
        <f>IF(AND($A191&lt;&gt;"",ISNUMBER($D191)),IF(AND(INT($D191)&gt;=TODAY(),INT($D191)-TODAY()&lt;=Set_InterviewWindow),$D191+ROW()/100000,""),"")</f>
        <v/>
      </c>
    </row>
    <row r="192">
      <c r="A192" s="82" t="n"/>
      <c r="B192" s="82" t="n"/>
      <c r="C192" s="82" t="n"/>
      <c r="D192" s="89" t="n"/>
      <c r="E192" s="82" t="n"/>
      <c r="F192" s="82" t="n"/>
      <c r="G192" s="82" t="n"/>
      <c r="H192" s="86" t="n"/>
      <c r="I192" s="86" t="n"/>
      <c r="J192" s="82" t="n"/>
      <c r="K192" s="86" t="n"/>
      <c r="L192" s="86" t="n"/>
      <c r="M192" s="81" t="n"/>
      <c r="N192" s="86" t="n"/>
      <c r="O192" s="87">
        <f>IF(AND($A192&lt;&gt;"",ISNUMBER($D192)),IF(AND(INT($D192)&gt;=TODAY(),INT($D192)-TODAY()&lt;=Set_InterviewWindow),$D192+ROW()/100000,""),"")</f>
        <v/>
      </c>
    </row>
    <row r="193">
      <c r="A193" s="82" t="n"/>
      <c r="B193" s="82" t="n"/>
      <c r="C193" s="82" t="n"/>
      <c r="D193" s="89" t="n"/>
      <c r="E193" s="82" t="n"/>
      <c r="F193" s="82" t="n"/>
      <c r="G193" s="82" t="n"/>
      <c r="H193" s="86" t="n"/>
      <c r="I193" s="86" t="n"/>
      <c r="J193" s="82" t="n"/>
      <c r="K193" s="86" t="n"/>
      <c r="L193" s="86" t="n"/>
      <c r="M193" s="81" t="n"/>
      <c r="N193" s="86" t="n"/>
      <c r="O193" s="87">
        <f>IF(AND($A193&lt;&gt;"",ISNUMBER($D193)),IF(AND(INT($D193)&gt;=TODAY(),INT($D193)-TODAY()&lt;=Set_InterviewWindow),$D193+ROW()/100000,""),"")</f>
        <v/>
      </c>
    </row>
    <row r="194">
      <c r="A194" s="82" t="n"/>
      <c r="B194" s="82" t="n"/>
      <c r="C194" s="82" t="n"/>
      <c r="D194" s="89" t="n"/>
      <c r="E194" s="82" t="n"/>
      <c r="F194" s="82" t="n"/>
      <c r="G194" s="82" t="n"/>
      <c r="H194" s="86" t="n"/>
      <c r="I194" s="86" t="n"/>
      <c r="J194" s="82" t="n"/>
      <c r="K194" s="86" t="n"/>
      <c r="L194" s="86" t="n"/>
      <c r="M194" s="81" t="n"/>
      <c r="N194" s="86" t="n"/>
      <c r="O194" s="87">
        <f>IF(AND($A194&lt;&gt;"",ISNUMBER($D194)),IF(AND(INT($D194)&gt;=TODAY(),INT($D194)-TODAY()&lt;=Set_InterviewWindow),$D194+ROW()/100000,""),"")</f>
        <v/>
      </c>
    </row>
    <row r="195">
      <c r="A195" s="82" t="n"/>
      <c r="B195" s="82" t="n"/>
      <c r="C195" s="82" t="n"/>
      <c r="D195" s="89" t="n"/>
      <c r="E195" s="82" t="n"/>
      <c r="F195" s="82" t="n"/>
      <c r="G195" s="82" t="n"/>
      <c r="H195" s="86" t="n"/>
      <c r="I195" s="86" t="n"/>
      <c r="J195" s="82" t="n"/>
      <c r="K195" s="86" t="n"/>
      <c r="L195" s="86" t="n"/>
      <c r="M195" s="81" t="n"/>
      <c r="N195" s="86" t="n"/>
      <c r="O195" s="87">
        <f>IF(AND($A195&lt;&gt;"",ISNUMBER($D195)),IF(AND(INT($D195)&gt;=TODAY(),INT($D195)-TODAY()&lt;=Set_InterviewWindow),$D195+ROW()/100000,""),"")</f>
        <v/>
      </c>
    </row>
    <row r="196">
      <c r="A196" s="82" t="n"/>
      <c r="B196" s="82" t="n"/>
      <c r="C196" s="82" t="n"/>
      <c r="D196" s="89" t="n"/>
      <c r="E196" s="82" t="n"/>
      <c r="F196" s="82" t="n"/>
      <c r="G196" s="82" t="n"/>
      <c r="H196" s="86" t="n"/>
      <c r="I196" s="86" t="n"/>
      <c r="J196" s="82" t="n"/>
      <c r="K196" s="86" t="n"/>
      <c r="L196" s="86" t="n"/>
      <c r="M196" s="81" t="n"/>
      <c r="N196" s="86" t="n"/>
      <c r="O196" s="87">
        <f>IF(AND($A196&lt;&gt;"",ISNUMBER($D196)),IF(AND(INT($D196)&gt;=TODAY(),INT($D196)-TODAY()&lt;=Set_InterviewWindow),$D196+ROW()/100000,""),"")</f>
        <v/>
      </c>
    </row>
    <row r="197">
      <c r="A197" s="82" t="n"/>
      <c r="B197" s="82" t="n"/>
      <c r="C197" s="82" t="n"/>
      <c r="D197" s="89" t="n"/>
      <c r="E197" s="82" t="n"/>
      <c r="F197" s="82" t="n"/>
      <c r="G197" s="82" t="n"/>
      <c r="H197" s="86" t="n"/>
      <c r="I197" s="86" t="n"/>
      <c r="J197" s="82" t="n"/>
      <c r="K197" s="86" t="n"/>
      <c r="L197" s="86" t="n"/>
      <c r="M197" s="81" t="n"/>
      <c r="N197" s="86" t="n"/>
      <c r="O197" s="87">
        <f>IF(AND($A197&lt;&gt;"",ISNUMBER($D197)),IF(AND(INT($D197)&gt;=TODAY(),INT($D197)-TODAY()&lt;=Set_InterviewWindow),$D197+ROW()/100000,""),"")</f>
        <v/>
      </c>
    </row>
    <row r="198">
      <c r="A198" s="82" t="n"/>
      <c r="B198" s="82" t="n"/>
      <c r="C198" s="82" t="n"/>
      <c r="D198" s="89" t="n"/>
      <c r="E198" s="82" t="n"/>
      <c r="F198" s="82" t="n"/>
      <c r="G198" s="82" t="n"/>
      <c r="H198" s="86" t="n"/>
      <c r="I198" s="86" t="n"/>
      <c r="J198" s="82" t="n"/>
      <c r="K198" s="86" t="n"/>
      <c r="L198" s="86" t="n"/>
      <c r="M198" s="81" t="n"/>
      <c r="N198" s="86" t="n"/>
      <c r="O198" s="87">
        <f>IF(AND($A198&lt;&gt;"",ISNUMBER($D198)),IF(AND(INT($D198)&gt;=TODAY(),INT($D198)-TODAY()&lt;=Set_InterviewWindow),$D198+ROW()/100000,""),"")</f>
        <v/>
      </c>
    </row>
    <row r="199">
      <c r="A199" s="82" t="n"/>
      <c r="B199" s="82" t="n"/>
      <c r="C199" s="82" t="n"/>
      <c r="D199" s="89" t="n"/>
      <c r="E199" s="82" t="n"/>
      <c r="F199" s="82" t="n"/>
      <c r="G199" s="82" t="n"/>
      <c r="H199" s="86" t="n"/>
      <c r="I199" s="86" t="n"/>
      <c r="J199" s="82" t="n"/>
      <c r="K199" s="86" t="n"/>
      <c r="L199" s="86" t="n"/>
      <c r="M199" s="81" t="n"/>
      <c r="N199" s="86" t="n"/>
      <c r="O199" s="87">
        <f>IF(AND($A199&lt;&gt;"",ISNUMBER($D199)),IF(AND(INT($D199)&gt;=TODAY(),INT($D199)-TODAY()&lt;=Set_InterviewWindow),$D199+ROW()/100000,""),"")</f>
        <v/>
      </c>
    </row>
    <row r="200">
      <c r="A200" s="82" t="n"/>
      <c r="B200" s="82" t="n"/>
      <c r="C200" s="82" t="n"/>
      <c r="D200" s="89" t="n"/>
      <c r="E200" s="82" t="n"/>
      <c r="F200" s="82" t="n"/>
      <c r="G200" s="82" t="n"/>
      <c r="H200" s="86" t="n"/>
      <c r="I200" s="86" t="n"/>
      <c r="J200" s="82" t="n"/>
      <c r="K200" s="86" t="n"/>
      <c r="L200" s="86" t="n"/>
      <c r="M200" s="81" t="n"/>
      <c r="N200" s="86" t="n"/>
      <c r="O200" s="87">
        <f>IF(AND($A200&lt;&gt;"",ISNUMBER($D200)),IF(AND(INT($D200)&gt;=TODAY(),INT($D200)-TODAY()&lt;=Set_InterviewWindow),$D200+ROW()/100000,""),"")</f>
        <v/>
      </c>
    </row>
    <row r="201">
      <c r="A201" s="82" t="n"/>
      <c r="B201" s="82" t="n"/>
      <c r="C201" s="82" t="n"/>
      <c r="D201" s="89" t="n"/>
      <c r="E201" s="82" t="n"/>
      <c r="F201" s="82" t="n"/>
      <c r="G201" s="82" t="n"/>
      <c r="H201" s="86" t="n"/>
      <c r="I201" s="86" t="n"/>
      <c r="J201" s="82" t="n"/>
      <c r="K201" s="86" t="n"/>
      <c r="L201" s="86" t="n"/>
      <c r="M201" s="81" t="n"/>
      <c r="N201" s="86" t="n"/>
      <c r="O201" s="87">
        <f>IF(AND($A201&lt;&gt;"",ISNUMBER($D201)),IF(AND(INT($D201)&gt;=TODAY(),INT($D201)-TODAY()&lt;=Set_InterviewWindow),$D201+ROW()/100000,""),"")</f>
        <v/>
      </c>
    </row>
    <row r="202">
      <c r="A202" s="82" t="n"/>
      <c r="B202" s="82" t="n"/>
      <c r="C202" s="82" t="n"/>
      <c r="D202" s="89" t="n"/>
      <c r="E202" s="82" t="n"/>
      <c r="F202" s="82" t="n"/>
      <c r="G202" s="82" t="n"/>
      <c r="H202" s="86" t="n"/>
      <c r="I202" s="86" t="n"/>
      <c r="J202" s="82" t="n"/>
      <c r="K202" s="86" t="n"/>
      <c r="L202" s="86" t="n"/>
      <c r="M202" s="81" t="n"/>
      <c r="N202" s="86" t="n"/>
      <c r="O202" s="87">
        <f>IF(AND($A202&lt;&gt;"",ISNUMBER($D202)),IF(AND(INT($D202)&gt;=TODAY(),INT($D202)-TODAY()&lt;=Set_InterviewWindow),$D202+ROW()/100000,""),"")</f>
        <v/>
      </c>
    </row>
    <row r="203">
      <c r="A203" s="82" t="n"/>
      <c r="B203" s="82" t="n"/>
      <c r="C203" s="82" t="n"/>
      <c r="D203" s="89" t="n"/>
      <c r="E203" s="82" t="n"/>
      <c r="F203" s="82" t="n"/>
      <c r="G203" s="82" t="n"/>
      <c r="H203" s="86" t="n"/>
      <c r="I203" s="86" t="n"/>
      <c r="J203" s="82" t="n"/>
      <c r="K203" s="86" t="n"/>
      <c r="L203" s="86" t="n"/>
      <c r="M203" s="81" t="n"/>
      <c r="N203" s="86" t="n"/>
      <c r="O203" s="87">
        <f>IF(AND($A203&lt;&gt;"",ISNUMBER($D203)),IF(AND(INT($D203)&gt;=TODAY(),INT($D203)-TODAY()&lt;=Set_InterviewWindow),$D203+ROW()/100000,""),"")</f>
        <v/>
      </c>
    </row>
    <row r="204">
      <c r="A204" s="82" t="n"/>
      <c r="B204" s="82" t="n"/>
      <c r="C204" s="82" t="n"/>
      <c r="D204" s="89" t="n"/>
      <c r="E204" s="82" t="n"/>
      <c r="F204" s="82" t="n"/>
      <c r="G204" s="82" t="n"/>
      <c r="H204" s="86" t="n"/>
      <c r="I204" s="86" t="n"/>
      <c r="J204" s="82" t="n"/>
      <c r="K204" s="86" t="n"/>
      <c r="L204" s="86" t="n"/>
      <c r="M204" s="81" t="n"/>
      <c r="N204" s="86" t="n"/>
      <c r="O204" s="87">
        <f>IF(AND($A204&lt;&gt;"",ISNUMBER($D204)),IF(AND(INT($D204)&gt;=TODAY(),INT($D204)-TODAY()&lt;=Set_InterviewWindow),$D204+ROW()/100000,""),"")</f>
        <v/>
      </c>
    </row>
    <row r="205">
      <c r="A205" s="82" t="n"/>
      <c r="B205" s="82" t="n"/>
      <c r="C205" s="82" t="n"/>
      <c r="D205" s="89" t="n"/>
      <c r="E205" s="82" t="n"/>
      <c r="F205" s="82" t="n"/>
      <c r="G205" s="82" t="n"/>
      <c r="H205" s="86" t="n"/>
      <c r="I205" s="86" t="n"/>
      <c r="J205" s="82" t="n"/>
      <c r="K205" s="86" t="n"/>
      <c r="L205" s="86" t="n"/>
      <c r="M205" s="81" t="n"/>
      <c r="N205" s="86" t="n"/>
      <c r="O205" s="87">
        <f>IF(AND($A205&lt;&gt;"",ISNUMBER($D205)),IF(AND(INT($D205)&gt;=TODAY(),INT($D205)-TODAY()&lt;=Set_InterviewWindow),$D205+ROW()/100000,""),"")</f>
        <v/>
      </c>
    </row>
    <row r="206">
      <c r="A206" s="82" t="n"/>
      <c r="B206" s="82" t="n"/>
      <c r="C206" s="82" t="n"/>
      <c r="D206" s="89" t="n"/>
      <c r="E206" s="82" t="n"/>
      <c r="F206" s="82" t="n"/>
      <c r="G206" s="82" t="n"/>
      <c r="H206" s="86" t="n"/>
      <c r="I206" s="86" t="n"/>
      <c r="J206" s="82" t="n"/>
      <c r="K206" s="86" t="n"/>
      <c r="L206" s="86" t="n"/>
      <c r="M206" s="81" t="n"/>
      <c r="N206" s="86" t="n"/>
      <c r="O206" s="87">
        <f>IF(AND($A206&lt;&gt;"",ISNUMBER($D206)),IF(AND(INT($D206)&gt;=TODAY(),INT($D206)-TODAY()&lt;=Set_InterviewWindow),$D206+ROW()/100000,""),"")</f>
        <v/>
      </c>
    </row>
    <row r="207">
      <c r="A207" s="82" t="n"/>
      <c r="B207" s="82" t="n"/>
      <c r="C207" s="82" t="n"/>
      <c r="D207" s="89" t="n"/>
      <c r="E207" s="82" t="n"/>
      <c r="F207" s="82" t="n"/>
      <c r="G207" s="82" t="n"/>
      <c r="H207" s="86" t="n"/>
      <c r="I207" s="86" t="n"/>
      <c r="J207" s="82" t="n"/>
      <c r="K207" s="86" t="n"/>
      <c r="L207" s="86" t="n"/>
      <c r="M207" s="81" t="n"/>
      <c r="N207" s="86" t="n"/>
      <c r="O207" s="87">
        <f>IF(AND($A207&lt;&gt;"",ISNUMBER($D207)),IF(AND(INT($D207)&gt;=TODAY(),INT($D207)-TODAY()&lt;=Set_InterviewWindow),$D207+ROW()/100000,""),"")</f>
        <v/>
      </c>
    </row>
    <row r="208">
      <c r="A208" s="82" t="n"/>
      <c r="B208" s="82" t="n"/>
      <c r="C208" s="82" t="n"/>
      <c r="D208" s="89" t="n"/>
      <c r="E208" s="82" t="n"/>
      <c r="F208" s="82" t="n"/>
      <c r="G208" s="82" t="n"/>
      <c r="H208" s="86" t="n"/>
      <c r="I208" s="86" t="n"/>
      <c r="J208" s="82" t="n"/>
      <c r="K208" s="86" t="n"/>
      <c r="L208" s="86" t="n"/>
      <c r="M208" s="81" t="n"/>
      <c r="N208" s="86" t="n"/>
      <c r="O208" s="87">
        <f>IF(AND($A208&lt;&gt;"",ISNUMBER($D208)),IF(AND(INT($D208)&gt;=TODAY(),INT($D208)-TODAY()&lt;=Set_InterviewWindow),$D208+ROW()/100000,""),"")</f>
        <v/>
      </c>
    </row>
    <row r="209">
      <c r="A209" s="82" t="n"/>
      <c r="B209" s="82" t="n"/>
      <c r="C209" s="82" t="n"/>
      <c r="D209" s="89" t="n"/>
      <c r="E209" s="82" t="n"/>
      <c r="F209" s="82" t="n"/>
      <c r="G209" s="82" t="n"/>
      <c r="H209" s="86" t="n"/>
      <c r="I209" s="86" t="n"/>
      <c r="J209" s="82" t="n"/>
      <c r="K209" s="86" t="n"/>
      <c r="L209" s="86" t="n"/>
      <c r="M209" s="81" t="n"/>
      <c r="N209" s="86" t="n"/>
      <c r="O209" s="87">
        <f>IF(AND($A209&lt;&gt;"",ISNUMBER($D209)),IF(AND(INT($D209)&gt;=TODAY(),INT($D209)-TODAY()&lt;=Set_InterviewWindow),$D209+ROW()/100000,""),"")</f>
        <v/>
      </c>
    </row>
    <row r="210">
      <c r="A210" s="82" t="n"/>
      <c r="B210" s="82" t="n"/>
      <c r="C210" s="82" t="n"/>
      <c r="D210" s="89" t="n"/>
      <c r="E210" s="82" t="n"/>
      <c r="F210" s="82" t="n"/>
      <c r="G210" s="82" t="n"/>
      <c r="H210" s="86" t="n"/>
      <c r="I210" s="86" t="n"/>
      <c r="J210" s="82" t="n"/>
      <c r="K210" s="86" t="n"/>
      <c r="L210" s="86" t="n"/>
      <c r="M210" s="81" t="n"/>
      <c r="N210" s="86" t="n"/>
      <c r="O210" s="87">
        <f>IF(AND($A210&lt;&gt;"",ISNUMBER($D210)),IF(AND(INT($D210)&gt;=TODAY(),INT($D210)-TODAY()&lt;=Set_InterviewWindow),$D210+ROW()/100000,""),"")</f>
        <v/>
      </c>
    </row>
    <row r="211">
      <c r="A211" s="82" t="n"/>
      <c r="B211" s="82" t="n"/>
      <c r="C211" s="82" t="n"/>
      <c r="D211" s="89" t="n"/>
      <c r="E211" s="82" t="n"/>
      <c r="F211" s="82" t="n"/>
      <c r="G211" s="82" t="n"/>
      <c r="H211" s="86" t="n"/>
      <c r="I211" s="86" t="n"/>
      <c r="J211" s="82" t="n"/>
      <c r="K211" s="86" t="n"/>
      <c r="L211" s="86" t="n"/>
      <c r="M211" s="81" t="n"/>
      <c r="N211" s="86" t="n"/>
      <c r="O211" s="87">
        <f>IF(AND($A211&lt;&gt;"",ISNUMBER($D211)),IF(AND(INT($D211)&gt;=TODAY(),INT($D211)-TODAY()&lt;=Set_InterviewWindow),$D211+ROW()/100000,""),"")</f>
        <v/>
      </c>
    </row>
    <row r="212">
      <c r="A212" s="82" t="n"/>
      <c r="B212" s="82" t="n"/>
      <c r="C212" s="82" t="n"/>
      <c r="D212" s="89" t="n"/>
      <c r="E212" s="82" t="n"/>
      <c r="F212" s="82" t="n"/>
      <c r="G212" s="82" t="n"/>
      <c r="H212" s="86" t="n"/>
      <c r="I212" s="86" t="n"/>
      <c r="J212" s="82" t="n"/>
      <c r="K212" s="86" t="n"/>
      <c r="L212" s="86" t="n"/>
      <c r="M212" s="81" t="n"/>
      <c r="N212" s="86" t="n"/>
      <c r="O212" s="87">
        <f>IF(AND($A212&lt;&gt;"",ISNUMBER($D212)),IF(AND(INT($D212)&gt;=TODAY(),INT($D212)-TODAY()&lt;=Set_InterviewWindow),$D212+ROW()/100000,""),"")</f>
        <v/>
      </c>
    </row>
    <row r="213">
      <c r="A213" s="82" t="n"/>
      <c r="B213" s="82" t="n"/>
      <c r="C213" s="82" t="n"/>
      <c r="D213" s="89" t="n"/>
      <c r="E213" s="82" t="n"/>
      <c r="F213" s="82" t="n"/>
      <c r="G213" s="82" t="n"/>
      <c r="H213" s="86" t="n"/>
      <c r="I213" s="86" t="n"/>
      <c r="J213" s="82" t="n"/>
      <c r="K213" s="86" t="n"/>
      <c r="L213" s="86" t="n"/>
      <c r="M213" s="81" t="n"/>
      <c r="N213" s="86" t="n"/>
      <c r="O213" s="87">
        <f>IF(AND($A213&lt;&gt;"",ISNUMBER($D213)),IF(AND(INT($D213)&gt;=TODAY(),INT($D213)-TODAY()&lt;=Set_InterviewWindow),$D213+ROW()/100000,""),"")</f>
        <v/>
      </c>
    </row>
    <row r="214">
      <c r="A214" s="82" t="n"/>
      <c r="B214" s="82" t="n"/>
      <c r="C214" s="82" t="n"/>
      <c r="D214" s="89" t="n"/>
      <c r="E214" s="82" t="n"/>
      <c r="F214" s="82" t="n"/>
      <c r="G214" s="82" t="n"/>
      <c r="H214" s="86" t="n"/>
      <c r="I214" s="86" t="n"/>
      <c r="J214" s="82" t="n"/>
      <c r="K214" s="86" t="n"/>
      <c r="L214" s="86" t="n"/>
      <c r="M214" s="81" t="n"/>
      <c r="N214" s="86" t="n"/>
      <c r="O214" s="87">
        <f>IF(AND($A214&lt;&gt;"",ISNUMBER($D214)),IF(AND(INT($D214)&gt;=TODAY(),INT($D214)-TODAY()&lt;=Set_InterviewWindow),$D214+ROW()/100000,""),"")</f>
        <v/>
      </c>
    </row>
    <row r="215">
      <c r="A215" s="82" t="n"/>
      <c r="B215" s="82" t="n"/>
      <c r="C215" s="82" t="n"/>
      <c r="D215" s="89" t="n"/>
      <c r="E215" s="82" t="n"/>
      <c r="F215" s="82" t="n"/>
      <c r="G215" s="82" t="n"/>
      <c r="H215" s="86" t="n"/>
      <c r="I215" s="86" t="n"/>
      <c r="J215" s="82" t="n"/>
      <c r="K215" s="86" t="n"/>
      <c r="L215" s="86" t="n"/>
      <c r="M215" s="81" t="n"/>
      <c r="N215" s="86" t="n"/>
      <c r="O215" s="87">
        <f>IF(AND($A215&lt;&gt;"",ISNUMBER($D215)),IF(AND(INT($D215)&gt;=TODAY(),INT($D215)-TODAY()&lt;=Set_InterviewWindow),$D215+ROW()/100000,""),"")</f>
        <v/>
      </c>
    </row>
    <row r="216">
      <c r="A216" s="82" t="n"/>
      <c r="B216" s="82" t="n"/>
      <c r="C216" s="82" t="n"/>
      <c r="D216" s="89" t="n"/>
      <c r="E216" s="82" t="n"/>
      <c r="F216" s="82" t="n"/>
      <c r="G216" s="82" t="n"/>
      <c r="H216" s="86" t="n"/>
      <c r="I216" s="86" t="n"/>
      <c r="J216" s="82" t="n"/>
      <c r="K216" s="86" t="n"/>
      <c r="L216" s="86" t="n"/>
      <c r="M216" s="81" t="n"/>
      <c r="N216" s="86" t="n"/>
      <c r="O216" s="87">
        <f>IF(AND($A216&lt;&gt;"",ISNUMBER($D216)),IF(AND(INT($D216)&gt;=TODAY(),INT($D216)-TODAY()&lt;=Set_InterviewWindow),$D216+ROW()/100000,""),"")</f>
        <v/>
      </c>
    </row>
    <row r="217">
      <c r="A217" s="82" t="n"/>
      <c r="B217" s="82" t="n"/>
      <c r="C217" s="82" t="n"/>
      <c r="D217" s="89" t="n"/>
      <c r="E217" s="82" t="n"/>
      <c r="F217" s="82" t="n"/>
      <c r="G217" s="82" t="n"/>
      <c r="H217" s="86" t="n"/>
      <c r="I217" s="86" t="n"/>
      <c r="J217" s="82" t="n"/>
      <c r="K217" s="86" t="n"/>
      <c r="L217" s="86" t="n"/>
      <c r="M217" s="81" t="n"/>
      <c r="N217" s="86" t="n"/>
      <c r="O217" s="87">
        <f>IF(AND($A217&lt;&gt;"",ISNUMBER($D217)),IF(AND(INT($D217)&gt;=TODAY(),INT($D217)-TODAY()&lt;=Set_InterviewWindow),$D217+ROW()/100000,""),"")</f>
        <v/>
      </c>
    </row>
    <row r="218">
      <c r="A218" s="82" t="n"/>
      <c r="B218" s="82" t="n"/>
      <c r="C218" s="82" t="n"/>
      <c r="D218" s="89" t="n"/>
      <c r="E218" s="82" t="n"/>
      <c r="F218" s="82" t="n"/>
      <c r="G218" s="82" t="n"/>
      <c r="H218" s="86" t="n"/>
      <c r="I218" s="86" t="n"/>
      <c r="J218" s="82" t="n"/>
      <c r="K218" s="86" t="n"/>
      <c r="L218" s="86" t="n"/>
      <c r="M218" s="81" t="n"/>
      <c r="N218" s="86" t="n"/>
      <c r="O218" s="87">
        <f>IF(AND($A218&lt;&gt;"",ISNUMBER($D218)),IF(AND(INT($D218)&gt;=TODAY(),INT($D218)-TODAY()&lt;=Set_InterviewWindow),$D218+ROW()/100000,""),"")</f>
        <v/>
      </c>
    </row>
    <row r="219">
      <c r="A219" s="82" t="n"/>
      <c r="B219" s="82" t="n"/>
      <c r="C219" s="82" t="n"/>
      <c r="D219" s="89" t="n"/>
      <c r="E219" s="82" t="n"/>
      <c r="F219" s="82" t="n"/>
      <c r="G219" s="82" t="n"/>
      <c r="H219" s="86" t="n"/>
      <c r="I219" s="86" t="n"/>
      <c r="J219" s="82" t="n"/>
      <c r="K219" s="86" t="n"/>
      <c r="L219" s="86" t="n"/>
      <c r="M219" s="81" t="n"/>
      <c r="N219" s="86" t="n"/>
      <c r="O219" s="87">
        <f>IF(AND($A219&lt;&gt;"",ISNUMBER($D219)),IF(AND(INT($D219)&gt;=TODAY(),INT($D219)-TODAY()&lt;=Set_InterviewWindow),$D219+ROW()/100000,""),"")</f>
        <v/>
      </c>
    </row>
    <row r="220">
      <c r="A220" s="82" t="n"/>
      <c r="B220" s="82" t="n"/>
      <c r="C220" s="82" t="n"/>
      <c r="D220" s="89" t="n"/>
      <c r="E220" s="82" t="n"/>
      <c r="F220" s="82" t="n"/>
      <c r="G220" s="82" t="n"/>
      <c r="H220" s="86" t="n"/>
      <c r="I220" s="86" t="n"/>
      <c r="J220" s="82" t="n"/>
      <c r="K220" s="86" t="n"/>
      <c r="L220" s="86" t="n"/>
      <c r="M220" s="81" t="n"/>
      <c r="N220" s="86" t="n"/>
      <c r="O220" s="87">
        <f>IF(AND($A220&lt;&gt;"",ISNUMBER($D220)),IF(AND(INT($D220)&gt;=TODAY(),INT($D220)-TODAY()&lt;=Set_InterviewWindow),$D220+ROW()/100000,""),"")</f>
        <v/>
      </c>
    </row>
    <row r="221">
      <c r="A221" s="82" t="n"/>
      <c r="B221" s="82" t="n"/>
      <c r="C221" s="82" t="n"/>
      <c r="D221" s="89" t="n"/>
      <c r="E221" s="82" t="n"/>
      <c r="F221" s="82" t="n"/>
      <c r="G221" s="82" t="n"/>
      <c r="H221" s="86" t="n"/>
      <c r="I221" s="86" t="n"/>
      <c r="J221" s="82" t="n"/>
      <c r="K221" s="86" t="n"/>
      <c r="L221" s="86" t="n"/>
      <c r="M221" s="81" t="n"/>
      <c r="N221" s="86" t="n"/>
      <c r="O221" s="87">
        <f>IF(AND($A221&lt;&gt;"",ISNUMBER($D221)),IF(AND(INT($D221)&gt;=TODAY(),INT($D221)-TODAY()&lt;=Set_InterviewWindow),$D221+ROW()/100000,""),"")</f>
        <v/>
      </c>
    </row>
    <row r="222">
      <c r="A222" s="82" t="n"/>
      <c r="B222" s="82" t="n"/>
      <c r="C222" s="82" t="n"/>
      <c r="D222" s="89" t="n"/>
      <c r="E222" s="82" t="n"/>
      <c r="F222" s="82" t="n"/>
      <c r="G222" s="82" t="n"/>
      <c r="H222" s="86" t="n"/>
      <c r="I222" s="86" t="n"/>
      <c r="J222" s="82" t="n"/>
      <c r="K222" s="86" t="n"/>
      <c r="L222" s="86" t="n"/>
      <c r="M222" s="81" t="n"/>
      <c r="N222" s="86" t="n"/>
      <c r="O222" s="87">
        <f>IF(AND($A222&lt;&gt;"",ISNUMBER($D222)),IF(AND(INT($D222)&gt;=TODAY(),INT($D222)-TODAY()&lt;=Set_InterviewWindow),$D222+ROW()/100000,""),"")</f>
        <v/>
      </c>
    </row>
    <row r="223">
      <c r="A223" s="82" t="n"/>
      <c r="B223" s="82" t="n"/>
      <c r="C223" s="82" t="n"/>
      <c r="D223" s="89" t="n"/>
      <c r="E223" s="82" t="n"/>
      <c r="F223" s="82" t="n"/>
      <c r="G223" s="82" t="n"/>
      <c r="H223" s="86" t="n"/>
      <c r="I223" s="86" t="n"/>
      <c r="J223" s="82" t="n"/>
      <c r="K223" s="86" t="n"/>
      <c r="L223" s="86" t="n"/>
      <c r="M223" s="81" t="n"/>
      <c r="N223" s="86" t="n"/>
      <c r="O223" s="87">
        <f>IF(AND($A223&lt;&gt;"",ISNUMBER($D223)),IF(AND(INT($D223)&gt;=TODAY(),INT($D223)-TODAY()&lt;=Set_InterviewWindow),$D223+ROW()/100000,""),"")</f>
        <v/>
      </c>
    </row>
    <row r="224">
      <c r="A224" s="82" t="n"/>
      <c r="B224" s="82" t="n"/>
      <c r="C224" s="82" t="n"/>
      <c r="D224" s="89" t="n"/>
      <c r="E224" s="82" t="n"/>
      <c r="F224" s="82" t="n"/>
      <c r="G224" s="82" t="n"/>
      <c r="H224" s="86" t="n"/>
      <c r="I224" s="86" t="n"/>
      <c r="J224" s="82" t="n"/>
      <c r="K224" s="86" t="n"/>
      <c r="L224" s="86" t="n"/>
      <c r="M224" s="81" t="n"/>
      <c r="N224" s="86" t="n"/>
      <c r="O224" s="87">
        <f>IF(AND($A224&lt;&gt;"",ISNUMBER($D224)),IF(AND(INT($D224)&gt;=TODAY(),INT($D224)-TODAY()&lt;=Set_InterviewWindow),$D224+ROW()/100000,""),"")</f>
        <v/>
      </c>
    </row>
    <row r="225">
      <c r="A225" s="82" t="n"/>
      <c r="B225" s="82" t="n"/>
      <c r="C225" s="82" t="n"/>
      <c r="D225" s="89" t="n"/>
      <c r="E225" s="82" t="n"/>
      <c r="F225" s="82" t="n"/>
      <c r="G225" s="82" t="n"/>
      <c r="H225" s="86" t="n"/>
      <c r="I225" s="86" t="n"/>
      <c r="J225" s="82" t="n"/>
      <c r="K225" s="86" t="n"/>
      <c r="L225" s="86" t="n"/>
      <c r="M225" s="81" t="n"/>
      <c r="N225" s="86" t="n"/>
      <c r="O225" s="87">
        <f>IF(AND($A225&lt;&gt;"",ISNUMBER($D225)),IF(AND(INT($D225)&gt;=TODAY(),INT($D225)-TODAY()&lt;=Set_InterviewWindow),$D225+ROW()/100000,""),"")</f>
        <v/>
      </c>
    </row>
    <row r="226">
      <c r="A226" s="82" t="n"/>
      <c r="B226" s="82" t="n"/>
      <c r="C226" s="82" t="n"/>
      <c r="D226" s="89" t="n"/>
      <c r="E226" s="82" t="n"/>
      <c r="F226" s="82" t="n"/>
      <c r="G226" s="82" t="n"/>
      <c r="H226" s="86" t="n"/>
      <c r="I226" s="86" t="n"/>
      <c r="J226" s="82" t="n"/>
      <c r="K226" s="86" t="n"/>
      <c r="L226" s="86" t="n"/>
      <c r="M226" s="81" t="n"/>
      <c r="N226" s="86" t="n"/>
      <c r="O226" s="87">
        <f>IF(AND($A226&lt;&gt;"",ISNUMBER($D226)),IF(AND(INT($D226)&gt;=TODAY(),INT($D226)-TODAY()&lt;=Set_InterviewWindow),$D226+ROW()/100000,""),"")</f>
        <v/>
      </c>
    </row>
    <row r="227">
      <c r="A227" s="82" t="n"/>
      <c r="B227" s="82" t="n"/>
      <c r="C227" s="82" t="n"/>
      <c r="D227" s="89" t="n"/>
      <c r="E227" s="82" t="n"/>
      <c r="F227" s="82" t="n"/>
      <c r="G227" s="82" t="n"/>
      <c r="H227" s="86" t="n"/>
      <c r="I227" s="86" t="n"/>
      <c r="J227" s="82" t="n"/>
      <c r="K227" s="86" t="n"/>
      <c r="L227" s="86" t="n"/>
      <c r="M227" s="81" t="n"/>
      <c r="N227" s="86" t="n"/>
      <c r="O227" s="87">
        <f>IF(AND($A227&lt;&gt;"",ISNUMBER($D227)),IF(AND(INT($D227)&gt;=TODAY(),INT($D227)-TODAY()&lt;=Set_InterviewWindow),$D227+ROW()/100000,""),"")</f>
        <v/>
      </c>
    </row>
    <row r="228">
      <c r="A228" s="82" t="n"/>
      <c r="B228" s="82" t="n"/>
      <c r="C228" s="82" t="n"/>
      <c r="D228" s="89" t="n"/>
      <c r="E228" s="82" t="n"/>
      <c r="F228" s="82" t="n"/>
      <c r="G228" s="82" t="n"/>
      <c r="H228" s="86" t="n"/>
      <c r="I228" s="86" t="n"/>
      <c r="J228" s="82" t="n"/>
      <c r="K228" s="86" t="n"/>
      <c r="L228" s="86" t="n"/>
      <c r="M228" s="81" t="n"/>
      <c r="N228" s="86" t="n"/>
      <c r="O228" s="87">
        <f>IF(AND($A228&lt;&gt;"",ISNUMBER($D228)),IF(AND(INT($D228)&gt;=TODAY(),INT($D228)-TODAY()&lt;=Set_InterviewWindow),$D228+ROW()/100000,""),"")</f>
        <v/>
      </c>
    </row>
    <row r="229">
      <c r="A229" s="82" t="n"/>
      <c r="B229" s="82" t="n"/>
      <c r="C229" s="82" t="n"/>
      <c r="D229" s="89" t="n"/>
      <c r="E229" s="82" t="n"/>
      <c r="F229" s="82" t="n"/>
      <c r="G229" s="82" t="n"/>
      <c r="H229" s="86" t="n"/>
      <c r="I229" s="86" t="n"/>
      <c r="J229" s="82" t="n"/>
      <c r="K229" s="86" t="n"/>
      <c r="L229" s="86" t="n"/>
      <c r="M229" s="81" t="n"/>
      <c r="N229" s="86" t="n"/>
      <c r="O229" s="87">
        <f>IF(AND($A229&lt;&gt;"",ISNUMBER($D229)),IF(AND(INT($D229)&gt;=TODAY(),INT($D229)-TODAY()&lt;=Set_InterviewWindow),$D229+ROW()/100000,""),"")</f>
        <v/>
      </c>
    </row>
    <row r="230">
      <c r="A230" s="82" t="n"/>
      <c r="B230" s="82" t="n"/>
      <c r="C230" s="82" t="n"/>
      <c r="D230" s="89" t="n"/>
      <c r="E230" s="82" t="n"/>
      <c r="F230" s="82" t="n"/>
      <c r="G230" s="82" t="n"/>
      <c r="H230" s="86" t="n"/>
      <c r="I230" s="86" t="n"/>
      <c r="J230" s="82" t="n"/>
      <c r="K230" s="86" t="n"/>
      <c r="L230" s="86" t="n"/>
      <c r="M230" s="81" t="n"/>
      <c r="N230" s="86" t="n"/>
      <c r="O230" s="87">
        <f>IF(AND($A230&lt;&gt;"",ISNUMBER($D230)),IF(AND(INT($D230)&gt;=TODAY(),INT($D230)-TODAY()&lt;=Set_InterviewWindow),$D230+ROW()/100000,""),"")</f>
        <v/>
      </c>
    </row>
    <row r="231">
      <c r="A231" s="82" t="n"/>
      <c r="B231" s="82" t="n"/>
      <c r="C231" s="82" t="n"/>
      <c r="D231" s="89" t="n"/>
      <c r="E231" s="82" t="n"/>
      <c r="F231" s="82" t="n"/>
      <c r="G231" s="82" t="n"/>
      <c r="H231" s="86" t="n"/>
      <c r="I231" s="86" t="n"/>
      <c r="J231" s="82" t="n"/>
      <c r="K231" s="86" t="n"/>
      <c r="L231" s="86" t="n"/>
      <c r="M231" s="81" t="n"/>
      <c r="N231" s="86" t="n"/>
      <c r="O231" s="87">
        <f>IF(AND($A231&lt;&gt;"",ISNUMBER($D231)),IF(AND(INT($D231)&gt;=TODAY(),INT($D231)-TODAY()&lt;=Set_InterviewWindow),$D231+ROW()/100000,""),"")</f>
        <v/>
      </c>
    </row>
    <row r="232">
      <c r="A232" s="82" t="n"/>
      <c r="B232" s="82" t="n"/>
      <c r="C232" s="82" t="n"/>
      <c r="D232" s="89" t="n"/>
      <c r="E232" s="82" t="n"/>
      <c r="F232" s="82" t="n"/>
      <c r="G232" s="82" t="n"/>
      <c r="H232" s="86" t="n"/>
      <c r="I232" s="86" t="n"/>
      <c r="J232" s="82" t="n"/>
      <c r="K232" s="86" t="n"/>
      <c r="L232" s="86" t="n"/>
      <c r="M232" s="81" t="n"/>
      <c r="N232" s="86" t="n"/>
      <c r="O232" s="87">
        <f>IF(AND($A232&lt;&gt;"",ISNUMBER($D232)),IF(AND(INT($D232)&gt;=TODAY(),INT($D232)-TODAY()&lt;=Set_InterviewWindow),$D232+ROW()/100000,""),"")</f>
        <v/>
      </c>
    </row>
    <row r="233">
      <c r="A233" s="82" t="n"/>
      <c r="B233" s="82" t="n"/>
      <c r="C233" s="82" t="n"/>
      <c r="D233" s="89" t="n"/>
      <c r="E233" s="82" t="n"/>
      <c r="F233" s="82" t="n"/>
      <c r="G233" s="82" t="n"/>
      <c r="H233" s="86" t="n"/>
      <c r="I233" s="86" t="n"/>
      <c r="J233" s="82" t="n"/>
      <c r="K233" s="86" t="n"/>
      <c r="L233" s="86" t="n"/>
      <c r="M233" s="81" t="n"/>
      <c r="N233" s="86" t="n"/>
      <c r="O233" s="87">
        <f>IF(AND($A233&lt;&gt;"",ISNUMBER($D233)),IF(AND(INT($D233)&gt;=TODAY(),INT($D233)-TODAY()&lt;=Set_InterviewWindow),$D233+ROW()/100000,""),"")</f>
        <v/>
      </c>
    </row>
    <row r="234">
      <c r="A234" s="82" t="n"/>
      <c r="B234" s="82" t="n"/>
      <c r="C234" s="82" t="n"/>
      <c r="D234" s="89" t="n"/>
      <c r="E234" s="82" t="n"/>
      <c r="F234" s="82" t="n"/>
      <c r="G234" s="82" t="n"/>
      <c r="H234" s="86" t="n"/>
      <c r="I234" s="86" t="n"/>
      <c r="J234" s="82" t="n"/>
      <c r="K234" s="86" t="n"/>
      <c r="L234" s="86" t="n"/>
      <c r="M234" s="81" t="n"/>
      <c r="N234" s="86" t="n"/>
      <c r="O234" s="87">
        <f>IF(AND($A234&lt;&gt;"",ISNUMBER($D234)),IF(AND(INT($D234)&gt;=TODAY(),INT($D234)-TODAY()&lt;=Set_InterviewWindow),$D234+ROW()/100000,""),"")</f>
        <v/>
      </c>
    </row>
    <row r="235">
      <c r="A235" s="82" t="n"/>
      <c r="B235" s="82" t="n"/>
      <c r="C235" s="82" t="n"/>
      <c r="D235" s="89" t="n"/>
      <c r="E235" s="82" t="n"/>
      <c r="F235" s="82" t="n"/>
      <c r="G235" s="82" t="n"/>
      <c r="H235" s="86" t="n"/>
      <c r="I235" s="86" t="n"/>
      <c r="J235" s="82" t="n"/>
      <c r="K235" s="86" t="n"/>
      <c r="L235" s="86" t="n"/>
      <c r="M235" s="81" t="n"/>
      <c r="N235" s="86" t="n"/>
      <c r="O235" s="87">
        <f>IF(AND($A235&lt;&gt;"",ISNUMBER($D235)),IF(AND(INT($D235)&gt;=TODAY(),INT($D235)-TODAY()&lt;=Set_InterviewWindow),$D235+ROW()/100000,""),"")</f>
        <v/>
      </c>
    </row>
    <row r="236">
      <c r="A236" s="82" t="n"/>
      <c r="B236" s="82" t="n"/>
      <c r="C236" s="82" t="n"/>
      <c r="D236" s="89" t="n"/>
      <c r="E236" s="82" t="n"/>
      <c r="F236" s="82" t="n"/>
      <c r="G236" s="82" t="n"/>
      <c r="H236" s="86" t="n"/>
      <c r="I236" s="86" t="n"/>
      <c r="J236" s="82" t="n"/>
      <c r="K236" s="86" t="n"/>
      <c r="L236" s="86" t="n"/>
      <c r="M236" s="81" t="n"/>
      <c r="N236" s="86" t="n"/>
      <c r="O236" s="87">
        <f>IF(AND($A236&lt;&gt;"",ISNUMBER($D236)),IF(AND(INT($D236)&gt;=TODAY(),INT($D236)-TODAY()&lt;=Set_InterviewWindow),$D236+ROW()/100000,""),"")</f>
        <v/>
      </c>
    </row>
    <row r="237">
      <c r="A237" s="82" t="n"/>
      <c r="B237" s="82" t="n"/>
      <c r="C237" s="82" t="n"/>
      <c r="D237" s="89" t="n"/>
      <c r="E237" s="82" t="n"/>
      <c r="F237" s="82" t="n"/>
      <c r="G237" s="82" t="n"/>
      <c r="H237" s="86" t="n"/>
      <c r="I237" s="86" t="n"/>
      <c r="J237" s="82" t="n"/>
      <c r="K237" s="86" t="n"/>
      <c r="L237" s="86" t="n"/>
      <c r="M237" s="81" t="n"/>
      <c r="N237" s="86" t="n"/>
      <c r="O237" s="87">
        <f>IF(AND($A237&lt;&gt;"",ISNUMBER($D237)),IF(AND(INT($D237)&gt;=TODAY(),INT($D237)-TODAY()&lt;=Set_InterviewWindow),$D237+ROW()/100000,""),"")</f>
        <v/>
      </c>
    </row>
    <row r="238">
      <c r="A238" s="82" t="n"/>
      <c r="B238" s="82" t="n"/>
      <c r="C238" s="82" t="n"/>
      <c r="D238" s="89" t="n"/>
      <c r="E238" s="82" t="n"/>
      <c r="F238" s="82" t="n"/>
      <c r="G238" s="82" t="n"/>
      <c r="H238" s="86" t="n"/>
      <c r="I238" s="86" t="n"/>
      <c r="J238" s="82" t="n"/>
      <c r="K238" s="86" t="n"/>
      <c r="L238" s="86" t="n"/>
      <c r="M238" s="81" t="n"/>
      <c r="N238" s="86" t="n"/>
      <c r="O238" s="87">
        <f>IF(AND($A238&lt;&gt;"",ISNUMBER($D238)),IF(AND(INT($D238)&gt;=TODAY(),INT($D238)-TODAY()&lt;=Set_InterviewWindow),$D238+ROW()/100000,""),"")</f>
        <v/>
      </c>
    </row>
    <row r="239">
      <c r="A239" s="82" t="n"/>
      <c r="B239" s="82" t="n"/>
      <c r="C239" s="82" t="n"/>
      <c r="D239" s="89" t="n"/>
      <c r="E239" s="82" t="n"/>
      <c r="F239" s="82" t="n"/>
      <c r="G239" s="82" t="n"/>
      <c r="H239" s="86" t="n"/>
      <c r="I239" s="86" t="n"/>
      <c r="J239" s="82" t="n"/>
      <c r="K239" s="86" t="n"/>
      <c r="L239" s="86" t="n"/>
      <c r="M239" s="81" t="n"/>
      <c r="N239" s="86" t="n"/>
      <c r="O239" s="87">
        <f>IF(AND($A239&lt;&gt;"",ISNUMBER($D239)),IF(AND(INT($D239)&gt;=TODAY(),INT($D239)-TODAY()&lt;=Set_InterviewWindow),$D239+ROW()/100000,""),"")</f>
        <v/>
      </c>
    </row>
    <row r="240">
      <c r="A240" s="82" t="n"/>
      <c r="B240" s="82" t="n"/>
      <c r="C240" s="82" t="n"/>
      <c r="D240" s="89" t="n"/>
      <c r="E240" s="82" t="n"/>
      <c r="F240" s="82" t="n"/>
      <c r="G240" s="82" t="n"/>
      <c r="H240" s="86" t="n"/>
      <c r="I240" s="86" t="n"/>
      <c r="J240" s="82" t="n"/>
      <c r="K240" s="86" t="n"/>
      <c r="L240" s="86" t="n"/>
      <c r="M240" s="81" t="n"/>
      <c r="N240" s="86" t="n"/>
      <c r="O240" s="87">
        <f>IF(AND($A240&lt;&gt;"",ISNUMBER($D240)),IF(AND(INT($D240)&gt;=TODAY(),INT($D240)-TODAY()&lt;=Set_InterviewWindow),$D240+ROW()/100000,""),"")</f>
        <v/>
      </c>
    </row>
    <row r="241">
      <c r="A241" s="82" t="n"/>
      <c r="B241" s="82" t="n"/>
      <c r="C241" s="82" t="n"/>
      <c r="D241" s="89" t="n"/>
      <c r="E241" s="82" t="n"/>
      <c r="F241" s="82" t="n"/>
      <c r="G241" s="82" t="n"/>
      <c r="H241" s="86" t="n"/>
      <c r="I241" s="86" t="n"/>
      <c r="J241" s="82" t="n"/>
      <c r="K241" s="86" t="n"/>
      <c r="L241" s="86" t="n"/>
      <c r="M241" s="81" t="n"/>
      <c r="N241" s="86" t="n"/>
      <c r="O241" s="87">
        <f>IF(AND($A241&lt;&gt;"",ISNUMBER($D241)),IF(AND(INT($D241)&gt;=TODAY(),INT($D241)-TODAY()&lt;=Set_InterviewWindow),$D241+ROW()/100000,""),"")</f>
        <v/>
      </c>
    </row>
    <row r="242">
      <c r="A242" s="82" t="n"/>
      <c r="B242" s="82" t="n"/>
      <c r="C242" s="82" t="n"/>
      <c r="D242" s="89" t="n"/>
      <c r="E242" s="82" t="n"/>
      <c r="F242" s="82" t="n"/>
      <c r="G242" s="82" t="n"/>
      <c r="H242" s="86" t="n"/>
      <c r="I242" s="86" t="n"/>
      <c r="J242" s="82" t="n"/>
      <c r="K242" s="86" t="n"/>
      <c r="L242" s="86" t="n"/>
      <c r="M242" s="81" t="n"/>
      <c r="N242" s="86" t="n"/>
      <c r="O242" s="87">
        <f>IF(AND($A242&lt;&gt;"",ISNUMBER($D242)),IF(AND(INT($D242)&gt;=TODAY(),INT($D242)-TODAY()&lt;=Set_InterviewWindow),$D242+ROW()/100000,""),"")</f>
        <v/>
      </c>
    </row>
    <row r="243">
      <c r="A243" s="82" t="n"/>
      <c r="B243" s="82" t="n"/>
      <c r="C243" s="82" t="n"/>
      <c r="D243" s="89" t="n"/>
      <c r="E243" s="82" t="n"/>
      <c r="F243" s="82" t="n"/>
      <c r="G243" s="82" t="n"/>
      <c r="H243" s="86" t="n"/>
      <c r="I243" s="86" t="n"/>
      <c r="J243" s="82" t="n"/>
      <c r="K243" s="86" t="n"/>
      <c r="L243" s="86" t="n"/>
      <c r="M243" s="81" t="n"/>
      <c r="N243" s="86" t="n"/>
      <c r="O243" s="87">
        <f>IF(AND($A243&lt;&gt;"",ISNUMBER($D243)),IF(AND(INT($D243)&gt;=TODAY(),INT($D243)-TODAY()&lt;=Set_InterviewWindow),$D243+ROW()/100000,""),"")</f>
        <v/>
      </c>
    </row>
    <row r="244">
      <c r="A244" s="82" t="n"/>
      <c r="B244" s="82" t="n"/>
      <c r="C244" s="82" t="n"/>
      <c r="D244" s="89" t="n"/>
      <c r="E244" s="82" t="n"/>
      <c r="F244" s="82" t="n"/>
      <c r="G244" s="82" t="n"/>
      <c r="H244" s="86" t="n"/>
      <c r="I244" s="86" t="n"/>
      <c r="J244" s="82" t="n"/>
      <c r="K244" s="86" t="n"/>
      <c r="L244" s="86" t="n"/>
      <c r="M244" s="81" t="n"/>
      <c r="N244" s="86" t="n"/>
      <c r="O244" s="87">
        <f>IF(AND($A244&lt;&gt;"",ISNUMBER($D244)),IF(AND(INT($D244)&gt;=TODAY(),INT($D244)-TODAY()&lt;=Set_InterviewWindow),$D244+ROW()/100000,""),"")</f>
        <v/>
      </c>
    </row>
    <row r="245">
      <c r="A245" s="82" t="n"/>
      <c r="B245" s="82" t="n"/>
      <c r="C245" s="82" t="n"/>
      <c r="D245" s="89" t="n"/>
      <c r="E245" s="82" t="n"/>
      <c r="F245" s="82" t="n"/>
      <c r="G245" s="82" t="n"/>
      <c r="H245" s="86" t="n"/>
      <c r="I245" s="86" t="n"/>
      <c r="J245" s="82" t="n"/>
      <c r="K245" s="86" t="n"/>
      <c r="L245" s="86" t="n"/>
      <c r="M245" s="81" t="n"/>
      <c r="N245" s="86" t="n"/>
      <c r="O245" s="87">
        <f>IF(AND($A245&lt;&gt;"",ISNUMBER($D245)),IF(AND(INT($D245)&gt;=TODAY(),INT($D245)-TODAY()&lt;=Set_InterviewWindow),$D245+ROW()/100000,""),"")</f>
        <v/>
      </c>
    </row>
    <row r="246">
      <c r="A246" s="82" t="n"/>
      <c r="B246" s="82" t="n"/>
      <c r="C246" s="82" t="n"/>
      <c r="D246" s="89" t="n"/>
      <c r="E246" s="82" t="n"/>
      <c r="F246" s="82" t="n"/>
      <c r="G246" s="82" t="n"/>
      <c r="H246" s="86" t="n"/>
      <c r="I246" s="86" t="n"/>
      <c r="J246" s="82" t="n"/>
      <c r="K246" s="86" t="n"/>
      <c r="L246" s="86" t="n"/>
      <c r="M246" s="81" t="n"/>
      <c r="N246" s="86" t="n"/>
      <c r="O246" s="87">
        <f>IF(AND($A246&lt;&gt;"",ISNUMBER($D246)),IF(AND(INT($D246)&gt;=TODAY(),INT($D246)-TODAY()&lt;=Set_InterviewWindow),$D246+ROW()/100000,""),"")</f>
        <v/>
      </c>
    </row>
    <row r="247">
      <c r="A247" s="82" t="n"/>
      <c r="B247" s="82" t="n"/>
      <c r="C247" s="82" t="n"/>
      <c r="D247" s="89" t="n"/>
      <c r="E247" s="82" t="n"/>
      <c r="F247" s="82" t="n"/>
      <c r="G247" s="82" t="n"/>
      <c r="H247" s="86" t="n"/>
      <c r="I247" s="86" t="n"/>
      <c r="J247" s="82" t="n"/>
      <c r="K247" s="86" t="n"/>
      <c r="L247" s="86" t="n"/>
      <c r="M247" s="81" t="n"/>
      <c r="N247" s="86" t="n"/>
      <c r="O247" s="87">
        <f>IF(AND($A247&lt;&gt;"",ISNUMBER($D247)),IF(AND(INT($D247)&gt;=TODAY(),INT($D247)-TODAY()&lt;=Set_InterviewWindow),$D247+ROW()/100000,""),"")</f>
        <v/>
      </c>
    </row>
    <row r="248">
      <c r="A248" s="82" t="n"/>
      <c r="B248" s="82" t="n"/>
      <c r="C248" s="82" t="n"/>
      <c r="D248" s="89" t="n"/>
      <c r="E248" s="82" t="n"/>
      <c r="F248" s="82" t="n"/>
      <c r="G248" s="82" t="n"/>
      <c r="H248" s="86" t="n"/>
      <c r="I248" s="86" t="n"/>
      <c r="J248" s="82" t="n"/>
      <c r="K248" s="86" t="n"/>
      <c r="L248" s="86" t="n"/>
      <c r="M248" s="81" t="n"/>
      <c r="N248" s="86" t="n"/>
      <c r="O248" s="87">
        <f>IF(AND($A248&lt;&gt;"",ISNUMBER($D248)),IF(AND(INT($D248)&gt;=TODAY(),INT($D248)-TODAY()&lt;=Set_InterviewWindow),$D248+ROW()/100000,""),"")</f>
        <v/>
      </c>
    </row>
    <row r="249">
      <c r="A249" s="82" t="n"/>
      <c r="B249" s="82" t="n"/>
      <c r="C249" s="82" t="n"/>
      <c r="D249" s="89" t="n"/>
      <c r="E249" s="82" t="n"/>
      <c r="F249" s="82" t="n"/>
      <c r="G249" s="82" t="n"/>
      <c r="H249" s="86" t="n"/>
      <c r="I249" s="86" t="n"/>
      <c r="J249" s="82" t="n"/>
      <c r="K249" s="86" t="n"/>
      <c r="L249" s="86" t="n"/>
      <c r="M249" s="81" t="n"/>
      <c r="N249" s="86" t="n"/>
      <c r="O249" s="87">
        <f>IF(AND($A249&lt;&gt;"",ISNUMBER($D249)),IF(AND(INT($D249)&gt;=TODAY(),INT($D249)-TODAY()&lt;=Set_InterviewWindow),$D249+ROW()/100000,""),"")</f>
        <v/>
      </c>
    </row>
    <row r="250">
      <c r="A250" s="82" t="n"/>
      <c r="B250" s="82" t="n"/>
      <c r="C250" s="82" t="n"/>
      <c r="D250" s="89" t="n"/>
      <c r="E250" s="82" t="n"/>
      <c r="F250" s="82" t="n"/>
      <c r="G250" s="82" t="n"/>
      <c r="H250" s="86" t="n"/>
      <c r="I250" s="86" t="n"/>
      <c r="J250" s="82" t="n"/>
      <c r="K250" s="86" t="n"/>
      <c r="L250" s="86" t="n"/>
      <c r="M250" s="81" t="n"/>
      <c r="N250" s="86" t="n"/>
      <c r="O250" s="87">
        <f>IF(AND($A250&lt;&gt;"",ISNUMBER($D250)),IF(AND(INT($D250)&gt;=TODAY(),INT($D250)-TODAY()&lt;=Set_InterviewWindow),$D250+ROW()/100000,""),"")</f>
        <v/>
      </c>
    </row>
    <row r="251">
      <c r="A251" s="82" t="n"/>
      <c r="B251" s="82" t="n"/>
      <c r="C251" s="82" t="n"/>
      <c r="D251" s="89" t="n"/>
      <c r="E251" s="82" t="n"/>
      <c r="F251" s="82" t="n"/>
      <c r="G251" s="82" t="n"/>
      <c r="H251" s="86" t="n"/>
      <c r="I251" s="86" t="n"/>
      <c r="J251" s="82" t="n"/>
      <c r="K251" s="86" t="n"/>
      <c r="L251" s="86" t="n"/>
      <c r="M251" s="81" t="n"/>
      <c r="N251" s="86" t="n"/>
      <c r="O251" s="87">
        <f>IF(AND($A251&lt;&gt;"",ISNUMBER($D251)),IF(AND(INT($D251)&gt;=TODAY(),INT($D251)-TODAY()&lt;=Set_InterviewWindow),$D251+ROW()/100000,""),"")</f>
        <v/>
      </c>
    </row>
    <row r="252">
      <c r="A252" s="82" t="n"/>
      <c r="B252" s="82" t="n"/>
      <c r="C252" s="82" t="n"/>
      <c r="D252" s="89" t="n"/>
      <c r="E252" s="82" t="n"/>
      <c r="F252" s="82" t="n"/>
      <c r="G252" s="82" t="n"/>
      <c r="H252" s="86" t="n"/>
      <c r="I252" s="86" t="n"/>
      <c r="J252" s="82" t="n"/>
      <c r="K252" s="86" t="n"/>
      <c r="L252" s="86" t="n"/>
      <c r="M252" s="81" t="n"/>
      <c r="N252" s="86" t="n"/>
      <c r="O252" s="87">
        <f>IF(AND($A252&lt;&gt;"",ISNUMBER($D252)),IF(AND(INT($D252)&gt;=TODAY(),INT($D252)-TODAY()&lt;=Set_InterviewWindow),$D252+ROW()/100000,""),"")</f>
        <v/>
      </c>
    </row>
    <row r="253">
      <c r="A253" s="82" t="n"/>
      <c r="B253" s="82" t="n"/>
      <c r="C253" s="82" t="n"/>
      <c r="D253" s="89" t="n"/>
      <c r="E253" s="82" t="n"/>
      <c r="F253" s="82" t="n"/>
      <c r="G253" s="82" t="n"/>
      <c r="H253" s="86" t="n"/>
      <c r="I253" s="86" t="n"/>
      <c r="J253" s="82" t="n"/>
      <c r="K253" s="86" t="n"/>
      <c r="L253" s="86" t="n"/>
      <c r="M253" s="81" t="n"/>
      <c r="N253" s="86" t="n"/>
      <c r="O253" s="87">
        <f>IF(AND($A253&lt;&gt;"",ISNUMBER($D253)),IF(AND(INT($D253)&gt;=TODAY(),INT($D253)-TODAY()&lt;=Set_InterviewWindow),$D253+ROW()/100000,""),"")</f>
        <v/>
      </c>
    </row>
    <row r="254">
      <c r="A254" s="82" t="n"/>
      <c r="B254" s="82" t="n"/>
      <c r="C254" s="82" t="n"/>
      <c r="D254" s="89" t="n"/>
      <c r="E254" s="82" t="n"/>
      <c r="F254" s="82" t="n"/>
      <c r="G254" s="82" t="n"/>
      <c r="H254" s="86" t="n"/>
      <c r="I254" s="86" t="n"/>
      <c r="J254" s="82" t="n"/>
      <c r="K254" s="86" t="n"/>
      <c r="L254" s="86" t="n"/>
      <c r="M254" s="81" t="n"/>
      <c r="N254" s="86" t="n"/>
      <c r="O254" s="87">
        <f>IF(AND($A254&lt;&gt;"",ISNUMBER($D254)),IF(AND(INT($D254)&gt;=TODAY(),INT($D254)-TODAY()&lt;=Set_InterviewWindow),$D254+ROW()/100000,""),"")</f>
        <v/>
      </c>
    </row>
    <row r="255">
      <c r="A255" s="82" t="n"/>
      <c r="B255" s="82" t="n"/>
      <c r="C255" s="82" t="n"/>
      <c r="D255" s="89" t="n"/>
      <c r="E255" s="82" t="n"/>
      <c r="F255" s="82" t="n"/>
      <c r="G255" s="82" t="n"/>
      <c r="H255" s="86" t="n"/>
      <c r="I255" s="86" t="n"/>
      <c r="J255" s="82" t="n"/>
      <c r="K255" s="86" t="n"/>
      <c r="L255" s="86" t="n"/>
      <c r="M255" s="81" t="n"/>
      <c r="N255" s="86" t="n"/>
      <c r="O255" s="87">
        <f>IF(AND($A255&lt;&gt;"",ISNUMBER($D255)),IF(AND(INT($D255)&gt;=TODAY(),INT($D255)-TODAY()&lt;=Set_InterviewWindow),$D255+ROW()/100000,""),"")</f>
        <v/>
      </c>
    </row>
    <row r="256">
      <c r="A256" s="82" t="n"/>
      <c r="B256" s="82" t="n"/>
      <c r="C256" s="82" t="n"/>
      <c r="D256" s="89" t="n"/>
      <c r="E256" s="82" t="n"/>
      <c r="F256" s="82" t="n"/>
      <c r="G256" s="82" t="n"/>
      <c r="H256" s="86" t="n"/>
      <c r="I256" s="86" t="n"/>
      <c r="J256" s="82" t="n"/>
      <c r="K256" s="86" t="n"/>
      <c r="L256" s="86" t="n"/>
      <c r="M256" s="81" t="n"/>
      <c r="N256" s="86" t="n"/>
      <c r="O256" s="87">
        <f>IF(AND($A256&lt;&gt;"",ISNUMBER($D256)),IF(AND(INT($D256)&gt;=TODAY(),INT($D256)-TODAY()&lt;=Set_InterviewWindow),$D256+ROW()/100000,""),"")</f>
        <v/>
      </c>
    </row>
    <row r="257">
      <c r="A257" s="82" t="n"/>
      <c r="B257" s="82" t="n"/>
      <c r="C257" s="82" t="n"/>
      <c r="D257" s="89" t="n"/>
      <c r="E257" s="82" t="n"/>
      <c r="F257" s="82" t="n"/>
      <c r="G257" s="82" t="n"/>
      <c r="H257" s="86" t="n"/>
      <c r="I257" s="86" t="n"/>
      <c r="J257" s="82" t="n"/>
      <c r="K257" s="86" t="n"/>
      <c r="L257" s="86" t="n"/>
      <c r="M257" s="81" t="n"/>
      <c r="N257" s="86" t="n"/>
      <c r="O257" s="87">
        <f>IF(AND($A257&lt;&gt;"",ISNUMBER($D257)),IF(AND(INT($D257)&gt;=TODAY(),INT($D257)-TODAY()&lt;=Set_InterviewWindow),$D257+ROW()/100000,""),"")</f>
        <v/>
      </c>
    </row>
    <row r="258">
      <c r="A258" s="82" t="n"/>
      <c r="B258" s="82" t="n"/>
      <c r="C258" s="82" t="n"/>
      <c r="D258" s="89" t="n"/>
      <c r="E258" s="82" t="n"/>
      <c r="F258" s="82" t="n"/>
      <c r="G258" s="82" t="n"/>
      <c r="H258" s="86" t="n"/>
      <c r="I258" s="86" t="n"/>
      <c r="J258" s="82" t="n"/>
      <c r="K258" s="86" t="n"/>
      <c r="L258" s="86" t="n"/>
      <c r="M258" s="81" t="n"/>
      <c r="N258" s="86" t="n"/>
      <c r="O258" s="87">
        <f>IF(AND($A258&lt;&gt;"",ISNUMBER($D258)),IF(AND(INT($D258)&gt;=TODAY(),INT($D258)-TODAY()&lt;=Set_InterviewWindow),$D258+ROW()/100000,""),"")</f>
        <v/>
      </c>
    </row>
    <row r="259">
      <c r="A259" s="82" t="n"/>
      <c r="B259" s="82" t="n"/>
      <c r="C259" s="82" t="n"/>
      <c r="D259" s="89" t="n"/>
      <c r="E259" s="82" t="n"/>
      <c r="F259" s="82" t="n"/>
      <c r="G259" s="82" t="n"/>
      <c r="H259" s="86" t="n"/>
      <c r="I259" s="86" t="n"/>
      <c r="J259" s="82" t="n"/>
      <c r="K259" s="86" t="n"/>
      <c r="L259" s="86" t="n"/>
      <c r="M259" s="81" t="n"/>
      <c r="N259" s="86" t="n"/>
      <c r="O259" s="87">
        <f>IF(AND($A259&lt;&gt;"",ISNUMBER($D259)),IF(AND(INT($D259)&gt;=TODAY(),INT($D259)-TODAY()&lt;=Set_InterviewWindow),$D259+ROW()/100000,""),"")</f>
        <v/>
      </c>
    </row>
    <row r="260">
      <c r="A260" s="82" t="n"/>
      <c r="B260" s="82" t="n"/>
      <c r="C260" s="82" t="n"/>
      <c r="D260" s="89" t="n"/>
      <c r="E260" s="82" t="n"/>
      <c r="F260" s="82" t="n"/>
      <c r="G260" s="82" t="n"/>
      <c r="H260" s="86" t="n"/>
      <c r="I260" s="86" t="n"/>
      <c r="J260" s="82" t="n"/>
      <c r="K260" s="86" t="n"/>
      <c r="L260" s="86" t="n"/>
      <c r="M260" s="81" t="n"/>
      <c r="N260" s="86" t="n"/>
      <c r="O260" s="87">
        <f>IF(AND($A260&lt;&gt;"",ISNUMBER($D260)),IF(AND(INT($D260)&gt;=TODAY(),INT($D260)-TODAY()&lt;=Set_InterviewWindow),$D260+ROW()/100000,""),"")</f>
        <v/>
      </c>
    </row>
    <row r="261">
      <c r="A261" s="82" t="n"/>
      <c r="B261" s="82" t="n"/>
      <c r="C261" s="82" t="n"/>
      <c r="D261" s="89" t="n"/>
      <c r="E261" s="82" t="n"/>
      <c r="F261" s="82" t="n"/>
      <c r="G261" s="82" t="n"/>
      <c r="H261" s="86" t="n"/>
      <c r="I261" s="86" t="n"/>
      <c r="J261" s="82" t="n"/>
      <c r="K261" s="86" t="n"/>
      <c r="L261" s="86" t="n"/>
      <c r="M261" s="81" t="n"/>
      <c r="N261" s="86" t="n"/>
      <c r="O261" s="87">
        <f>IF(AND($A261&lt;&gt;"",ISNUMBER($D261)),IF(AND(INT($D261)&gt;=TODAY(),INT($D261)-TODAY()&lt;=Set_InterviewWindow),$D261+ROW()/100000,""),"")</f>
        <v/>
      </c>
    </row>
    <row r="262">
      <c r="A262" s="82" t="n"/>
      <c r="B262" s="82" t="n"/>
      <c r="C262" s="82" t="n"/>
      <c r="D262" s="89" t="n"/>
      <c r="E262" s="82" t="n"/>
      <c r="F262" s="82" t="n"/>
      <c r="G262" s="82" t="n"/>
      <c r="H262" s="86" t="n"/>
      <c r="I262" s="86" t="n"/>
      <c r="J262" s="82" t="n"/>
      <c r="K262" s="86" t="n"/>
      <c r="L262" s="86" t="n"/>
      <c r="M262" s="81" t="n"/>
      <c r="N262" s="86" t="n"/>
      <c r="O262" s="87">
        <f>IF(AND($A262&lt;&gt;"",ISNUMBER($D262)),IF(AND(INT($D262)&gt;=TODAY(),INT($D262)-TODAY()&lt;=Set_InterviewWindow),$D262+ROW()/100000,""),"")</f>
        <v/>
      </c>
    </row>
    <row r="263">
      <c r="A263" s="82" t="n"/>
      <c r="B263" s="82" t="n"/>
      <c r="C263" s="82" t="n"/>
      <c r="D263" s="89" t="n"/>
      <c r="E263" s="82" t="n"/>
      <c r="F263" s="82" t="n"/>
      <c r="G263" s="82" t="n"/>
      <c r="H263" s="86" t="n"/>
      <c r="I263" s="86" t="n"/>
      <c r="J263" s="82" t="n"/>
      <c r="K263" s="86" t="n"/>
      <c r="L263" s="86" t="n"/>
      <c r="M263" s="81" t="n"/>
      <c r="N263" s="86" t="n"/>
      <c r="O263" s="87">
        <f>IF(AND($A263&lt;&gt;"",ISNUMBER($D263)),IF(AND(INT($D263)&gt;=TODAY(),INT($D263)-TODAY()&lt;=Set_InterviewWindow),$D263+ROW()/100000,""),"")</f>
        <v/>
      </c>
    </row>
    <row r="264">
      <c r="A264" s="82" t="n"/>
      <c r="B264" s="82" t="n"/>
      <c r="C264" s="82" t="n"/>
      <c r="D264" s="89" t="n"/>
      <c r="E264" s="82" t="n"/>
      <c r="F264" s="82" t="n"/>
      <c r="G264" s="82" t="n"/>
      <c r="H264" s="86" t="n"/>
      <c r="I264" s="86" t="n"/>
      <c r="J264" s="82" t="n"/>
      <c r="K264" s="86" t="n"/>
      <c r="L264" s="86" t="n"/>
      <c r="M264" s="81" t="n"/>
      <c r="N264" s="86" t="n"/>
      <c r="O264" s="87">
        <f>IF(AND($A264&lt;&gt;"",ISNUMBER($D264)),IF(AND(INT($D264)&gt;=TODAY(),INT($D264)-TODAY()&lt;=Set_InterviewWindow),$D264+ROW()/100000,""),"")</f>
        <v/>
      </c>
    </row>
    <row r="265">
      <c r="A265" s="82" t="n"/>
      <c r="B265" s="82" t="n"/>
      <c r="C265" s="82" t="n"/>
      <c r="D265" s="89" t="n"/>
      <c r="E265" s="82" t="n"/>
      <c r="F265" s="82" t="n"/>
      <c r="G265" s="82" t="n"/>
      <c r="H265" s="86" t="n"/>
      <c r="I265" s="86" t="n"/>
      <c r="J265" s="82" t="n"/>
      <c r="K265" s="86" t="n"/>
      <c r="L265" s="86" t="n"/>
      <c r="M265" s="81" t="n"/>
      <c r="N265" s="86" t="n"/>
      <c r="O265" s="87">
        <f>IF(AND($A265&lt;&gt;"",ISNUMBER($D265)),IF(AND(INT($D265)&gt;=TODAY(),INT($D265)-TODAY()&lt;=Set_InterviewWindow),$D265+ROW()/100000,""),"")</f>
        <v/>
      </c>
    </row>
    <row r="266">
      <c r="A266" s="82" t="n"/>
      <c r="B266" s="82" t="n"/>
      <c r="C266" s="82" t="n"/>
      <c r="D266" s="89" t="n"/>
      <c r="E266" s="82" t="n"/>
      <c r="F266" s="82" t="n"/>
      <c r="G266" s="82" t="n"/>
      <c r="H266" s="86" t="n"/>
      <c r="I266" s="86" t="n"/>
      <c r="J266" s="82" t="n"/>
      <c r="K266" s="86" t="n"/>
      <c r="L266" s="86" t="n"/>
      <c r="M266" s="81" t="n"/>
      <c r="N266" s="86" t="n"/>
      <c r="O266" s="87">
        <f>IF(AND($A266&lt;&gt;"",ISNUMBER($D266)),IF(AND(INT($D266)&gt;=TODAY(),INT($D266)-TODAY()&lt;=Set_InterviewWindow),$D266+ROW()/100000,""),"")</f>
        <v/>
      </c>
    </row>
    <row r="267">
      <c r="A267" s="82" t="n"/>
      <c r="B267" s="82" t="n"/>
      <c r="C267" s="82" t="n"/>
      <c r="D267" s="89" t="n"/>
      <c r="E267" s="82" t="n"/>
      <c r="F267" s="82" t="n"/>
      <c r="G267" s="82" t="n"/>
      <c r="H267" s="86" t="n"/>
      <c r="I267" s="86" t="n"/>
      <c r="J267" s="82" t="n"/>
      <c r="K267" s="86" t="n"/>
      <c r="L267" s="86" t="n"/>
      <c r="M267" s="81" t="n"/>
      <c r="N267" s="86" t="n"/>
      <c r="O267" s="87">
        <f>IF(AND($A267&lt;&gt;"",ISNUMBER($D267)),IF(AND(INT($D267)&gt;=TODAY(),INT($D267)-TODAY()&lt;=Set_InterviewWindow),$D267+ROW()/100000,""),"")</f>
        <v/>
      </c>
    </row>
    <row r="268">
      <c r="A268" s="82" t="n"/>
      <c r="B268" s="82" t="n"/>
      <c r="C268" s="82" t="n"/>
      <c r="D268" s="89" t="n"/>
      <c r="E268" s="82" t="n"/>
      <c r="F268" s="82" t="n"/>
      <c r="G268" s="82" t="n"/>
      <c r="H268" s="86" t="n"/>
      <c r="I268" s="86" t="n"/>
      <c r="J268" s="82" t="n"/>
      <c r="K268" s="86" t="n"/>
      <c r="L268" s="86" t="n"/>
      <c r="M268" s="81" t="n"/>
      <c r="N268" s="86" t="n"/>
      <c r="O268" s="87">
        <f>IF(AND($A268&lt;&gt;"",ISNUMBER($D268)),IF(AND(INT($D268)&gt;=TODAY(),INT($D268)-TODAY()&lt;=Set_InterviewWindow),$D268+ROW()/100000,""),"")</f>
        <v/>
      </c>
    </row>
    <row r="269">
      <c r="A269" s="82" t="n"/>
      <c r="B269" s="82" t="n"/>
      <c r="C269" s="82" t="n"/>
      <c r="D269" s="89" t="n"/>
      <c r="E269" s="82" t="n"/>
      <c r="F269" s="82" t="n"/>
      <c r="G269" s="82" t="n"/>
      <c r="H269" s="86" t="n"/>
      <c r="I269" s="86" t="n"/>
      <c r="J269" s="82" t="n"/>
      <c r="K269" s="86" t="n"/>
      <c r="L269" s="86" t="n"/>
      <c r="M269" s="81" t="n"/>
      <c r="N269" s="86" t="n"/>
      <c r="O269" s="87">
        <f>IF(AND($A269&lt;&gt;"",ISNUMBER($D269)),IF(AND(INT($D269)&gt;=TODAY(),INT($D269)-TODAY()&lt;=Set_InterviewWindow),$D269+ROW()/100000,""),"")</f>
        <v/>
      </c>
    </row>
    <row r="270">
      <c r="A270" s="82" t="n"/>
      <c r="B270" s="82" t="n"/>
      <c r="C270" s="82" t="n"/>
      <c r="D270" s="89" t="n"/>
      <c r="E270" s="82" t="n"/>
      <c r="F270" s="82" t="n"/>
      <c r="G270" s="82" t="n"/>
      <c r="H270" s="86" t="n"/>
      <c r="I270" s="86" t="n"/>
      <c r="J270" s="82" t="n"/>
      <c r="K270" s="86" t="n"/>
      <c r="L270" s="86" t="n"/>
      <c r="M270" s="81" t="n"/>
      <c r="N270" s="86" t="n"/>
      <c r="O270" s="87">
        <f>IF(AND($A270&lt;&gt;"",ISNUMBER($D270)),IF(AND(INT($D270)&gt;=TODAY(),INT($D270)-TODAY()&lt;=Set_InterviewWindow),$D270+ROW()/100000,""),"")</f>
        <v/>
      </c>
    </row>
    <row r="271">
      <c r="A271" s="82" t="n"/>
      <c r="B271" s="82" t="n"/>
      <c r="C271" s="82" t="n"/>
      <c r="D271" s="89" t="n"/>
      <c r="E271" s="82" t="n"/>
      <c r="F271" s="82" t="n"/>
      <c r="G271" s="82" t="n"/>
      <c r="H271" s="86" t="n"/>
      <c r="I271" s="86" t="n"/>
      <c r="J271" s="82" t="n"/>
      <c r="K271" s="86" t="n"/>
      <c r="L271" s="86" t="n"/>
      <c r="M271" s="81" t="n"/>
      <c r="N271" s="86" t="n"/>
      <c r="O271" s="87">
        <f>IF(AND($A271&lt;&gt;"",ISNUMBER($D271)),IF(AND(INT($D271)&gt;=TODAY(),INT($D271)-TODAY()&lt;=Set_InterviewWindow),$D271+ROW()/100000,""),"")</f>
        <v/>
      </c>
    </row>
    <row r="272">
      <c r="A272" s="82" t="n"/>
      <c r="B272" s="82" t="n"/>
      <c r="C272" s="82" t="n"/>
      <c r="D272" s="89" t="n"/>
      <c r="E272" s="82" t="n"/>
      <c r="F272" s="82" t="n"/>
      <c r="G272" s="82" t="n"/>
      <c r="H272" s="86" t="n"/>
      <c r="I272" s="86" t="n"/>
      <c r="J272" s="82" t="n"/>
      <c r="K272" s="86" t="n"/>
      <c r="L272" s="86" t="n"/>
      <c r="M272" s="81" t="n"/>
      <c r="N272" s="86" t="n"/>
      <c r="O272" s="87">
        <f>IF(AND($A272&lt;&gt;"",ISNUMBER($D272)),IF(AND(INT($D272)&gt;=TODAY(),INT($D272)-TODAY()&lt;=Set_InterviewWindow),$D272+ROW()/100000,""),"")</f>
        <v/>
      </c>
    </row>
    <row r="273">
      <c r="A273" s="82" t="n"/>
      <c r="B273" s="82" t="n"/>
      <c r="C273" s="82" t="n"/>
      <c r="D273" s="89" t="n"/>
      <c r="E273" s="82" t="n"/>
      <c r="F273" s="82" t="n"/>
      <c r="G273" s="82" t="n"/>
      <c r="H273" s="86" t="n"/>
      <c r="I273" s="86" t="n"/>
      <c r="J273" s="82" t="n"/>
      <c r="K273" s="86" t="n"/>
      <c r="L273" s="86" t="n"/>
      <c r="M273" s="81" t="n"/>
      <c r="N273" s="86" t="n"/>
      <c r="O273" s="87">
        <f>IF(AND($A273&lt;&gt;"",ISNUMBER($D273)),IF(AND(INT($D273)&gt;=TODAY(),INT($D273)-TODAY()&lt;=Set_InterviewWindow),$D273+ROW()/100000,""),"")</f>
        <v/>
      </c>
    </row>
    <row r="274">
      <c r="A274" s="82" t="n"/>
      <c r="B274" s="82" t="n"/>
      <c r="C274" s="82" t="n"/>
      <c r="D274" s="89" t="n"/>
      <c r="E274" s="82" t="n"/>
      <c r="F274" s="82" t="n"/>
      <c r="G274" s="82" t="n"/>
      <c r="H274" s="86" t="n"/>
      <c r="I274" s="86" t="n"/>
      <c r="J274" s="82" t="n"/>
      <c r="K274" s="86" t="n"/>
      <c r="L274" s="86" t="n"/>
      <c r="M274" s="81" t="n"/>
      <c r="N274" s="86" t="n"/>
      <c r="O274" s="87">
        <f>IF(AND($A274&lt;&gt;"",ISNUMBER($D274)),IF(AND(INT($D274)&gt;=TODAY(),INT($D274)-TODAY()&lt;=Set_InterviewWindow),$D274+ROW()/100000,""),"")</f>
        <v/>
      </c>
    </row>
    <row r="275">
      <c r="A275" s="82" t="n"/>
      <c r="B275" s="82" t="n"/>
      <c r="C275" s="82" t="n"/>
      <c r="D275" s="89" t="n"/>
      <c r="E275" s="82" t="n"/>
      <c r="F275" s="82" t="n"/>
      <c r="G275" s="82" t="n"/>
      <c r="H275" s="86" t="n"/>
      <c r="I275" s="86" t="n"/>
      <c r="J275" s="82" t="n"/>
      <c r="K275" s="86" t="n"/>
      <c r="L275" s="86" t="n"/>
      <c r="M275" s="81" t="n"/>
      <c r="N275" s="86" t="n"/>
      <c r="O275" s="87">
        <f>IF(AND($A275&lt;&gt;"",ISNUMBER($D275)),IF(AND(INT($D275)&gt;=TODAY(),INT($D275)-TODAY()&lt;=Set_InterviewWindow),$D275+ROW()/100000,""),"")</f>
        <v/>
      </c>
    </row>
    <row r="276">
      <c r="A276" s="82" t="n"/>
      <c r="B276" s="82" t="n"/>
      <c r="C276" s="82" t="n"/>
      <c r="D276" s="89" t="n"/>
      <c r="E276" s="82" t="n"/>
      <c r="F276" s="82" t="n"/>
      <c r="G276" s="82" t="n"/>
      <c r="H276" s="86" t="n"/>
      <c r="I276" s="86" t="n"/>
      <c r="J276" s="82" t="n"/>
      <c r="K276" s="86" t="n"/>
      <c r="L276" s="86" t="n"/>
      <c r="M276" s="81" t="n"/>
      <c r="N276" s="86" t="n"/>
      <c r="O276" s="87">
        <f>IF(AND($A276&lt;&gt;"",ISNUMBER($D276)),IF(AND(INT($D276)&gt;=TODAY(),INT($D276)-TODAY()&lt;=Set_InterviewWindow),$D276+ROW()/100000,""),"")</f>
        <v/>
      </c>
    </row>
    <row r="277">
      <c r="A277" s="82" t="n"/>
      <c r="B277" s="82" t="n"/>
      <c r="C277" s="82" t="n"/>
      <c r="D277" s="89" t="n"/>
      <c r="E277" s="82" t="n"/>
      <c r="F277" s="82" t="n"/>
      <c r="G277" s="82" t="n"/>
      <c r="H277" s="86" t="n"/>
      <c r="I277" s="86" t="n"/>
      <c r="J277" s="82" t="n"/>
      <c r="K277" s="86" t="n"/>
      <c r="L277" s="86" t="n"/>
      <c r="M277" s="81" t="n"/>
      <c r="N277" s="86" t="n"/>
      <c r="O277" s="87">
        <f>IF(AND($A277&lt;&gt;"",ISNUMBER($D277)),IF(AND(INT($D277)&gt;=TODAY(),INT($D277)-TODAY()&lt;=Set_InterviewWindow),$D277+ROW()/100000,""),"")</f>
        <v/>
      </c>
    </row>
    <row r="278">
      <c r="A278" s="82" t="n"/>
      <c r="B278" s="82" t="n"/>
      <c r="C278" s="82" t="n"/>
      <c r="D278" s="89" t="n"/>
      <c r="E278" s="82" t="n"/>
      <c r="F278" s="82" t="n"/>
      <c r="G278" s="82" t="n"/>
      <c r="H278" s="86" t="n"/>
      <c r="I278" s="86" t="n"/>
      <c r="J278" s="82" t="n"/>
      <c r="K278" s="86" t="n"/>
      <c r="L278" s="86" t="n"/>
      <c r="M278" s="81" t="n"/>
      <c r="N278" s="86" t="n"/>
      <c r="O278" s="87">
        <f>IF(AND($A278&lt;&gt;"",ISNUMBER($D278)),IF(AND(INT($D278)&gt;=TODAY(),INT($D278)-TODAY()&lt;=Set_InterviewWindow),$D278+ROW()/100000,""),"")</f>
        <v/>
      </c>
    </row>
    <row r="279">
      <c r="A279" s="82" t="n"/>
      <c r="B279" s="82" t="n"/>
      <c r="C279" s="82" t="n"/>
      <c r="D279" s="89" t="n"/>
      <c r="E279" s="82" t="n"/>
      <c r="F279" s="82" t="n"/>
      <c r="G279" s="82" t="n"/>
      <c r="H279" s="86" t="n"/>
      <c r="I279" s="86" t="n"/>
      <c r="J279" s="82" t="n"/>
      <c r="K279" s="86" t="n"/>
      <c r="L279" s="86" t="n"/>
      <c r="M279" s="81" t="n"/>
      <c r="N279" s="86" t="n"/>
      <c r="O279" s="87">
        <f>IF(AND($A279&lt;&gt;"",ISNUMBER($D279)),IF(AND(INT($D279)&gt;=TODAY(),INT($D279)-TODAY()&lt;=Set_InterviewWindow),$D279+ROW()/100000,""),"")</f>
        <v/>
      </c>
    </row>
    <row r="280">
      <c r="A280" s="82" t="n"/>
      <c r="B280" s="82" t="n"/>
      <c r="C280" s="82" t="n"/>
      <c r="D280" s="89" t="n"/>
      <c r="E280" s="82" t="n"/>
      <c r="F280" s="82" t="n"/>
      <c r="G280" s="82" t="n"/>
      <c r="H280" s="86" t="n"/>
      <c r="I280" s="86" t="n"/>
      <c r="J280" s="82" t="n"/>
      <c r="K280" s="86" t="n"/>
      <c r="L280" s="86" t="n"/>
      <c r="M280" s="81" t="n"/>
      <c r="N280" s="86" t="n"/>
      <c r="O280" s="87">
        <f>IF(AND($A280&lt;&gt;"",ISNUMBER($D280)),IF(AND(INT($D280)&gt;=TODAY(),INT($D280)-TODAY()&lt;=Set_InterviewWindow),$D280+ROW()/100000,""),"")</f>
        <v/>
      </c>
    </row>
    <row r="281">
      <c r="A281" s="82" t="n"/>
      <c r="B281" s="82" t="n"/>
      <c r="C281" s="82" t="n"/>
      <c r="D281" s="89" t="n"/>
      <c r="E281" s="82" t="n"/>
      <c r="F281" s="82" t="n"/>
      <c r="G281" s="82" t="n"/>
      <c r="H281" s="86" t="n"/>
      <c r="I281" s="86" t="n"/>
      <c r="J281" s="82" t="n"/>
      <c r="K281" s="86" t="n"/>
      <c r="L281" s="86" t="n"/>
      <c r="M281" s="81" t="n"/>
      <c r="N281" s="86" t="n"/>
      <c r="O281" s="87">
        <f>IF(AND($A281&lt;&gt;"",ISNUMBER($D281)),IF(AND(INT($D281)&gt;=TODAY(),INT($D281)-TODAY()&lt;=Set_InterviewWindow),$D281+ROW()/100000,""),"")</f>
        <v/>
      </c>
    </row>
    <row r="282">
      <c r="A282" s="82" t="n"/>
      <c r="B282" s="82" t="n"/>
      <c r="C282" s="82" t="n"/>
      <c r="D282" s="89" t="n"/>
      <c r="E282" s="82" t="n"/>
      <c r="F282" s="82" t="n"/>
      <c r="G282" s="82" t="n"/>
      <c r="H282" s="86" t="n"/>
      <c r="I282" s="86" t="n"/>
      <c r="J282" s="82" t="n"/>
      <c r="K282" s="86" t="n"/>
      <c r="L282" s="86" t="n"/>
      <c r="M282" s="81" t="n"/>
      <c r="N282" s="86" t="n"/>
      <c r="O282" s="87">
        <f>IF(AND($A282&lt;&gt;"",ISNUMBER($D282)),IF(AND(INT($D282)&gt;=TODAY(),INT($D282)-TODAY()&lt;=Set_InterviewWindow),$D282+ROW()/100000,""),"")</f>
        <v/>
      </c>
    </row>
    <row r="283">
      <c r="A283" s="82" t="n"/>
      <c r="B283" s="82" t="n"/>
      <c r="C283" s="82" t="n"/>
      <c r="D283" s="89" t="n"/>
      <c r="E283" s="82" t="n"/>
      <c r="F283" s="82" t="n"/>
      <c r="G283" s="82" t="n"/>
      <c r="H283" s="86" t="n"/>
      <c r="I283" s="86" t="n"/>
      <c r="J283" s="82" t="n"/>
      <c r="K283" s="86" t="n"/>
      <c r="L283" s="86" t="n"/>
      <c r="M283" s="81" t="n"/>
      <c r="N283" s="86" t="n"/>
      <c r="O283" s="87">
        <f>IF(AND($A283&lt;&gt;"",ISNUMBER($D283)),IF(AND(INT($D283)&gt;=TODAY(),INT($D283)-TODAY()&lt;=Set_InterviewWindow),$D283+ROW()/100000,""),"")</f>
        <v/>
      </c>
    </row>
    <row r="284">
      <c r="A284" s="82" t="n"/>
      <c r="B284" s="82" t="n"/>
      <c r="C284" s="82" t="n"/>
      <c r="D284" s="89" t="n"/>
      <c r="E284" s="82" t="n"/>
      <c r="F284" s="82" t="n"/>
      <c r="G284" s="82" t="n"/>
      <c r="H284" s="86" t="n"/>
      <c r="I284" s="86" t="n"/>
      <c r="J284" s="82" t="n"/>
      <c r="K284" s="86" t="n"/>
      <c r="L284" s="86" t="n"/>
      <c r="M284" s="81" t="n"/>
      <c r="N284" s="86" t="n"/>
      <c r="O284" s="87">
        <f>IF(AND($A284&lt;&gt;"",ISNUMBER($D284)),IF(AND(INT($D284)&gt;=TODAY(),INT($D284)-TODAY()&lt;=Set_InterviewWindow),$D284+ROW()/100000,""),"")</f>
        <v/>
      </c>
    </row>
    <row r="285">
      <c r="A285" s="82" t="n"/>
      <c r="B285" s="82" t="n"/>
      <c r="C285" s="82" t="n"/>
      <c r="D285" s="89" t="n"/>
      <c r="E285" s="82" t="n"/>
      <c r="F285" s="82" t="n"/>
      <c r="G285" s="82" t="n"/>
      <c r="H285" s="86" t="n"/>
      <c r="I285" s="86" t="n"/>
      <c r="J285" s="82" t="n"/>
      <c r="K285" s="86" t="n"/>
      <c r="L285" s="86" t="n"/>
      <c r="M285" s="81" t="n"/>
      <c r="N285" s="86" t="n"/>
      <c r="O285" s="87">
        <f>IF(AND($A285&lt;&gt;"",ISNUMBER($D285)),IF(AND(INT($D285)&gt;=TODAY(),INT($D285)-TODAY()&lt;=Set_InterviewWindow),$D285+ROW()/100000,""),"")</f>
        <v/>
      </c>
    </row>
    <row r="286">
      <c r="A286" s="82" t="n"/>
      <c r="B286" s="82" t="n"/>
      <c r="C286" s="82" t="n"/>
      <c r="D286" s="89" t="n"/>
      <c r="E286" s="82" t="n"/>
      <c r="F286" s="82" t="n"/>
      <c r="G286" s="82" t="n"/>
      <c r="H286" s="86" t="n"/>
      <c r="I286" s="86" t="n"/>
      <c r="J286" s="82" t="n"/>
      <c r="K286" s="86" t="n"/>
      <c r="L286" s="86" t="n"/>
      <c r="M286" s="81" t="n"/>
      <c r="N286" s="86" t="n"/>
      <c r="O286" s="87">
        <f>IF(AND($A286&lt;&gt;"",ISNUMBER($D286)),IF(AND(INT($D286)&gt;=TODAY(),INT($D286)-TODAY()&lt;=Set_InterviewWindow),$D286+ROW()/100000,""),"")</f>
        <v/>
      </c>
    </row>
    <row r="287">
      <c r="A287" s="82" t="n"/>
      <c r="B287" s="82" t="n"/>
      <c r="C287" s="82" t="n"/>
      <c r="D287" s="89" t="n"/>
      <c r="E287" s="82" t="n"/>
      <c r="F287" s="82" t="n"/>
      <c r="G287" s="82" t="n"/>
      <c r="H287" s="86" t="n"/>
      <c r="I287" s="86" t="n"/>
      <c r="J287" s="82" t="n"/>
      <c r="K287" s="86" t="n"/>
      <c r="L287" s="86" t="n"/>
      <c r="M287" s="81" t="n"/>
      <c r="N287" s="86" t="n"/>
      <c r="O287" s="87">
        <f>IF(AND($A287&lt;&gt;"",ISNUMBER($D287)),IF(AND(INT($D287)&gt;=TODAY(),INT($D287)-TODAY()&lt;=Set_InterviewWindow),$D287+ROW()/100000,""),"")</f>
        <v/>
      </c>
    </row>
    <row r="288">
      <c r="A288" s="82" t="n"/>
      <c r="B288" s="82" t="n"/>
      <c r="C288" s="82" t="n"/>
      <c r="D288" s="89" t="n"/>
      <c r="E288" s="82" t="n"/>
      <c r="F288" s="82" t="n"/>
      <c r="G288" s="82" t="n"/>
      <c r="H288" s="86" t="n"/>
      <c r="I288" s="86" t="n"/>
      <c r="J288" s="82" t="n"/>
      <c r="K288" s="86" t="n"/>
      <c r="L288" s="86" t="n"/>
      <c r="M288" s="81" t="n"/>
      <c r="N288" s="86" t="n"/>
      <c r="O288" s="87">
        <f>IF(AND($A288&lt;&gt;"",ISNUMBER($D288)),IF(AND(INT($D288)&gt;=TODAY(),INT($D288)-TODAY()&lt;=Set_InterviewWindow),$D288+ROW()/100000,""),"")</f>
        <v/>
      </c>
    </row>
    <row r="289">
      <c r="A289" s="82" t="n"/>
      <c r="B289" s="82" t="n"/>
      <c r="C289" s="82" t="n"/>
      <c r="D289" s="89" t="n"/>
      <c r="E289" s="82" t="n"/>
      <c r="F289" s="82" t="n"/>
      <c r="G289" s="82" t="n"/>
      <c r="H289" s="86" t="n"/>
      <c r="I289" s="86" t="n"/>
      <c r="J289" s="82" t="n"/>
      <c r="K289" s="86" t="n"/>
      <c r="L289" s="86" t="n"/>
      <c r="M289" s="81" t="n"/>
      <c r="N289" s="86" t="n"/>
      <c r="O289" s="87">
        <f>IF(AND($A289&lt;&gt;"",ISNUMBER($D289)),IF(AND(INT($D289)&gt;=TODAY(),INT($D289)-TODAY()&lt;=Set_InterviewWindow),$D289+ROW()/100000,""),"")</f>
        <v/>
      </c>
    </row>
    <row r="290">
      <c r="A290" s="82" t="n"/>
      <c r="B290" s="82" t="n"/>
      <c r="C290" s="82" t="n"/>
      <c r="D290" s="89" t="n"/>
      <c r="E290" s="82" t="n"/>
      <c r="F290" s="82" t="n"/>
      <c r="G290" s="82" t="n"/>
      <c r="H290" s="86" t="n"/>
      <c r="I290" s="86" t="n"/>
      <c r="J290" s="82" t="n"/>
      <c r="K290" s="86" t="n"/>
      <c r="L290" s="86" t="n"/>
      <c r="M290" s="81" t="n"/>
      <c r="N290" s="86" t="n"/>
      <c r="O290" s="87">
        <f>IF(AND($A290&lt;&gt;"",ISNUMBER($D290)),IF(AND(INT($D290)&gt;=TODAY(),INT($D290)-TODAY()&lt;=Set_InterviewWindow),$D290+ROW()/100000,""),"")</f>
        <v/>
      </c>
    </row>
    <row r="291">
      <c r="A291" s="82" t="n"/>
      <c r="B291" s="82" t="n"/>
      <c r="C291" s="82" t="n"/>
      <c r="D291" s="89" t="n"/>
      <c r="E291" s="82" t="n"/>
      <c r="F291" s="82" t="n"/>
      <c r="G291" s="82" t="n"/>
      <c r="H291" s="86" t="n"/>
      <c r="I291" s="86" t="n"/>
      <c r="J291" s="82" t="n"/>
      <c r="K291" s="86" t="n"/>
      <c r="L291" s="86" t="n"/>
      <c r="M291" s="81" t="n"/>
      <c r="N291" s="86" t="n"/>
      <c r="O291" s="87">
        <f>IF(AND($A291&lt;&gt;"",ISNUMBER($D291)),IF(AND(INT($D291)&gt;=TODAY(),INT($D291)-TODAY()&lt;=Set_InterviewWindow),$D291+ROW()/100000,""),"")</f>
        <v/>
      </c>
    </row>
    <row r="292">
      <c r="A292" s="82" t="n"/>
      <c r="B292" s="82" t="n"/>
      <c r="C292" s="82" t="n"/>
      <c r="D292" s="89" t="n"/>
      <c r="E292" s="82" t="n"/>
      <c r="F292" s="82" t="n"/>
      <c r="G292" s="82" t="n"/>
      <c r="H292" s="86" t="n"/>
      <c r="I292" s="86" t="n"/>
      <c r="J292" s="82" t="n"/>
      <c r="K292" s="86" t="n"/>
      <c r="L292" s="86" t="n"/>
      <c r="M292" s="81" t="n"/>
      <c r="N292" s="86" t="n"/>
      <c r="O292" s="87">
        <f>IF(AND($A292&lt;&gt;"",ISNUMBER($D292)),IF(AND(INT($D292)&gt;=TODAY(),INT($D292)-TODAY()&lt;=Set_InterviewWindow),$D292+ROW()/100000,""),"")</f>
        <v/>
      </c>
    </row>
    <row r="293">
      <c r="A293" s="82" t="n"/>
      <c r="B293" s="82" t="n"/>
      <c r="C293" s="82" t="n"/>
      <c r="D293" s="89" t="n"/>
      <c r="E293" s="82" t="n"/>
      <c r="F293" s="82" t="n"/>
      <c r="G293" s="82" t="n"/>
      <c r="H293" s="86" t="n"/>
      <c r="I293" s="86" t="n"/>
      <c r="J293" s="82" t="n"/>
      <c r="K293" s="86" t="n"/>
      <c r="L293" s="86" t="n"/>
      <c r="M293" s="81" t="n"/>
      <c r="N293" s="86" t="n"/>
      <c r="O293" s="87">
        <f>IF(AND($A293&lt;&gt;"",ISNUMBER($D293)),IF(AND(INT($D293)&gt;=TODAY(),INT($D293)-TODAY()&lt;=Set_InterviewWindow),$D293+ROW()/100000,""),"")</f>
        <v/>
      </c>
    </row>
    <row r="294">
      <c r="A294" s="82" t="n"/>
      <c r="B294" s="82" t="n"/>
      <c r="C294" s="82" t="n"/>
      <c r="D294" s="89" t="n"/>
      <c r="E294" s="82" t="n"/>
      <c r="F294" s="82" t="n"/>
      <c r="G294" s="82" t="n"/>
      <c r="H294" s="86" t="n"/>
      <c r="I294" s="86" t="n"/>
      <c r="J294" s="82" t="n"/>
      <c r="K294" s="86" t="n"/>
      <c r="L294" s="86" t="n"/>
      <c r="M294" s="81" t="n"/>
      <c r="N294" s="86" t="n"/>
      <c r="O294" s="87">
        <f>IF(AND($A294&lt;&gt;"",ISNUMBER($D294)),IF(AND(INT($D294)&gt;=TODAY(),INT($D294)-TODAY()&lt;=Set_InterviewWindow),$D294+ROW()/100000,""),"")</f>
        <v/>
      </c>
    </row>
    <row r="295">
      <c r="A295" s="82" t="n"/>
      <c r="B295" s="82" t="n"/>
      <c r="C295" s="82" t="n"/>
      <c r="D295" s="89" t="n"/>
      <c r="E295" s="82" t="n"/>
      <c r="F295" s="82" t="n"/>
      <c r="G295" s="82" t="n"/>
      <c r="H295" s="86" t="n"/>
      <c r="I295" s="86" t="n"/>
      <c r="J295" s="82" t="n"/>
      <c r="K295" s="86" t="n"/>
      <c r="L295" s="86" t="n"/>
      <c r="M295" s="81" t="n"/>
      <c r="N295" s="86" t="n"/>
      <c r="O295" s="87">
        <f>IF(AND($A295&lt;&gt;"",ISNUMBER($D295)),IF(AND(INT($D295)&gt;=TODAY(),INT($D295)-TODAY()&lt;=Set_InterviewWindow),$D295+ROW()/100000,""),"")</f>
        <v/>
      </c>
    </row>
    <row r="296">
      <c r="A296" s="82" t="n"/>
      <c r="B296" s="82" t="n"/>
      <c r="C296" s="82" t="n"/>
      <c r="D296" s="89" t="n"/>
      <c r="E296" s="82" t="n"/>
      <c r="F296" s="82" t="n"/>
      <c r="G296" s="82" t="n"/>
      <c r="H296" s="86" t="n"/>
      <c r="I296" s="86" t="n"/>
      <c r="J296" s="82" t="n"/>
      <c r="K296" s="86" t="n"/>
      <c r="L296" s="86" t="n"/>
      <c r="M296" s="81" t="n"/>
      <c r="N296" s="86" t="n"/>
      <c r="O296" s="87">
        <f>IF(AND($A296&lt;&gt;"",ISNUMBER($D296)),IF(AND(INT($D296)&gt;=TODAY(),INT($D296)-TODAY()&lt;=Set_InterviewWindow),$D296+ROW()/100000,""),"")</f>
        <v/>
      </c>
    </row>
    <row r="297">
      <c r="A297" s="82" t="n"/>
      <c r="B297" s="82" t="n"/>
      <c r="C297" s="82" t="n"/>
      <c r="D297" s="89" t="n"/>
      <c r="E297" s="82" t="n"/>
      <c r="F297" s="82" t="n"/>
      <c r="G297" s="82" t="n"/>
      <c r="H297" s="86" t="n"/>
      <c r="I297" s="86" t="n"/>
      <c r="J297" s="82" t="n"/>
      <c r="K297" s="86" t="n"/>
      <c r="L297" s="86" t="n"/>
      <c r="M297" s="81" t="n"/>
      <c r="N297" s="86" t="n"/>
      <c r="O297" s="87">
        <f>IF(AND($A297&lt;&gt;"",ISNUMBER($D297)),IF(AND(INT($D297)&gt;=TODAY(),INT($D297)-TODAY()&lt;=Set_InterviewWindow),$D297+ROW()/100000,""),"")</f>
        <v/>
      </c>
    </row>
    <row r="298">
      <c r="A298" s="82" t="n"/>
      <c r="B298" s="82" t="n"/>
      <c r="C298" s="82" t="n"/>
      <c r="D298" s="89" t="n"/>
      <c r="E298" s="82" t="n"/>
      <c r="F298" s="82" t="n"/>
      <c r="G298" s="82" t="n"/>
      <c r="H298" s="86" t="n"/>
      <c r="I298" s="86" t="n"/>
      <c r="J298" s="82" t="n"/>
      <c r="K298" s="86" t="n"/>
      <c r="L298" s="86" t="n"/>
      <c r="M298" s="81" t="n"/>
      <c r="N298" s="86" t="n"/>
      <c r="O298" s="87">
        <f>IF(AND($A298&lt;&gt;"",ISNUMBER($D298)),IF(AND(INT($D298)&gt;=TODAY(),INT($D298)-TODAY()&lt;=Set_InterviewWindow),$D298+ROW()/100000,""),"")</f>
        <v/>
      </c>
    </row>
    <row r="299">
      <c r="A299" s="82" t="n"/>
      <c r="B299" s="82" t="n"/>
      <c r="C299" s="82" t="n"/>
      <c r="D299" s="89" t="n"/>
      <c r="E299" s="82" t="n"/>
      <c r="F299" s="82" t="n"/>
      <c r="G299" s="82" t="n"/>
      <c r="H299" s="86" t="n"/>
      <c r="I299" s="86" t="n"/>
      <c r="J299" s="82" t="n"/>
      <c r="K299" s="86" t="n"/>
      <c r="L299" s="86" t="n"/>
      <c r="M299" s="81" t="n"/>
      <c r="N299" s="86" t="n"/>
      <c r="O299" s="87">
        <f>IF(AND($A299&lt;&gt;"",ISNUMBER($D299)),IF(AND(INT($D299)&gt;=TODAY(),INT($D299)-TODAY()&lt;=Set_InterviewWindow),$D299+ROW()/100000,""),"")</f>
        <v/>
      </c>
    </row>
    <row r="300">
      <c r="A300" s="82" t="n"/>
      <c r="B300" s="82" t="n"/>
      <c r="C300" s="82" t="n"/>
      <c r="D300" s="89" t="n"/>
      <c r="E300" s="82" t="n"/>
      <c r="F300" s="82" t="n"/>
      <c r="G300" s="82" t="n"/>
      <c r="H300" s="86" t="n"/>
      <c r="I300" s="86" t="n"/>
      <c r="J300" s="82" t="n"/>
      <c r="K300" s="86" t="n"/>
      <c r="L300" s="86" t="n"/>
      <c r="M300" s="81" t="n"/>
      <c r="N300" s="86" t="n"/>
      <c r="O300" s="87">
        <f>IF(AND($A300&lt;&gt;"",ISNUMBER($D300)),IF(AND(INT($D300)&gt;=TODAY(),INT($D300)-TODAY()&lt;=Set_InterviewWindow),$D300+ROW()/100000,""),"")</f>
        <v/>
      </c>
    </row>
    <row r="301">
      <c r="A301" s="82" t="n"/>
      <c r="B301" s="82" t="n"/>
      <c r="C301" s="82" t="n"/>
      <c r="D301" s="89" t="n"/>
      <c r="E301" s="82" t="n"/>
      <c r="F301" s="82" t="n"/>
      <c r="G301" s="82" t="n"/>
      <c r="H301" s="86" t="n"/>
      <c r="I301" s="86" t="n"/>
      <c r="J301" s="82" t="n"/>
      <c r="K301" s="86" t="n"/>
      <c r="L301" s="86" t="n"/>
      <c r="M301" s="81" t="n"/>
      <c r="N301" s="86" t="n"/>
      <c r="O301" s="87">
        <f>IF(AND($A301&lt;&gt;"",ISNUMBER($D301)),IF(AND(INT($D301)&gt;=TODAY(),INT($D301)-TODAY()&lt;=Set_InterviewWindow),$D301+ROW()/100000,""),"")</f>
        <v/>
      </c>
    </row>
    <row r="302">
      <c r="A302" s="82" t="n"/>
      <c r="B302" s="82" t="n"/>
      <c r="C302" s="82" t="n"/>
      <c r="D302" s="89" t="n"/>
      <c r="E302" s="82" t="n"/>
      <c r="F302" s="82" t="n"/>
      <c r="G302" s="82" t="n"/>
      <c r="H302" s="86" t="n"/>
      <c r="I302" s="86" t="n"/>
      <c r="J302" s="82" t="n"/>
      <c r="K302" s="86" t="n"/>
      <c r="L302" s="86" t="n"/>
      <c r="M302" s="81" t="n"/>
      <c r="N302" s="86" t="n"/>
      <c r="O302" s="87">
        <f>IF(AND($A302&lt;&gt;"",ISNUMBER($D302)),IF(AND(INT($D302)&gt;=TODAY(),INT($D302)-TODAY()&lt;=Set_InterviewWindow),$D302+ROW()/100000,""),"")</f>
        <v/>
      </c>
    </row>
    <row r="303">
      <c r="A303" s="82" t="n"/>
      <c r="B303" s="82" t="n"/>
      <c r="C303" s="82" t="n"/>
      <c r="D303" s="89" t="n"/>
      <c r="E303" s="82" t="n"/>
      <c r="F303" s="82" t="n"/>
      <c r="G303" s="82" t="n"/>
      <c r="H303" s="86" t="n"/>
      <c r="I303" s="86" t="n"/>
      <c r="J303" s="82" t="n"/>
      <c r="K303" s="86" t="n"/>
      <c r="L303" s="86" t="n"/>
      <c r="M303" s="81" t="n"/>
      <c r="N303" s="86" t="n"/>
      <c r="O303" s="87">
        <f>IF(AND($A303&lt;&gt;"",ISNUMBER($D303)),IF(AND(INT($D303)&gt;=TODAY(),INT($D303)-TODAY()&lt;=Set_InterviewWindow),$D303+ROW()/100000,""),"")</f>
        <v/>
      </c>
    </row>
    <row r="304">
      <c r="A304" s="82" t="n"/>
      <c r="B304" s="82" t="n"/>
      <c r="C304" s="82" t="n"/>
      <c r="D304" s="89" t="n"/>
      <c r="E304" s="82" t="n"/>
      <c r="F304" s="82" t="n"/>
      <c r="G304" s="82" t="n"/>
      <c r="H304" s="86" t="n"/>
      <c r="I304" s="86" t="n"/>
      <c r="J304" s="82" t="n"/>
      <c r="K304" s="86" t="n"/>
      <c r="L304" s="86" t="n"/>
      <c r="M304" s="81" t="n"/>
      <c r="N304" s="86" t="n"/>
      <c r="O304" s="87">
        <f>IF(AND($A304&lt;&gt;"",ISNUMBER($D304)),IF(AND(INT($D304)&gt;=TODAY(),INT($D304)-TODAY()&lt;=Set_InterviewWindow),$D304+ROW()/100000,""),"")</f>
        <v/>
      </c>
    </row>
  </sheetData>
  <autoFilter ref="A4:O304"/>
  <conditionalFormatting sqref="D5:D304">
    <cfRule type="expression" priority="1" dxfId="8" stopIfTrue="1">
      <formula>AND(ISNUMBER($D5),INT($D5)=TODAY())</formula>
    </cfRule>
    <cfRule type="expression" priority="2" dxfId="24" stopIfTrue="1">
      <formula>AND(ISNUMBER($D5),INT($D5)&gt;TODAY(),INT($D5)-TODAY()&lt;=$O$2)</formula>
    </cfRule>
  </conditionalFormatting>
  <conditionalFormatting sqref="G5:G304">
    <cfRule type="expression" priority="3" dxfId="7" stopIfTrue="1">
      <formula>AND($G5="Not Started",ISNUMBER($D5),INT($D5)&gt;=TODAY(),INT($D5)-TODAY()&lt;=$O$2)</formula>
    </cfRule>
    <cfRule type="expression" priority="4" dxfId="28" stopIfTrue="1">
      <formula>$G5="Not Started"</formula>
    </cfRule>
    <cfRule type="expression" priority="5" dxfId="5" stopIfTrue="1">
      <formula>$G5="In Progress"</formula>
    </cfRule>
    <cfRule type="expression" priority="6" dxfId="23" stopIfTrue="1">
      <formula>$G5="Ready"</formula>
    </cfRule>
    <cfRule type="expression" priority="7" dxfId="29" stopIfTrue="1">
      <formula>$G5="Completed"</formula>
    </cfRule>
  </conditionalFormatting>
  <conditionalFormatting sqref="J5:J304">
    <cfRule type="expression" priority="8" dxfId="21" stopIfTrue="1">
      <formula>$J5="Poor"</formula>
    </cfRule>
    <cfRule type="expression" priority="9" dxfId="5" stopIfTrue="1">
      <formula>$J5="Needs Improvement"</formula>
    </cfRule>
    <cfRule type="expression" priority="10" dxfId="30" stopIfTrue="1">
      <formula>$J5="Good"</formula>
    </cfRule>
    <cfRule type="expression" priority="11" dxfId="31" stopIfTrue="1">
      <formula>$J5="Very Good"</formula>
    </cfRule>
    <cfRule type="expression" priority="12" dxfId="23" stopIfTrue="1">
      <formula>$J5="Excellent"</formula>
    </cfRule>
  </conditionalFormatting>
  <conditionalFormatting sqref="C5:C304">
    <cfRule type="expression" priority="13" dxfId="13" stopIfTrue="1">
      <formula>$C5="Screening"</formula>
    </cfRule>
    <cfRule type="expression" priority="14" dxfId="14" stopIfTrue="1">
      <formula>$C5="Interview 1"</formula>
    </cfRule>
    <cfRule type="expression" priority="15" dxfId="14" stopIfTrue="1">
      <formula>$C5="Interview 2"</formula>
    </cfRule>
    <cfRule type="expression" priority="16" dxfId="14" stopIfTrue="1">
      <formula>$C5="Interview 3+"</formula>
    </cfRule>
    <cfRule type="expression" priority="17" dxfId="15" stopIfTrue="1">
      <formula>$C5="Final"</formula>
    </cfRule>
  </conditionalFormatting>
  <conditionalFormatting sqref="M5:M304">
    <cfRule type="expression" priority="18" dxfId="7" stopIfTrue="1">
      <formula>AND(ISNUMBER($M5),INT($M5)&lt;TODAY())</formula>
    </cfRule>
    <cfRule type="expression" priority="19" dxfId="24" stopIfTrue="1">
      <formula>AND(ISNUMBER($M5),INT($M5)&gt;=TODAY(),INT($M5)-TODAY()&lt;=$O$2)</formula>
    </cfRule>
  </conditionalFormatting>
  <conditionalFormatting sqref="A5:N304">
    <cfRule type="expression" priority="20" dxfId="27" stopIfTrue="0">
      <formula>AND($A5&lt;&gt;"",MOD(ROW(),2)=0)</formula>
    </cfRule>
  </conditionalFormatting>
  <dataValidations count="6">
    <dataValidation sqref="C5:C304" showDropDown="0" showInputMessage="0" showErrorMessage="1" allowBlank="1" errorTitle="Pick from the list" error="Choose a value from the dropdown (list: Settings → Interview Stage)." type="list" errorStyle="stop">
      <formula1>Settings!$R$13:$R$18</formula1>
    </dataValidation>
    <dataValidation sqref="D5:D3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F5:F304" showDropDown="0" showInputMessage="0" showErrorMessage="1" allowBlank="1" errorTitle="Pick from the list" error="Choose a value from the dropdown (list: Settings → Interview Type)." type="list" errorStyle="stop">
      <formula1>Settings!$S$13:$S$21</formula1>
    </dataValidation>
    <dataValidation sqref="G5:G304" showDropDown="0" showInputMessage="0" showErrorMessage="1" allowBlank="1" errorTitle="Pick from the list" error="Choose a value from the dropdown (list: Settings → Preparation Status)." type="list" errorStyle="stop">
      <formula1>Settings!$T$13:$T$16</formula1>
    </dataValidation>
    <dataValidation sqref="J5:J304" showDropDown="0" showInputMessage="0" showErrorMessage="1" allowBlank="1" errorTitle="Pick from the list" error="Choose a value from the dropdown (list: Settings → My Performance)." type="list" errorStyle="stop">
      <formula1>Settings!$U$13:$U$17</formula1>
    </dataValidation>
    <dataValidation sqref="M5:M3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3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1" customWidth="1" min="4" max="4"/>
    <col width="22" customWidth="1" min="5" max="5"/>
    <col width="26" customWidth="1" min="6" max="6"/>
    <col width="20" customWidth="1" min="7" max="7"/>
    <col width="24" customWidth="1" min="8" max="8"/>
    <col width="10" customWidth="1" min="9" max="9"/>
    <col width="10" customWidth="1" min="10" max="10"/>
    <col width="15" customWidth="1" min="11" max="11"/>
    <col width="40" customWidth="1" min="12" max="12"/>
    <col width="12" customWidth="1" min="13" max="13"/>
    <col width="12" customWidth="1" min="14" max="14"/>
    <col width="10" customWidth="1" min="15" max="15"/>
  </cols>
  <sheetData>
    <row r="1" ht="26" customHeight="1">
      <c r="A1" s="73" t="inlineStr">
        <is>
          <t>Companies</t>
        </is>
      </c>
    </row>
    <row r="2">
      <c r="A2" s="4" t="inlineStr">
        <is>
          <t>Target companies — worth tracking even when there's no perfect opening yet.</t>
        </is>
      </c>
    </row>
    <row r="3">
      <c r="A3" s="63" t="inlineStr">
        <is>
          <t>Use the same company spelling as on Applications and Contacts so the counts on the right link up.</t>
        </is>
      </c>
      <c r="M3" s="5" t="inlineStr">
        <is>
          <t>AUTO-CALCULATED  ▸  from Applications &amp; Contacts</t>
        </is>
      </c>
    </row>
    <row r="4" ht="34" customHeight="1">
      <c r="A4" s="78" t="inlineStr">
        <is>
          <t>Company</t>
        </is>
      </c>
      <c r="B4" s="78" t="inlineStr">
        <is>
          <t>Industry</t>
        </is>
      </c>
      <c r="C4" s="78" t="inlineStr">
        <is>
          <t>Location</t>
        </is>
      </c>
      <c r="D4" s="78" t="inlineStr">
        <is>
          <t>AI Relevance</t>
        </is>
      </c>
      <c r="E4" s="78" t="inlineStr">
        <is>
          <t>Target Role</t>
        </is>
      </c>
      <c r="F4" s="78" t="inlineStr">
        <is>
          <t>Careers URL</t>
        </is>
      </c>
      <c r="G4" s="78" t="inlineStr">
        <is>
          <t>Contact</t>
        </is>
      </c>
      <c r="H4" s="78" t="inlineStr">
        <is>
          <t>Contact LinkedIn</t>
        </is>
      </c>
      <c r="I4" s="78" t="inlineStr">
        <is>
          <t>Referral</t>
        </is>
      </c>
      <c r="J4" s="78" t="inlineStr">
        <is>
          <t>Priority</t>
        </is>
      </c>
      <c r="K4" s="78" t="inlineStr">
        <is>
          <t>Status</t>
        </is>
      </c>
      <c r="L4" s="78" t="inlineStr">
        <is>
          <t>Notes</t>
        </is>
      </c>
      <c r="M4" s="79" t="inlineStr">
        <is>
          <t>Applications</t>
        </is>
      </c>
      <c r="N4" s="79" t="inlineStr">
        <is>
          <t>Active Applications</t>
        </is>
      </c>
      <c r="O4" s="79" t="inlineStr">
        <is>
          <t>Contacts</t>
        </is>
      </c>
    </row>
    <row r="5">
      <c r="A5" s="82" t="n"/>
      <c r="B5" s="82" t="n"/>
      <c r="C5" s="82" t="n"/>
      <c r="D5" s="84" t="n"/>
      <c r="E5" s="82" t="n"/>
      <c r="F5" s="83" t="n"/>
      <c r="G5" s="82" t="n"/>
      <c r="H5" s="83" t="n"/>
      <c r="I5" s="84" t="n"/>
      <c r="J5" s="84" t="n"/>
      <c r="K5" s="82" t="n"/>
      <c r="L5" s="86" t="n"/>
      <c r="M5" s="90">
        <f>IF($A5="","",COUNTIFS(App_Company,$A5,App_Stage,"&gt;=1"))</f>
        <v/>
      </c>
      <c r="N5" s="90">
        <f>IF($A5="","",COUNTIFS(App_Company,$A5,App_ActiveKey,"&gt;0"))</f>
        <v/>
      </c>
      <c r="O5" s="90">
        <f>IF($A5="","",COUNTIF(Ct_Company,$A5))</f>
        <v/>
      </c>
    </row>
    <row r="6">
      <c r="A6" s="82" t="n"/>
      <c r="B6" s="82" t="n"/>
      <c r="C6" s="82" t="n"/>
      <c r="D6" s="84" t="n"/>
      <c r="E6" s="82" t="n"/>
      <c r="F6" s="83" t="n"/>
      <c r="G6" s="82" t="n"/>
      <c r="H6" s="83" t="n"/>
      <c r="I6" s="84" t="n"/>
      <c r="J6" s="84" t="n"/>
      <c r="K6" s="82" t="n"/>
      <c r="L6" s="86" t="n"/>
      <c r="M6" s="90">
        <f>IF($A6="","",COUNTIFS(App_Company,$A6,App_Stage,"&gt;=1"))</f>
        <v/>
      </c>
      <c r="N6" s="90">
        <f>IF($A6="","",COUNTIFS(App_Company,$A6,App_ActiveKey,"&gt;0"))</f>
        <v/>
      </c>
      <c r="O6" s="90">
        <f>IF($A6="","",COUNTIF(Ct_Company,$A6))</f>
        <v/>
      </c>
    </row>
    <row r="7">
      <c r="A7" s="82" t="n"/>
      <c r="B7" s="82" t="n"/>
      <c r="C7" s="82" t="n"/>
      <c r="D7" s="84" t="n"/>
      <c r="E7" s="82" t="n"/>
      <c r="F7" s="83" t="n"/>
      <c r="G7" s="82" t="n"/>
      <c r="H7" s="83" t="n"/>
      <c r="I7" s="84" t="n"/>
      <c r="J7" s="84" t="n"/>
      <c r="K7" s="82" t="n"/>
      <c r="L7" s="86" t="n"/>
      <c r="M7" s="90">
        <f>IF($A7="","",COUNTIFS(App_Company,$A7,App_Stage,"&gt;=1"))</f>
        <v/>
      </c>
      <c r="N7" s="90">
        <f>IF($A7="","",COUNTIFS(App_Company,$A7,App_ActiveKey,"&gt;0"))</f>
        <v/>
      </c>
      <c r="O7" s="90">
        <f>IF($A7="","",COUNTIF(Ct_Company,$A7))</f>
        <v/>
      </c>
    </row>
    <row r="8">
      <c r="A8" s="82" t="n"/>
      <c r="B8" s="82" t="n"/>
      <c r="C8" s="82" t="n"/>
      <c r="D8" s="84" t="n"/>
      <c r="E8" s="82" t="n"/>
      <c r="F8" s="83" t="n"/>
      <c r="G8" s="82" t="n"/>
      <c r="H8" s="83" t="n"/>
      <c r="I8" s="84" t="n"/>
      <c r="J8" s="84" t="n"/>
      <c r="K8" s="82" t="n"/>
      <c r="L8" s="86" t="n"/>
      <c r="M8" s="90">
        <f>IF($A8="","",COUNTIFS(App_Company,$A8,App_Stage,"&gt;=1"))</f>
        <v/>
      </c>
      <c r="N8" s="90">
        <f>IF($A8="","",COUNTIFS(App_Company,$A8,App_ActiveKey,"&gt;0"))</f>
        <v/>
      </c>
      <c r="O8" s="90">
        <f>IF($A8="","",COUNTIF(Ct_Company,$A8))</f>
        <v/>
      </c>
    </row>
    <row r="9">
      <c r="A9" s="82" t="n"/>
      <c r="B9" s="82" t="n"/>
      <c r="C9" s="82" t="n"/>
      <c r="D9" s="84" t="n"/>
      <c r="E9" s="82" t="n"/>
      <c r="F9" s="83" t="n"/>
      <c r="G9" s="82" t="n"/>
      <c r="H9" s="83" t="n"/>
      <c r="I9" s="84" t="n"/>
      <c r="J9" s="84" t="n"/>
      <c r="K9" s="82" t="n"/>
      <c r="L9" s="86" t="n"/>
      <c r="M9" s="90">
        <f>IF($A9="","",COUNTIFS(App_Company,$A9,App_Stage,"&gt;=1"))</f>
        <v/>
      </c>
      <c r="N9" s="90">
        <f>IF($A9="","",COUNTIFS(App_Company,$A9,App_ActiveKey,"&gt;0"))</f>
        <v/>
      </c>
      <c r="O9" s="90">
        <f>IF($A9="","",COUNTIF(Ct_Company,$A9))</f>
        <v/>
      </c>
    </row>
    <row r="10">
      <c r="A10" s="82" t="n"/>
      <c r="B10" s="82" t="n"/>
      <c r="C10" s="82" t="n"/>
      <c r="D10" s="84" t="n"/>
      <c r="E10" s="82" t="n"/>
      <c r="F10" s="83" t="n"/>
      <c r="G10" s="82" t="n"/>
      <c r="H10" s="83" t="n"/>
      <c r="I10" s="84" t="n"/>
      <c r="J10" s="84" t="n"/>
      <c r="K10" s="82" t="n"/>
      <c r="L10" s="86" t="n"/>
      <c r="M10" s="90">
        <f>IF($A10="","",COUNTIFS(App_Company,$A10,App_Stage,"&gt;=1"))</f>
        <v/>
      </c>
      <c r="N10" s="90">
        <f>IF($A10="","",COUNTIFS(App_Company,$A10,App_ActiveKey,"&gt;0"))</f>
        <v/>
      </c>
      <c r="O10" s="90">
        <f>IF($A10="","",COUNTIF(Ct_Company,$A10))</f>
        <v/>
      </c>
    </row>
    <row r="11">
      <c r="A11" s="82" t="n"/>
      <c r="B11" s="82" t="n"/>
      <c r="C11" s="82" t="n"/>
      <c r="D11" s="84" t="n"/>
      <c r="E11" s="82" t="n"/>
      <c r="F11" s="83" t="n"/>
      <c r="G11" s="82" t="n"/>
      <c r="H11" s="83" t="n"/>
      <c r="I11" s="84" t="n"/>
      <c r="J11" s="84" t="n"/>
      <c r="K11" s="82" t="n"/>
      <c r="L11" s="86" t="n"/>
      <c r="M11" s="90">
        <f>IF($A11="","",COUNTIFS(App_Company,$A11,App_Stage,"&gt;=1"))</f>
        <v/>
      </c>
      <c r="N11" s="90">
        <f>IF($A11="","",COUNTIFS(App_Company,$A11,App_ActiveKey,"&gt;0"))</f>
        <v/>
      </c>
      <c r="O11" s="90">
        <f>IF($A11="","",COUNTIF(Ct_Company,$A11))</f>
        <v/>
      </c>
    </row>
    <row r="12">
      <c r="A12" s="82" t="n"/>
      <c r="B12" s="82" t="n"/>
      <c r="C12" s="82" t="n"/>
      <c r="D12" s="84" t="n"/>
      <c r="E12" s="82" t="n"/>
      <c r="F12" s="83" t="n"/>
      <c r="G12" s="82" t="n"/>
      <c r="H12" s="83" t="n"/>
      <c r="I12" s="84" t="n"/>
      <c r="J12" s="84" t="n"/>
      <c r="K12" s="82" t="n"/>
      <c r="L12" s="86" t="n"/>
      <c r="M12" s="90">
        <f>IF($A12="","",COUNTIFS(App_Company,$A12,App_Stage,"&gt;=1"))</f>
        <v/>
      </c>
      <c r="N12" s="90">
        <f>IF($A12="","",COUNTIFS(App_Company,$A12,App_ActiveKey,"&gt;0"))</f>
        <v/>
      </c>
      <c r="O12" s="90">
        <f>IF($A12="","",COUNTIF(Ct_Company,$A12))</f>
        <v/>
      </c>
    </row>
    <row r="13">
      <c r="A13" s="82" t="n"/>
      <c r="B13" s="82" t="n"/>
      <c r="C13" s="82" t="n"/>
      <c r="D13" s="84" t="n"/>
      <c r="E13" s="82" t="n"/>
      <c r="F13" s="83" t="n"/>
      <c r="G13" s="82" t="n"/>
      <c r="H13" s="83" t="n"/>
      <c r="I13" s="84" t="n"/>
      <c r="J13" s="84" t="n"/>
      <c r="K13" s="82" t="n"/>
      <c r="L13" s="86" t="n"/>
      <c r="M13" s="90">
        <f>IF($A13="","",COUNTIFS(App_Company,$A13,App_Stage,"&gt;=1"))</f>
        <v/>
      </c>
      <c r="N13" s="90">
        <f>IF($A13="","",COUNTIFS(App_Company,$A13,App_ActiveKey,"&gt;0"))</f>
        <v/>
      </c>
      <c r="O13" s="90">
        <f>IF($A13="","",COUNTIF(Ct_Company,$A13))</f>
        <v/>
      </c>
    </row>
    <row r="14">
      <c r="A14" s="82" t="n"/>
      <c r="B14" s="82" t="n"/>
      <c r="C14" s="82" t="n"/>
      <c r="D14" s="84" t="n"/>
      <c r="E14" s="82" t="n"/>
      <c r="F14" s="83" t="n"/>
      <c r="G14" s="82" t="n"/>
      <c r="H14" s="83" t="n"/>
      <c r="I14" s="84" t="n"/>
      <c r="J14" s="84" t="n"/>
      <c r="K14" s="82" t="n"/>
      <c r="L14" s="86" t="n"/>
      <c r="M14" s="90">
        <f>IF($A14="","",COUNTIFS(App_Company,$A14,App_Stage,"&gt;=1"))</f>
        <v/>
      </c>
      <c r="N14" s="90">
        <f>IF($A14="","",COUNTIFS(App_Company,$A14,App_ActiveKey,"&gt;0"))</f>
        <v/>
      </c>
      <c r="O14" s="90">
        <f>IF($A14="","",COUNTIF(Ct_Company,$A14))</f>
        <v/>
      </c>
    </row>
    <row r="15">
      <c r="A15" s="82" t="n"/>
      <c r="B15" s="82" t="n"/>
      <c r="C15" s="82" t="n"/>
      <c r="D15" s="84" t="n"/>
      <c r="E15" s="82" t="n"/>
      <c r="F15" s="83" t="n"/>
      <c r="G15" s="82" t="n"/>
      <c r="H15" s="83" t="n"/>
      <c r="I15" s="84" t="n"/>
      <c r="J15" s="84" t="n"/>
      <c r="K15" s="82" t="n"/>
      <c r="L15" s="86" t="n"/>
      <c r="M15" s="90">
        <f>IF($A15="","",COUNTIFS(App_Company,$A15,App_Stage,"&gt;=1"))</f>
        <v/>
      </c>
      <c r="N15" s="90">
        <f>IF($A15="","",COUNTIFS(App_Company,$A15,App_ActiveKey,"&gt;0"))</f>
        <v/>
      </c>
      <c r="O15" s="90">
        <f>IF($A15="","",COUNTIF(Ct_Company,$A15))</f>
        <v/>
      </c>
    </row>
    <row r="16">
      <c r="A16" s="82" t="n"/>
      <c r="B16" s="82" t="n"/>
      <c r="C16" s="82" t="n"/>
      <c r="D16" s="84" t="n"/>
      <c r="E16" s="82" t="n"/>
      <c r="F16" s="83" t="n"/>
      <c r="G16" s="82" t="n"/>
      <c r="H16" s="83" t="n"/>
      <c r="I16" s="84" t="n"/>
      <c r="J16" s="84" t="n"/>
      <c r="K16" s="82" t="n"/>
      <c r="L16" s="86" t="n"/>
      <c r="M16" s="90">
        <f>IF($A16="","",COUNTIFS(App_Company,$A16,App_Stage,"&gt;=1"))</f>
        <v/>
      </c>
      <c r="N16" s="90">
        <f>IF($A16="","",COUNTIFS(App_Company,$A16,App_ActiveKey,"&gt;0"))</f>
        <v/>
      </c>
      <c r="O16" s="90">
        <f>IF($A16="","",COUNTIF(Ct_Company,$A16))</f>
        <v/>
      </c>
    </row>
    <row r="17">
      <c r="A17" s="82" t="n"/>
      <c r="B17" s="82" t="n"/>
      <c r="C17" s="82" t="n"/>
      <c r="D17" s="84" t="n"/>
      <c r="E17" s="82" t="n"/>
      <c r="F17" s="83" t="n"/>
      <c r="G17" s="82" t="n"/>
      <c r="H17" s="83" t="n"/>
      <c r="I17" s="84" t="n"/>
      <c r="J17" s="84" t="n"/>
      <c r="K17" s="82" t="n"/>
      <c r="L17" s="86" t="n"/>
      <c r="M17" s="90">
        <f>IF($A17="","",COUNTIFS(App_Company,$A17,App_Stage,"&gt;=1"))</f>
        <v/>
      </c>
      <c r="N17" s="90">
        <f>IF($A17="","",COUNTIFS(App_Company,$A17,App_ActiveKey,"&gt;0"))</f>
        <v/>
      </c>
      <c r="O17" s="90">
        <f>IF($A17="","",COUNTIF(Ct_Company,$A17))</f>
        <v/>
      </c>
    </row>
    <row r="18">
      <c r="A18" s="82" t="n"/>
      <c r="B18" s="82" t="n"/>
      <c r="C18" s="82" t="n"/>
      <c r="D18" s="84" t="n"/>
      <c r="E18" s="82" t="n"/>
      <c r="F18" s="83" t="n"/>
      <c r="G18" s="82" t="n"/>
      <c r="H18" s="83" t="n"/>
      <c r="I18" s="84" t="n"/>
      <c r="J18" s="84" t="n"/>
      <c r="K18" s="82" t="n"/>
      <c r="L18" s="86" t="n"/>
      <c r="M18" s="90">
        <f>IF($A18="","",COUNTIFS(App_Company,$A18,App_Stage,"&gt;=1"))</f>
        <v/>
      </c>
      <c r="N18" s="90">
        <f>IF($A18="","",COUNTIFS(App_Company,$A18,App_ActiveKey,"&gt;0"))</f>
        <v/>
      </c>
      <c r="O18" s="90">
        <f>IF($A18="","",COUNTIF(Ct_Company,$A18))</f>
        <v/>
      </c>
    </row>
    <row r="19">
      <c r="A19" s="82" t="n"/>
      <c r="B19" s="82" t="n"/>
      <c r="C19" s="82" t="n"/>
      <c r="D19" s="84" t="n"/>
      <c r="E19" s="82" t="n"/>
      <c r="F19" s="83" t="n"/>
      <c r="G19" s="82" t="n"/>
      <c r="H19" s="83" t="n"/>
      <c r="I19" s="84" t="n"/>
      <c r="J19" s="84" t="n"/>
      <c r="K19" s="82" t="n"/>
      <c r="L19" s="86" t="n"/>
      <c r="M19" s="90">
        <f>IF($A19="","",COUNTIFS(App_Company,$A19,App_Stage,"&gt;=1"))</f>
        <v/>
      </c>
      <c r="N19" s="90">
        <f>IF($A19="","",COUNTIFS(App_Company,$A19,App_ActiveKey,"&gt;0"))</f>
        <v/>
      </c>
      <c r="O19" s="90">
        <f>IF($A19="","",COUNTIF(Ct_Company,$A19))</f>
        <v/>
      </c>
    </row>
    <row r="20">
      <c r="A20" s="82" t="n"/>
      <c r="B20" s="82" t="n"/>
      <c r="C20" s="82" t="n"/>
      <c r="D20" s="84" t="n"/>
      <c r="E20" s="82" t="n"/>
      <c r="F20" s="83" t="n"/>
      <c r="G20" s="82" t="n"/>
      <c r="H20" s="83" t="n"/>
      <c r="I20" s="84" t="n"/>
      <c r="J20" s="84" t="n"/>
      <c r="K20" s="82" t="n"/>
      <c r="L20" s="86" t="n"/>
      <c r="M20" s="90">
        <f>IF($A20="","",COUNTIFS(App_Company,$A20,App_Stage,"&gt;=1"))</f>
        <v/>
      </c>
      <c r="N20" s="90">
        <f>IF($A20="","",COUNTIFS(App_Company,$A20,App_ActiveKey,"&gt;0"))</f>
        <v/>
      </c>
      <c r="O20" s="90">
        <f>IF($A20="","",COUNTIF(Ct_Company,$A20))</f>
        <v/>
      </c>
    </row>
    <row r="21">
      <c r="A21" s="82" t="n"/>
      <c r="B21" s="82" t="n"/>
      <c r="C21" s="82" t="n"/>
      <c r="D21" s="84" t="n"/>
      <c r="E21" s="82" t="n"/>
      <c r="F21" s="83" t="n"/>
      <c r="G21" s="82" t="n"/>
      <c r="H21" s="83" t="n"/>
      <c r="I21" s="84" t="n"/>
      <c r="J21" s="84" t="n"/>
      <c r="K21" s="82" t="n"/>
      <c r="L21" s="86" t="n"/>
      <c r="M21" s="90">
        <f>IF($A21="","",COUNTIFS(App_Company,$A21,App_Stage,"&gt;=1"))</f>
        <v/>
      </c>
      <c r="N21" s="90">
        <f>IF($A21="","",COUNTIFS(App_Company,$A21,App_ActiveKey,"&gt;0"))</f>
        <v/>
      </c>
      <c r="O21" s="90">
        <f>IF($A21="","",COUNTIF(Ct_Company,$A21))</f>
        <v/>
      </c>
    </row>
    <row r="22">
      <c r="A22" s="82" t="n"/>
      <c r="B22" s="82" t="n"/>
      <c r="C22" s="82" t="n"/>
      <c r="D22" s="84" t="n"/>
      <c r="E22" s="82" t="n"/>
      <c r="F22" s="83" t="n"/>
      <c r="G22" s="82" t="n"/>
      <c r="H22" s="83" t="n"/>
      <c r="I22" s="84" t="n"/>
      <c r="J22" s="84" t="n"/>
      <c r="K22" s="82" t="n"/>
      <c r="L22" s="86" t="n"/>
      <c r="M22" s="90">
        <f>IF($A22="","",COUNTIFS(App_Company,$A22,App_Stage,"&gt;=1"))</f>
        <v/>
      </c>
      <c r="N22" s="90">
        <f>IF($A22="","",COUNTIFS(App_Company,$A22,App_ActiveKey,"&gt;0"))</f>
        <v/>
      </c>
      <c r="O22" s="90">
        <f>IF($A22="","",COUNTIF(Ct_Company,$A22))</f>
        <v/>
      </c>
    </row>
    <row r="23">
      <c r="A23" s="82" t="n"/>
      <c r="B23" s="82" t="n"/>
      <c r="C23" s="82" t="n"/>
      <c r="D23" s="84" t="n"/>
      <c r="E23" s="82" t="n"/>
      <c r="F23" s="83" t="n"/>
      <c r="G23" s="82" t="n"/>
      <c r="H23" s="83" t="n"/>
      <c r="I23" s="84" t="n"/>
      <c r="J23" s="84" t="n"/>
      <c r="K23" s="82" t="n"/>
      <c r="L23" s="86" t="n"/>
      <c r="M23" s="90">
        <f>IF($A23="","",COUNTIFS(App_Company,$A23,App_Stage,"&gt;=1"))</f>
        <v/>
      </c>
      <c r="N23" s="90">
        <f>IF($A23="","",COUNTIFS(App_Company,$A23,App_ActiveKey,"&gt;0"))</f>
        <v/>
      </c>
      <c r="O23" s="90">
        <f>IF($A23="","",COUNTIF(Ct_Company,$A23))</f>
        <v/>
      </c>
    </row>
    <row r="24">
      <c r="A24" s="82" t="n"/>
      <c r="B24" s="82" t="n"/>
      <c r="C24" s="82" t="n"/>
      <c r="D24" s="84" t="n"/>
      <c r="E24" s="82" t="n"/>
      <c r="F24" s="83" t="n"/>
      <c r="G24" s="82" t="n"/>
      <c r="H24" s="83" t="n"/>
      <c r="I24" s="84" t="n"/>
      <c r="J24" s="84" t="n"/>
      <c r="K24" s="82" t="n"/>
      <c r="L24" s="86" t="n"/>
      <c r="M24" s="90">
        <f>IF($A24="","",COUNTIFS(App_Company,$A24,App_Stage,"&gt;=1"))</f>
        <v/>
      </c>
      <c r="N24" s="90">
        <f>IF($A24="","",COUNTIFS(App_Company,$A24,App_ActiveKey,"&gt;0"))</f>
        <v/>
      </c>
      <c r="O24" s="90">
        <f>IF($A24="","",COUNTIF(Ct_Company,$A24))</f>
        <v/>
      </c>
    </row>
    <row r="25">
      <c r="A25" s="82" t="n"/>
      <c r="B25" s="82" t="n"/>
      <c r="C25" s="82" t="n"/>
      <c r="D25" s="84" t="n"/>
      <c r="E25" s="82" t="n"/>
      <c r="F25" s="83" t="n"/>
      <c r="G25" s="82" t="n"/>
      <c r="H25" s="83" t="n"/>
      <c r="I25" s="84" t="n"/>
      <c r="J25" s="84" t="n"/>
      <c r="K25" s="82" t="n"/>
      <c r="L25" s="86" t="n"/>
      <c r="M25" s="90">
        <f>IF($A25="","",COUNTIFS(App_Company,$A25,App_Stage,"&gt;=1"))</f>
        <v/>
      </c>
      <c r="N25" s="90">
        <f>IF($A25="","",COUNTIFS(App_Company,$A25,App_ActiveKey,"&gt;0"))</f>
        <v/>
      </c>
      <c r="O25" s="90">
        <f>IF($A25="","",COUNTIF(Ct_Company,$A25))</f>
        <v/>
      </c>
    </row>
    <row r="26">
      <c r="A26" s="82" t="n"/>
      <c r="B26" s="82" t="n"/>
      <c r="C26" s="82" t="n"/>
      <c r="D26" s="84" t="n"/>
      <c r="E26" s="82" t="n"/>
      <c r="F26" s="83" t="n"/>
      <c r="G26" s="82" t="n"/>
      <c r="H26" s="83" t="n"/>
      <c r="I26" s="84" t="n"/>
      <c r="J26" s="84" t="n"/>
      <c r="K26" s="82" t="n"/>
      <c r="L26" s="86" t="n"/>
      <c r="M26" s="90">
        <f>IF($A26="","",COUNTIFS(App_Company,$A26,App_Stage,"&gt;=1"))</f>
        <v/>
      </c>
      <c r="N26" s="90">
        <f>IF($A26="","",COUNTIFS(App_Company,$A26,App_ActiveKey,"&gt;0"))</f>
        <v/>
      </c>
      <c r="O26" s="90">
        <f>IF($A26="","",COUNTIF(Ct_Company,$A26))</f>
        <v/>
      </c>
    </row>
    <row r="27">
      <c r="A27" s="82" t="n"/>
      <c r="B27" s="82" t="n"/>
      <c r="C27" s="82" t="n"/>
      <c r="D27" s="84" t="n"/>
      <c r="E27" s="82" t="n"/>
      <c r="F27" s="83" t="n"/>
      <c r="G27" s="82" t="n"/>
      <c r="H27" s="83" t="n"/>
      <c r="I27" s="84" t="n"/>
      <c r="J27" s="84" t="n"/>
      <c r="K27" s="82" t="n"/>
      <c r="L27" s="86" t="n"/>
      <c r="M27" s="90">
        <f>IF($A27="","",COUNTIFS(App_Company,$A27,App_Stage,"&gt;=1"))</f>
        <v/>
      </c>
      <c r="N27" s="90">
        <f>IF($A27="","",COUNTIFS(App_Company,$A27,App_ActiveKey,"&gt;0"))</f>
        <v/>
      </c>
      <c r="O27" s="90">
        <f>IF($A27="","",COUNTIF(Ct_Company,$A27))</f>
        <v/>
      </c>
    </row>
    <row r="28">
      <c r="A28" s="82" t="n"/>
      <c r="B28" s="82" t="n"/>
      <c r="C28" s="82" t="n"/>
      <c r="D28" s="84" t="n"/>
      <c r="E28" s="82" t="n"/>
      <c r="F28" s="83" t="n"/>
      <c r="G28" s="82" t="n"/>
      <c r="H28" s="83" t="n"/>
      <c r="I28" s="84" t="n"/>
      <c r="J28" s="84" t="n"/>
      <c r="K28" s="82" t="n"/>
      <c r="L28" s="86" t="n"/>
      <c r="M28" s="90">
        <f>IF($A28="","",COUNTIFS(App_Company,$A28,App_Stage,"&gt;=1"))</f>
        <v/>
      </c>
      <c r="N28" s="90">
        <f>IF($A28="","",COUNTIFS(App_Company,$A28,App_ActiveKey,"&gt;0"))</f>
        <v/>
      </c>
      <c r="O28" s="90">
        <f>IF($A28="","",COUNTIF(Ct_Company,$A28))</f>
        <v/>
      </c>
    </row>
    <row r="29">
      <c r="A29" s="82" t="n"/>
      <c r="B29" s="82" t="n"/>
      <c r="C29" s="82" t="n"/>
      <c r="D29" s="84" t="n"/>
      <c r="E29" s="82" t="n"/>
      <c r="F29" s="83" t="n"/>
      <c r="G29" s="82" t="n"/>
      <c r="H29" s="83" t="n"/>
      <c r="I29" s="84" t="n"/>
      <c r="J29" s="84" t="n"/>
      <c r="K29" s="82" t="n"/>
      <c r="L29" s="86" t="n"/>
      <c r="M29" s="90">
        <f>IF($A29="","",COUNTIFS(App_Company,$A29,App_Stage,"&gt;=1"))</f>
        <v/>
      </c>
      <c r="N29" s="90">
        <f>IF($A29="","",COUNTIFS(App_Company,$A29,App_ActiveKey,"&gt;0"))</f>
        <v/>
      </c>
      <c r="O29" s="90">
        <f>IF($A29="","",COUNTIF(Ct_Company,$A29))</f>
        <v/>
      </c>
    </row>
    <row r="30">
      <c r="A30" s="82" t="n"/>
      <c r="B30" s="82" t="n"/>
      <c r="C30" s="82" t="n"/>
      <c r="D30" s="84" t="n"/>
      <c r="E30" s="82" t="n"/>
      <c r="F30" s="83" t="n"/>
      <c r="G30" s="82" t="n"/>
      <c r="H30" s="83" t="n"/>
      <c r="I30" s="84" t="n"/>
      <c r="J30" s="84" t="n"/>
      <c r="K30" s="82" t="n"/>
      <c r="L30" s="86" t="n"/>
      <c r="M30" s="90">
        <f>IF($A30="","",COUNTIFS(App_Company,$A30,App_Stage,"&gt;=1"))</f>
        <v/>
      </c>
      <c r="N30" s="90">
        <f>IF($A30="","",COUNTIFS(App_Company,$A30,App_ActiveKey,"&gt;0"))</f>
        <v/>
      </c>
      <c r="O30" s="90">
        <f>IF($A30="","",COUNTIF(Ct_Company,$A30))</f>
        <v/>
      </c>
    </row>
    <row r="31">
      <c r="A31" s="82" t="n"/>
      <c r="B31" s="82" t="n"/>
      <c r="C31" s="82" t="n"/>
      <c r="D31" s="84" t="n"/>
      <c r="E31" s="82" t="n"/>
      <c r="F31" s="83" t="n"/>
      <c r="G31" s="82" t="n"/>
      <c r="H31" s="83" t="n"/>
      <c r="I31" s="84" t="n"/>
      <c r="J31" s="84" t="n"/>
      <c r="K31" s="82" t="n"/>
      <c r="L31" s="86" t="n"/>
      <c r="M31" s="90">
        <f>IF($A31="","",COUNTIFS(App_Company,$A31,App_Stage,"&gt;=1"))</f>
        <v/>
      </c>
      <c r="N31" s="90">
        <f>IF($A31="","",COUNTIFS(App_Company,$A31,App_ActiveKey,"&gt;0"))</f>
        <v/>
      </c>
      <c r="O31" s="90">
        <f>IF($A31="","",COUNTIF(Ct_Company,$A31))</f>
        <v/>
      </c>
    </row>
    <row r="32">
      <c r="A32" s="82" t="n"/>
      <c r="B32" s="82" t="n"/>
      <c r="C32" s="82" t="n"/>
      <c r="D32" s="84" t="n"/>
      <c r="E32" s="82" t="n"/>
      <c r="F32" s="83" t="n"/>
      <c r="G32" s="82" t="n"/>
      <c r="H32" s="83" t="n"/>
      <c r="I32" s="84" t="n"/>
      <c r="J32" s="84" t="n"/>
      <c r="K32" s="82" t="n"/>
      <c r="L32" s="86" t="n"/>
      <c r="M32" s="90">
        <f>IF($A32="","",COUNTIFS(App_Company,$A32,App_Stage,"&gt;=1"))</f>
        <v/>
      </c>
      <c r="N32" s="90">
        <f>IF($A32="","",COUNTIFS(App_Company,$A32,App_ActiveKey,"&gt;0"))</f>
        <v/>
      </c>
      <c r="O32" s="90">
        <f>IF($A32="","",COUNTIF(Ct_Company,$A32))</f>
        <v/>
      </c>
    </row>
    <row r="33">
      <c r="A33" s="82" t="n"/>
      <c r="B33" s="82" t="n"/>
      <c r="C33" s="82" t="n"/>
      <c r="D33" s="84" t="n"/>
      <c r="E33" s="82" t="n"/>
      <c r="F33" s="83" t="n"/>
      <c r="G33" s="82" t="n"/>
      <c r="H33" s="83" t="n"/>
      <c r="I33" s="84" t="n"/>
      <c r="J33" s="84" t="n"/>
      <c r="K33" s="82" t="n"/>
      <c r="L33" s="86" t="n"/>
      <c r="M33" s="90">
        <f>IF($A33="","",COUNTIFS(App_Company,$A33,App_Stage,"&gt;=1"))</f>
        <v/>
      </c>
      <c r="N33" s="90">
        <f>IF($A33="","",COUNTIFS(App_Company,$A33,App_ActiveKey,"&gt;0"))</f>
        <v/>
      </c>
      <c r="O33" s="90">
        <f>IF($A33="","",COUNTIF(Ct_Company,$A33))</f>
        <v/>
      </c>
    </row>
    <row r="34">
      <c r="A34" s="82" t="n"/>
      <c r="B34" s="82" t="n"/>
      <c r="C34" s="82" t="n"/>
      <c r="D34" s="84" t="n"/>
      <c r="E34" s="82" t="n"/>
      <c r="F34" s="83" t="n"/>
      <c r="G34" s="82" t="n"/>
      <c r="H34" s="83" t="n"/>
      <c r="I34" s="84" t="n"/>
      <c r="J34" s="84" t="n"/>
      <c r="K34" s="82" t="n"/>
      <c r="L34" s="86" t="n"/>
      <c r="M34" s="90">
        <f>IF($A34="","",COUNTIFS(App_Company,$A34,App_Stage,"&gt;=1"))</f>
        <v/>
      </c>
      <c r="N34" s="90">
        <f>IF($A34="","",COUNTIFS(App_Company,$A34,App_ActiveKey,"&gt;0"))</f>
        <v/>
      </c>
      <c r="O34" s="90">
        <f>IF($A34="","",COUNTIF(Ct_Company,$A34))</f>
        <v/>
      </c>
    </row>
    <row r="35">
      <c r="A35" s="82" t="n"/>
      <c r="B35" s="82" t="n"/>
      <c r="C35" s="82" t="n"/>
      <c r="D35" s="84" t="n"/>
      <c r="E35" s="82" t="n"/>
      <c r="F35" s="83" t="n"/>
      <c r="G35" s="82" t="n"/>
      <c r="H35" s="83" t="n"/>
      <c r="I35" s="84" t="n"/>
      <c r="J35" s="84" t="n"/>
      <c r="K35" s="82" t="n"/>
      <c r="L35" s="86" t="n"/>
      <c r="M35" s="90">
        <f>IF($A35="","",COUNTIFS(App_Company,$A35,App_Stage,"&gt;=1"))</f>
        <v/>
      </c>
      <c r="N35" s="90">
        <f>IF($A35="","",COUNTIFS(App_Company,$A35,App_ActiveKey,"&gt;0"))</f>
        <v/>
      </c>
      <c r="O35" s="90">
        <f>IF($A35="","",COUNTIF(Ct_Company,$A35))</f>
        <v/>
      </c>
    </row>
    <row r="36">
      <c r="A36" s="82" t="n"/>
      <c r="B36" s="82" t="n"/>
      <c r="C36" s="82" t="n"/>
      <c r="D36" s="84" t="n"/>
      <c r="E36" s="82" t="n"/>
      <c r="F36" s="83" t="n"/>
      <c r="G36" s="82" t="n"/>
      <c r="H36" s="83" t="n"/>
      <c r="I36" s="84" t="n"/>
      <c r="J36" s="84" t="n"/>
      <c r="K36" s="82" t="n"/>
      <c r="L36" s="86" t="n"/>
      <c r="M36" s="90">
        <f>IF($A36="","",COUNTIFS(App_Company,$A36,App_Stage,"&gt;=1"))</f>
        <v/>
      </c>
      <c r="N36" s="90">
        <f>IF($A36="","",COUNTIFS(App_Company,$A36,App_ActiveKey,"&gt;0"))</f>
        <v/>
      </c>
      <c r="O36" s="90">
        <f>IF($A36="","",COUNTIF(Ct_Company,$A36))</f>
        <v/>
      </c>
    </row>
    <row r="37">
      <c r="A37" s="82" t="n"/>
      <c r="B37" s="82" t="n"/>
      <c r="C37" s="82" t="n"/>
      <c r="D37" s="84" t="n"/>
      <c r="E37" s="82" t="n"/>
      <c r="F37" s="83" t="n"/>
      <c r="G37" s="82" t="n"/>
      <c r="H37" s="83" t="n"/>
      <c r="I37" s="84" t="n"/>
      <c r="J37" s="84" t="n"/>
      <c r="K37" s="82" t="n"/>
      <c r="L37" s="86" t="n"/>
      <c r="M37" s="90">
        <f>IF($A37="","",COUNTIFS(App_Company,$A37,App_Stage,"&gt;=1"))</f>
        <v/>
      </c>
      <c r="N37" s="90">
        <f>IF($A37="","",COUNTIFS(App_Company,$A37,App_ActiveKey,"&gt;0"))</f>
        <v/>
      </c>
      <c r="O37" s="90">
        <f>IF($A37="","",COUNTIF(Ct_Company,$A37))</f>
        <v/>
      </c>
    </row>
    <row r="38">
      <c r="A38" s="82" t="n"/>
      <c r="B38" s="82" t="n"/>
      <c r="C38" s="82" t="n"/>
      <c r="D38" s="84" t="n"/>
      <c r="E38" s="82" t="n"/>
      <c r="F38" s="83" t="n"/>
      <c r="G38" s="82" t="n"/>
      <c r="H38" s="83" t="n"/>
      <c r="I38" s="84" t="n"/>
      <c r="J38" s="84" t="n"/>
      <c r="K38" s="82" t="n"/>
      <c r="L38" s="86" t="n"/>
      <c r="M38" s="90">
        <f>IF($A38="","",COUNTIFS(App_Company,$A38,App_Stage,"&gt;=1"))</f>
        <v/>
      </c>
      <c r="N38" s="90">
        <f>IF($A38="","",COUNTIFS(App_Company,$A38,App_ActiveKey,"&gt;0"))</f>
        <v/>
      </c>
      <c r="O38" s="90">
        <f>IF($A38="","",COUNTIF(Ct_Company,$A38))</f>
        <v/>
      </c>
    </row>
    <row r="39">
      <c r="A39" s="82" t="n"/>
      <c r="B39" s="82" t="n"/>
      <c r="C39" s="82" t="n"/>
      <c r="D39" s="84" t="n"/>
      <c r="E39" s="82" t="n"/>
      <c r="F39" s="83" t="n"/>
      <c r="G39" s="82" t="n"/>
      <c r="H39" s="83" t="n"/>
      <c r="I39" s="84" t="n"/>
      <c r="J39" s="84" t="n"/>
      <c r="K39" s="82" t="n"/>
      <c r="L39" s="86" t="n"/>
      <c r="M39" s="90">
        <f>IF($A39="","",COUNTIFS(App_Company,$A39,App_Stage,"&gt;=1"))</f>
        <v/>
      </c>
      <c r="N39" s="90">
        <f>IF($A39="","",COUNTIFS(App_Company,$A39,App_ActiveKey,"&gt;0"))</f>
        <v/>
      </c>
      <c r="O39" s="90">
        <f>IF($A39="","",COUNTIF(Ct_Company,$A39))</f>
        <v/>
      </c>
    </row>
    <row r="40">
      <c r="A40" s="82" t="n"/>
      <c r="B40" s="82" t="n"/>
      <c r="C40" s="82" t="n"/>
      <c r="D40" s="84" t="n"/>
      <c r="E40" s="82" t="n"/>
      <c r="F40" s="83" t="n"/>
      <c r="G40" s="82" t="n"/>
      <c r="H40" s="83" t="n"/>
      <c r="I40" s="84" t="n"/>
      <c r="J40" s="84" t="n"/>
      <c r="K40" s="82" t="n"/>
      <c r="L40" s="86" t="n"/>
      <c r="M40" s="90">
        <f>IF($A40="","",COUNTIFS(App_Company,$A40,App_Stage,"&gt;=1"))</f>
        <v/>
      </c>
      <c r="N40" s="90">
        <f>IF($A40="","",COUNTIFS(App_Company,$A40,App_ActiveKey,"&gt;0"))</f>
        <v/>
      </c>
      <c r="O40" s="90">
        <f>IF($A40="","",COUNTIF(Ct_Company,$A40))</f>
        <v/>
      </c>
    </row>
    <row r="41">
      <c r="A41" s="82" t="n"/>
      <c r="B41" s="82" t="n"/>
      <c r="C41" s="82" t="n"/>
      <c r="D41" s="84" t="n"/>
      <c r="E41" s="82" t="n"/>
      <c r="F41" s="83" t="n"/>
      <c r="G41" s="82" t="n"/>
      <c r="H41" s="83" t="n"/>
      <c r="I41" s="84" t="n"/>
      <c r="J41" s="84" t="n"/>
      <c r="K41" s="82" t="n"/>
      <c r="L41" s="86" t="n"/>
      <c r="M41" s="90">
        <f>IF($A41="","",COUNTIFS(App_Company,$A41,App_Stage,"&gt;=1"))</f>
        <v/>
      </c>
      <c r="N41" s="90">
        <f>IF($A41="","",COUNTIFS(App_Company,$A41,App_ActiveKey,"&gt;0"))</f>
        <v/>
      </c>
      <c r="O41" s="90">
        <f>IF($A41="","",COUNTIF(Ct_Company,$A41))</f>
        <v/>
      </c>
    </row>
    <row r="42">
      <c r="A42" s="82" t="n"/>
      <c r="B42" s="82" t="n"/>
      <c r="C42" s="82" t="n"/>
      <c r="D42" s="84" t="n"/>
      <c r="E42" s="82" t="n"/>
      <c r="F42" s="83" t="n"/>
      <c r="G42" s="82" t="n"/>
      <c r="H42" s="83" t="n"/>
      <c r="I42" s="84" t="n"/>
      <c r="J42" s="84" t="n"/>
      <c r="K42" s="82" t="n"/>
      <c r="L42" s="86" t="n"/>
      <c r="M42" s="90">
        <f>IF($A42="","",COUNTIFS(App_Company,$A42,App_Stage,"&gt;=1"))</f>
        <v/>
      </c>
      <c r="N42" s="90">
        <f>IF($A42="","",COUNTIFS(App_Company,$A42,App_ActiveKey,"&gt;0"))</f>
        <v/>
      </c>
      <c r="O42" s="90">
        <f>IF($A42="","",COUNTIF(Ct_Company,$A42))</f>
        <v/>
      </c>
    </row>
    <row r="43">
      <c r="A43" s="82" t="n"/>
      <c r="B43" s="82" t="n"/>
      <c r="C43" s="82" t="n"/>
      <c r="D43" s="84" t="n"/>
      <c r="E43" s="82" t="n"/>
      <c r="F43" s="83" t="n"/>
      <c r="G43" s="82" t="n"/>
      <c r="H43" s="83" t="n"/>
      <c r="I43" s="84" t="n"/>
      <c r="J43" s="84" t="n"/>
      <c r="K43" s="82" t="n"/>
      <c r="L43" s="86" t="n"/>
      <c r="M43" s="90">
        <f>IF($A43="","",COUNTIFS(App_Company,$A43,App_Stage,"&gt;=1"))</f>
        <v/>
      </c>
      <c r="N43" s="90">
        <f>IF($A43="","",COUNTIFS(App_Company,$A43,App_ActiveKey,"&gt;0"))</f>
        <v/>
      </c>
      <c r="O43" s="90">
        <f>IF($A43="","",COUNTIF(Ct_Company,$A43))</f>
        <v/>
      </c>
    </row>
    <row r="44">
      <c r="A44" s="82" t="n"/>
      <c r="B44" s="82" t="n"/>
      <c r="C44" s="82" t="n"/>
      <c r="D44" s="84" t="n"/>
      <c r="E44" s="82" t="n"/>
      <c r="F44" s="83" t="n"/>
      <c r="G44" s="82" t="n"/>
      <c r="H44" s="83" t="n"/>
      <c r="I44" s="84" t="n"/>
      <c r="J44" s="84" t="n"/>
      <c r="K44" s="82" t="n"/>
      <c r="L44" s="86" t="n"/>
      <c r="M44" s="90">
        <f>IF($A44="","",COUNTIFS(App_Company,$A44,App_Stage,"&gt;=1"))</f>
        <v/>
      </c>
      <c r="N44" s="90">
        <f>IF($A44="","",COUNTIFS(App_Company,$A44,App_ActiveKey,"&gt;0"))</f>
        <v/>
      </c>
      <c r="O44" s="90">
        <f>IF($A44="","",COUNTIF(Ct_Company,$A44))</f>
        <v/>
      </c>
    </row>
    <row r="45">
      <c r="A45" s="82" t="n"/>
      <c r="B45" s="82" t="n"/>
      <c r="C45" s="82" t="n"/>
      <c r="D45" s="84" t="n"/>
      <c r="E45" s="82" t="n"/>
      <c r="F45" s="83" t="n"/>
      <c r="G45" s="82" t="n"/>
      <c r="H45" s="83" t="n"/>
      <c r="I45" s="84" t="n"/>
      <c r="J45" s="84" t="n"/>
      <c r="K45" s="82" t="n"/>
      <c r="L45" s="86" t="n"/>
      <c r="M45" s="90">
        <f>IF($A45="","",COUNTIFS(App_Company,$A45,App_Stage,"&gt;=1"))</f>
        <v/>
      </c>
      <c r="N45" s="90">
        <f>IF($A45="","",COUNTIFS(App_Company,$A45,App_ActiveKey,"&gt;0"))</f>
        <v/>
      </c>
      <c r="O45" s="90">
        <f>IF($A45="","",COUNTIF(Ct_Company,$A45))</f>
        <v/>
      </c>
    </row>
    <row r="46">
      <c r="A46" s="82" t="n"/>
      <c r="B46" s="82" t="n"/>
      <c r="C46" s="82" t="n"/>
      <c r="D46" s="84" t="n"/>
      <c r="E46" s="82" t="n"/>
      <c r="F46" s="83" t="n"/>
      <c r="G46" s="82" t="n"/>
      <c r="H46" s="83" t="n"/>
      <c r="I46" s="84" t="n"/>
      <c r="J46" s="84" t="n"/>
      <c r="K46" s="82" t="n"/>
      <c r="L46" s="86" t="n"/>
      <c r="M46" s="90">
        <f>IF($A46="","",COUNTIFS(App_Company,$A46,App_Stage,"&gt;=1"))</f>
        <v/>
      </c>
      <c r="N46" s="90">
        <f>IF($A46="","",COUNTIFS(App_Company,$A46,App_ActiveKey,"&gt;0"))</f>
        <v/>
      </c>
      <c r="O46" s="90">
        <f>IF($A46="","",COUNTIF(Ct_Company,$A46))</f>
        <v/>
      </c>
    </row>
    <row r="47">
      <c r="A47" s="82" t="n"/>
      <c r="B47" s="82" t="n"/>
      <c r="C47" s="82" t="n"/>
      <c r="D47" s="84" t="n"/>
      <c r="E47" s="82" t="n"/>
      <c r="F47" s="83" t="n"/>
      <c r="G47" s="82" t="n"/>
      <c r="H47" s="83" t="n"/>
      <c r="I47" s="84" t="n"/>
      <c r="J47" s="84" t="n"/>
      <c r="K47" s="82" t="n"/>
      <c r="L47" s="86" t="n"/>
      <c r="M47" s="90">
        <f>IF($A47="","",COUNTIFS(App_Company,$A47,App_Stage,"&gt;=1"))</f>
        <v/>
      </c>
      <c r="N47" s="90">
        <f>IF($A47="","",COUNTIFS(App_Company,$A47,App_ActiveKey,"&gt;0"))</f>
        <v/>
      </c>
      <c r="O47" s="90">
        <f>IF($A47="","",COUNTIF(Ct_Company,$A47))</f>
        <v/>
      </c>
    </row>
    <row r="48">
      <c r="A48" s="82" t="n"/>
      <c r="B48" s="82" t="n"/>
      <c r="C48" s="82" t="n"/>
      <c r="D48" s="84" t="n"/>
      <c r="E48" s="82" t="n"/>
      <c r="F48" s="83" t="n"/>
      <c r="G48" s="82" t="n"/>
      <c r="H48" s="83" t="n"/>
      <c r="I48" s="84" t="n"/>
      <c r="J48" s="84" t="n"/>
      <c r="K48" s="82" t="n"/>
      <c r="L48" s="86" t="n"/>
      <c r="M48" s="90">
        <f>IF($A48="","",COUNTIFS(App_Company,$A48,App_Stage,"&gt;=1"))</f>
        <v/>
      </c>
      <c r="N48" s="90">
        <f>IF($A48="","",COUNTIFS(App_Company,$A48,App_ActiveKey,"&gt;0"))</f>
        <v/>
      </c>
      <c r="O48" s="90">
        <f>IF($A48="","",COUNTIF(Ct_Company,$A48))</f>
        <v/>
      </c>
    </row>
    <row r="49">
      <c r="A49" s="82" t="n"/>
      <c r="B49" s="82" t="n"/>
      <c r="C49" s="82" t="n"/>
      <c r="D49" s="84" t="n"/>
      <c r="E49" s="82" t="n"/>
      <c r="F49" s="83" t="n"/>
      <c r="G49" s="82" t="n"/>
      <c r="H49" s="83" t="n"/>
      <c r="I49" s="84" t="n"/>
      <c r="J49" s="84" t="n"/>
      <c r="K49" s="82" t="n"/>
      <c r="L49" s="86" t="n"/>
      <c r="M49" s="90">
        <f>IF($A49="","",COUNTIFS(App_Company,$A49,App_Stage,"&gt;=1"))</f>
        <v/>
      </c>
      <c r="N49" s="90">
        <f>IF($A49="","",COUNTIFS(App_Company,$A49,App_ActiveKey,"&gt;0"))</f>
        <v/>
      </c>
      <c r="O49" s="90">
        <f>IF($A49="","",COUNTIF(Ct_Company,$A49))</f>
        <v/>
      </c>
    </row>
    <row r="50">
      <c r="A50" s="82" t="n"/>
      <c r="B50" s="82" t="n"/>
      <c r="C50" s="82" t="n"/>
      <c r="D50" s="84" t="n"/>
      <c r="E50" s="82" t="n"/>
      <c r="F50" s="83" t="n"/>
      <c r="G50" s="82" t="n"/>
      <c r="H50" s="83" t="n"/>
      <c r="I50" s="84" t="n"/>
      <c r="J50" s="84" t="n"/>
      <c r="K50" s="82" t="n"/>
      <c r="L50" s="86" t="n"/>
      <c r="M50" s="90">
        <f>IF($A50="","",COUNTIFS(App_Company,$A50,App_Stage,"&gt;=1"))</f>
        <v/>
      </c>
      <c r="N50" s="90">
        <f>IF($A50="","",COUNTIFS(App_Company,$A50,App_ActiveKey,"&gt;0"))</f>
        <v/>
      </c>
      <c r="O50" s="90">
        <f>IF($A50="","",COUNTIF(Ct_Company,$A50))</f>
        <v/>
      </c>
    </row>
    <row r="51">
      <c r="A51" s="82" t="n"/>
      <c r="B51" s="82" t="n"/>
      <c r="C51" s="82" t="n"/>
      <c r="D51" s="84" t="n"/>
      <c r="E51" s="82" t="n"/>
      <c r="F51" s="83" t="n"/>
      <c r="G51" s="82" t="n"/>
      <c r="H51" s="83" t="n"/>
      <c r="I51" s="84" t="n"/>
      <c r="J51" s="84" t="n"/>
      <c r="K51" s="82" t="n"/>
      <c r="L51" s="86" t="n"/>
      <c r="M51" s="90">
        <f>IF($A51="","",COUNTIFS(App_Company,$A51,App_Stage,"&gt;=1"))</f>
        <v/>
      </c>
      <c r="N51" s="90">
        <f>IF($A51="","",COUNTIFS(App_Company,$A51,App_ActiveKey,"&gt;0"))</f>
        <v/>
      </c>
      <c r="O51" s="90">
        <f>IF($A51="","",COUNTIF(Ct_Company,$A51))</f>
        <v/>
      </c>
    </row>
    <row r="52">
      <c r="A52" s="82" t="n"/>
      <c r="B52" s="82" t="n"/>
      <c r="C52" s="82" t="n"/>
      <c r="D52" s="84" t="n"/>
      <c r="E52" s="82" t="n"/>
      <c r="F52" s="83" t="n"/>
      <c r="G52" s="82" t="n"/>
      <c r="H52" s="83" t="n"/>
      <c r="I52" s="84" t="n"/>
      <c r="J52" s="84" t="n"/>
      <c r="K52" s="82" t="n"/>
      <c r="L52" s="86" t="n"/>
      <c r="M52" s="90">
        <f>IF($A52="","",COUNTIFS(App_Company,$A52,App_Stage,"&gt;=1"))</f>
        <v/>
      </c>
      <c r="N52" s="90">
        <f>IF($A52="","",COUNTIFS(App_Company,$A52,App_ActiveKey,"&gt;0"))</f>
        <v/>
      </c>
      <c r="O52" s="90">
        <f>IF($A52="","",COUNTIF(Ct_Company,$A52))</f>
        <v/>
      </c>
    </row>
    <row r="53">
      <c r="A53" s="82" t="n"/>
      <c r="B53" s="82" t="n"/>
      <c r="C53" s="82" t="n"/>
      <c r="D53" s="84" t="n"/>
      <c r="E53" s="82" t="n"/>
      <c r="F53" s="83" t="n"/>
      <c r="G53" s="82" t="n"/>
      <c r="H53" s="83" t="n"/>
      <c r="I53" s="84" t="n"/>
      <c r="J53" s="84" t="n"/>
      <c r="K53" s="82" t="n"/>
      <c r="L53" s="86" t="n"/>
      <c r="M53" s="90">
        <f>IF($A53="","",COUNTIFS(App_Company,$A53,App_Stage,"&gt;=1"))</f>
        <v/>
      </c>
      <c r="N53" s="90">
        <f>IF($A53="","",COUNTIFS(App_Company,$A53,App_ActiveKey,"&gt;0"))</f>
        <v/>
      </c>
      <c r="O53" s="90">
        <f>IF($A53="","",COUNTIF(Ct_Company,$A53))</f>
        <v/>
      </c>
    </row>
    <row r="54">
      <c r="A54" s="82" t="n"/>
      <c r="B54" s="82" t="n"/>
      <c r="C54" s="82" t="n"/>
      <c r="D54" s="84" t="n"/>
      <c r="E54" s="82" t="n"/>
      <c r="F54" s="83" t="n"/>
      <c r="G54" s="82" t="n"/>
      <c r="H54" s="83" t="n"/>
      <c r="I54" s="84" t="n"/>
      <c r="J54" s="84" t="n"/>
      <c r="K54" s="82" t="n"/>
      <c r="L54" s="86" t="n"/>
      <c r="M54" s="90">
        <f>IF($A54="","",COUNTIFS(App_Company,$A54,App_Stage,"&gt;=1"))</f>
        <v/>
      </c>
      <c r="N54" s="90">
        <f>IF($A54="","",COUNTIFS(App_Company,$A54,App_ActiveKey,"&gt;0"))</f>
        <v/>
      </c>
      <c r="O54" s="90">
        <f>IF($A54="","",COUNTIF(Ct_Company,$A54))</f>
        <v/>
      </c>
    </row>
    <row r="55">
      <c r="A55" s="82" t="n"/>
      <c r="B55" s="82" t="n"/>
      <c r="C55" s="82" t="n"/>
      <c r="D55" s="84" t="n"/>
      <c r="E55" s="82" t="n"/>
      <c r="F55" s="83" t="n"/>
      <c r="G55" s="82" t="n"/>
      <c r="H55" s="83" t="n"/>
      <c r="I55" s="84" t="n"/>
      <c r="J55" s="84" t="n"/>
      <c r="K55" s="82" t="n"/>
      <c r="L55" s="86" t="n"/>
      <c r="M55" s="90">
        <f>IF($A55="","",COUNTIFS(App_Company,$A55,App_Stage,"&gt;=1"))</f>
        <v/>
      </c>
      <c r="N55" s="90">
        <f>IF($A55="","",COUNTIFS(App_Company,$A55,App_ActiveKey,"&gt;0"))</f>
        <v/>
      </c>
      <c r="O55" s="90">
        <f>IF($A55="","",COUNTIF(Ct_Company,$A55))</f>
        <v/>
      </c>
    </row>
    <row r="56">
      <c r="A56" s="82" t="n"/>
      <c r="B56" s="82" t="n"/>
      <c r="C56" s="82" t="n"/>
      <c r="D56" s="84" t="n"/>
      <c r="E56" s="82" t="n"/>
      <c r="F56" s="83" t="n"/>
      <c r="G56" s="82" t="n"/>
      <c r="H56" s="83" t="n"/>
      <c r="I56" s="84" t="n"/>
      <c r="J56" s="84" t="n"/>
      <c r="K56" s="82" t="n"/>
      <c r="L56" s="86" t="n"/>
      <c r="M56" s="90">
        <f>IF($A56="","",COUNTIFS(App_Company,$A56,App_Stage,"&gt;=1"))</f>
        <v/>
      </c>
      <c r="N56" s="90">
        <f>IF($A56="","",COUNTIFS(App_Company,$A56,App_ActiveKey,"&gt;0"))</f>
        <v/>
      </c>
      <c r="O56" s="90">
        <f>IF($A56="","",COUNTIF(Ct_Company,$A56))</f>
        <v/>
      </c>
    </row>
    <row r="57">
      <c r="A57" s="82" t="n"/>
      <c r="B57" s="82" t="n"/>
      <c r="C57" s="82" t="n"/>
      <c r="D57" s="84" t="n"/>
      <c r="E57" s="82" t="n"/>
      <c r="F57" s="83" t="n"/>
      <c r="G57" s="82" t="n"/>
      <c r="H57" s="83" t="n"/>
      <c r="I57" s="84" t="n"/>
      <c r="J57" s="84" t="n"/>
      <c r="K57" s="82" t="n"/>
      <c r="L57" s="86" t="n"/>
      <c r="M57" s="90">
        <f>IF($A57="","",COUNTIFS(App_Company,$A57,App_Stage,"&gt;=1"))</f>
        <v/>
      </c>
      <c r="N57" s="90">
        <f>IF($A57="","",COUNTIFS(App_Company,$A57,App_ActiveKey,"&gt;0"))</f>
        <v/>
      </c>
      <c r="O57" s="90">
        <f>IF($A57="","",COUNTIF(Ct_Company,$A57))</f>
        <v/>
      </c>
    </row>
    <row r="58">
      <c r="A58" s="82" t="n"/>
      <c r="B58" s="82" t="n"/>
      <c r="C58" s="82" t="n"/>
      <c r="D58" s="84" t="n"/>
      <c r="E58" s="82" t="n"/>
      <c r="F58" s="83" t="n"/>
      <c r="G58" s="82" t="n"/>
      <c r="H58" s="83" t="n"/>
      <c r="I58" s="84" t="n"/>
      <c r="J58" s="84" t="n"/>
      <c r="K58" s="82" t="n"/>
      <c r="L58" s="86" t="n"/>
      <c r="M58" s="90">
        <f>IF($A58="","",COUNTIFS(App_Company,$A58,App_Stage,"&gt;=1"))</f>
        <v/>
      </c>
      <c r="N58" s="90">
        <f>IF($A58="","",COUNTIFS(App_Company,$A58,App_ActiveKey,"&gt;0"))</f>
        <v/>
      </c>
      <c r="O58" s="90">
        <f>IF($A58="","",COUNTIF(Ct_Company,$A58))</f>
        <v/>
      </c>
    </row>
    <row r="59">
      <c r="A59" s="82" t="n"/>
      <c r="B59" s="82" t="n"/>
      <c r="C59" s="82" t="n"/>
      <c r="D59" s="84" t="n"/>
      <c r="E59" s="82" t="n"/>
      <c r="F59" s="83" t="n"/>
      <c r="G59" s="82" t="n"/>
      <c r="H59" s="83" t="n"/>
      <c r="I59" s="84" t="n"/>
      <c r="J59" s="84" t="n"/>
      <c r="K59" s="82" t="n"/>
      <c r="L59" s="86" t="n"/>
      <c r="M59" s="90">
        <f>IF($A59="","",COUNTIFS(App_Company,$A59,App_Stage,"&gt;=1"))</f>
        <v/>
      </c>
      <c r="N59" s="90">
        <f>IF($A59="","",COUNTIFS(App_Company,$A59,App_ActiveKey,"&gt;0"))</f>
        <v/>
      </c>
      <c r="O59" s="90">
        <f>IF($A59="","",COUNTIF(Ct_Company,$A59))</f>
        <v/>
      </c>
    </row>
    <row r="60">
      <c r="A60" s="82" t="n"/>
      <c r="B60" s="82" t="n"/>
      <c r="C60" s="82" t="n"/>
      <c r="D60" s="84" t="n"/>
      <c r="E60" s="82" t="n"/>
      <c r="F60" s="83" t="n"/>
      <c r="G60" s="82" t="n"/>
      <c r="H60" s="83" t="n"/>
      <c r="I60" s="84" t="n"/>
      <c r="J60" s="84" t="n"/>
      <c r="K60" s="82" t="n"/>
      <c r="L60" s="86" t="n"/>
      <c r="M60" s="90">
        <f>IF($A60="","",COUNTIFS(App_Company,$A60,App_Stage,"&gt;=1"))</f>
        <v/>
      </c>
      <c r="N60" s="90">
        <f>IF($A60="","",COUNTIFS(App_Company,$A60,App_ActiveKey,"&gt;0"))</f>
        <v/>
      </c>
      <c r="O60" s="90">
        <f>IF($A60="","",COUNTIF(Ct_Company,$A60))</f>
        <v/>
      </c>
    </row>
    <row r="61">
      <c r="A61" s="82" t="n"/>
      <c r="B61" s="82" t="n"/>
      <c r="C61" s="82" t="n"/>
      <c r="D61" s="84" t="n"/>
      <c r="E61" s="82" t="n"/>
      <c r="F61" s="83" t="n"/>
      <c r="G61" s="82" t="n"/>
      <c r="H61" s="83" t="n"/>
      <c r="I61" s="84" t="n"/>
      <c r="J61" s="84" t="n"/>
      <c r="K61" s="82" t="n"/>
      <c r="L61" s="86" t="n"/>
      <c r="M61" s="90">
        <f>IF($A61="","",COUNTIFS(App_Company,$A61,App_Stage,"&gt;=1"))</f>
        <v/>
      </c>
      <c r="N61" s="90">
        <f>IF($A61="","",COUNTIFS(App_Company,$A61,App_ActiveKey,"&gt;0"))</f>
        <v/>
      </c>
      <c r="O61" s="90">
        <f>IF($A61="","",COUNTIF(Ct_Company,$A61))</f>
        <v/>
      </c>
    </row>
    <row r="62">
      <c r="A62" s="82" t="n"/>
      <c r="B62" s="82" t="n"/>
      <c r="C62" s="82" t="n"/>
      <c r="D62" s="84" t="n"/>
      <c r="E62" s="82" t="n"/>
      <c r="F62" s="83" t="n"/>
      <c r="G62" s="82" t="n"/>
      <c r="H62" s="83" t="n"/>
      <c r="I62" s="84" t="n"/>
      <c r="J62" s="84" t="n"/>
      <c r="K62" s="82" t="n"/>
      <c r="L62" s="86" t="n"/>
      <c r="M62" s="90">
        <f>IF($A62="","",COUNTIFS(App_Company,$A62,App_Stage,"&gt;=1"))</f>
        <v/>
      </c>
      <c r="N62" s="90">
        <f>IF($A62="","",COUNTIFS(App_Company,$A62,App_ActiveKey,"&gt;0"))</f>
        <v/>
      </c>
      <c r="O62" s="90">
        <f>IF($A62="","",COUNTIF(Ct_Company,$A62))</f>
        <v/>
      </c>
    </row>
    <row r="63">
      <c r="A63" s="82" t="n"/>
      <c r="B63" s="82" t="n"/>
      <c r="C63" s="82" t="n"/>
      <c r="D63" s="84" t="n"/>
      <c r="E63" s="82" t="n"/>
      <c r="F63" s="83" t="n"/>
      <c r="G63" s="82" t="n"/>
      <c r="H63" s="83" t="n"/>
      <c r="I63" s="84" t="n"/>
      <c r="J63" s="84" t="n"/>
      <c r="K63" s="82" t="n"/>
      <c r="L63" s="86" t="n"/>
      <c r="M63" s="90">
        <f>IF($A63="","",COUNTIFS(App_Company,$A63,App_Stage,"&gt;=1"))</f>
        <v/>
      </c>
      <c r="N63" s="90">
        <f>IF($A63="","",COUNTIFS(App_Company,$A63,App_ActiveKey,"&gt;0"))</f>
        <v/>
      </c>
      <c r="O63" s="90">
        <f>IF($A63="","",COUNTIF(Ct_Company,$A63))</f>
        <v/>
      </c>
    </row>
    <row r="64">
      <c r="A64" s="82" t="n"/>
      <c r="B64" s="82" t="n"/>
      <c r="C64" s="82" t="n"/>
      <c r="D64" s="84" t="n"/>
      <c r="E64" s="82" t="n"/>
      <c r="F64" s="83" t="n"/>
      <c r="G64" s="82" t="n"/>
      <c r="H64" s="83" t="n"/>
      <c r="I64" s="84" t="n"/>
      <c r="J64" s="84" t="n"/>
      <c r="K64" s="82" t="n"/>
      <c r="L64" s="86" t="n"/>
      <c r="M64" s="90">
        <f>IF($A64="","",COUNTIFS(App_Company,$A64,App_Stage,"&gt;=1"))</f>
        <v/>
      </c>
      <c r="N64" s="90">
        <f>IF($A64="","",COUNTIFS(App_Company,$A64,App_ActiveKey,"&gt;0"))</f>
        <v/>
      </c>
      <c r="O64" s="90">
        <f>IF($A64="","",COUNTIF(Ct_Company,$A64))</f>
        <v/>
      </c>
    </row>
    <row r="65">
      <c r="A65" s="82" t="n"/>
      <c r="B65" s="82" t="n"/>
      <c r="C65" s="82" t="n"/>
      <c r="D65" s="84" t="n"/>
      <c r="E65" s="82" t="n"/>
      <c r="F65" s="83" t="n"/>
      <c r="G65" s="82" t="n"/>
      <c r="H65" s="83" t="n"/>
      <c r="I65" s="84" t="n"/>
      <c r="J65" s="84" t="n"/>
      <c r="K65" s="82" t="n"/>
      <c r="L65" s="86" t="n"/>
      <c r="M65" s="90">
        <f>IF($A65="","",COUNTIFS(App_Company,$A65,App_Stage,"&gt;=1"))</f>
        <v/>
      </c>
      <c r="N65" s="90">
        <f>IF($A65="","",COUNTIFS(App_Company,$A65,App_ActiveKey,"&gt;0"))</f>
        <v/>
      </c>
      <c r="O65" s="90">
        <f>IF($A65="","",COUNTIF(Ct_Company,$A65))</f>
        <v/>
      </c>
    </row>
    <row r="66">
      <c r="A66" s="82" t="n"/>
      <c r="B66" s="82" t="n"/>
      <c r="C66" s="82" t="n"/>
      <c r="D66" s="84" t="n"/>
      <c r="E66" s="82" t="n"/>
      <c r="F66" s="83" t="n"/>
      <c r="G66" s="82" t="n"/>
      <c r="H66" s="83" t="n"/>
      <c r="I66" s="84" t="n"/>
      <c r="J66" s="84" t="n"/>
      <c r="K66" s="82" t="n"/>
      <c r="L66" s="86" t="n"/>
      <c r="M66" s="90">
        <f>IF($A66="","",COUNTIFS(App_Company,$A66,App_Stage,"&gt;=1"))</f>
        <v/>
      </c>
      <c r="N66" s="90">
        <f>IF($A66="","",COUNTIFS(App_Company,$A66,App_ActiveKey,"&gt;0"))</f>
        <v/>
      </c>
      <c r="O66" s="90">
        <f>IF($A66="","",COUNTIF(Ct_Company,$A66))</f>
        <v/>
      </c>
    </row>
    <row r="67">
      <c r="A67" s="82" t="n"/>
      <c r="B67" s="82" t="n"/>
      <c r="C67" s="82" t="n"/>
      <c r="D67" s="84" t="n"/>
      <c r="E67" s="82" t="n"/>
      <c r="F67" s="83" t="n"/>
      <c r="G67" s="82" t="n"/>
      <c r="H67" s="83" t="n"/>
      <c r="I67" s="84" t="n"/>
      <c r="J67" s="84" t="n"/>
      <c r="K67" s="82" t="n"/>
      <c r="L67" s="86" t="n"/>
      <c r="M67" s="90">
        <f>IF($A67="","",COUNTIFS(App_Company,$A67,App_Stage,"&gt;=1"))</f>
        <v/>
      </c>
      <c r="N67" s="90">
        <f>IF($A67="","",COUNTIFS(App_Company,$A67,App_ActiveKey,"&gt;0"))</f>
        <v/>
      </c>
      <c r="O67" s="90">
        <f>IF($A67="","",COUNTIF(Ct_Company,$A67))</f>
        <v/>
      </c>
    </row>
    <row r="68">
      <c r="A68" s="82" t="n"/>
      <c r="B68" s="82" t="n"/>
      <c r="C68" s="82" t="n"/>
      <c r="D68" s="84" t="n"/>
      <c r="E68" s="82" t="n"/>
      <c r="F68" s="83" t="n"/>
      <c r="G68" s="82" t="n"/>
      <c r="H68" s="83" t="n"/>
      <c r="I68" s="84" t="n"/>
      <c r="J68" s="84" t="n"/>
      <c r="K68" s="82" t="n"/>
      <c r="L68" s="86" t="n"/>
      <c r="M68" s="90">
        <f>IF($A68="","",COUNTIFS(App_Company,$A68,App_Stage,"&gt;=1"))</f>
        <v/>
      </c>
      <c r="N68" s="90">
        <f>IF($A68="","",COUNTIFS(App_Company,$A68,App_ActiveKey,"&gt;0"))</f>
        <v/>
      </c>
      <c r="O68" s="90">
        <f>IF($A68="","",COUNTIF(Ct_Company,$A68))</f>
        <v/>
      </c>
    </row>
    <row r="69">
      <c r="A69" s="82" t="n"/>
      <c r="B69" s="82" t="n"/>
      <c r="C69" s="82" t="n"/>
      <c r="D69" s="84" t="n"/>
      <c r="E69" s="82" t="n"/>
      <c r="F69" s="83" t="n"/>
      <c r="G69" s="82" t="n"/>
      <c r="H69" s="83" t="n"/>
      <c r="I69" s="84" t="n"/>
      <c r="J69" s="84" t="n"/>
      <c r="K69" s="82" t="n"/>
      <c r="L69" s="86" t="n"/>
      <c r="M69" s="90">
        <f>IF($A69="","",COUNTIFS(App_Company,$A69,App_Stage,"&gt;=1"))</f>
        <v/>
      </c>
      <c r="N69" s="90">
        <f>IF($A69="","",COUNTIFS(App_Company,$A69,App_ActiveKey,"&gt;0"))</f>
        <v/>
      </c>
      <c r="O69" s="90">
        <f>IF($A69="","",COUNTIF(Ct_Company,$A69))</f>
        <v/>
      </c>
    </row>
    <row r="70">
      <c r="A70" s="82" t="n"/>
      <c r="B70" s="82" t="n"/>
      <c r="C70" s="82" t="n"/>
      <c r="D70" s="84" t="n"/>
      <c r="E70" s="82" t="n"/>
      <c r="F70" s="83" t="n"/>
      <c r="G70" s="82" t="n"/>
      <c r="H70" s="83" t="n"/>
      <c r="I70" s="84" t="n"/>
      <c r="J70" s="84" t="n"/>
      <c r="K70" s="82" t="n"/>
      <c r="L70" s="86" t="n"/>
      <c r="M70" s="90">
        <f>IF($A70="","",COUNTIFS(App_Company,$A70,App_Stage,"&gt;=1"))</f>
        <v/>
      </c>
      <c r="N70" s="90">
        <f>IF($A70="","",COUNTIFS(App_Company,$A70,App_ActiveKey,"&gt;0"))</f>
        <v/>
      </c>
      <c r="O70" s="90">
        <f>IF($A70="","",COUNTIF(Ct_Company,$A70))</f>
        <v/>
      </c>
    </row>
    <row r="71">
      <c r="A71" s="82" t="n"/>
      <c r="B71" s="82" t="n"/>
      <c r="C71" s="82" t="n"/>
      <c r="D71" s="84" t="n"/>
      <c r="E71" s="82" t="n"/>
      <c r="F71" s="83" t="n"/>
      <c r="G71" s="82" t="n"/>
      <c r="H71" s="83" t="n"/>
      <c r="I71" s="84" t="n"/>
      <c r="J71" s="84" t="n"/>
      <c r="K71" s="82" t="n"/>
      <c r="L71" s="86" t="n"/>
      <c r="M71" s="90">
        <f>IF($A71="","",COUNTIFS(App_Company,$A71,App_Stage,"&gt;=1"))</f>
        <v/>
      </c>
      <c r="N71" s="90">
        <f>IF($A71="","",COUNTIFS(App_Company,$A71,App_ActiveKey,"&gt;0"))</f>
        <v/>
      </c>
      <c r="O71" s="90">
        <f>IF($A71="","",COUNTIF(Ct_Company,$A71))</f>
        <v/>
      </c>
    </row>
    <row r="72">
      <c r="A72" s="82" t="n"/>
      <c r="B72" s="82" t="n"/>
      <c r="C72" s="82" t="n"/>
      <c r="D72" s="84" t="n"/>
      <c r="E72" s="82" t="n"/>
      <c r="F72" s="83" t="n"/>
      <c r="G72" s="82" t="n"/>
      <c r="H72" s="83" t="n"/>
      <c r="I72" s="84" t="n"/>
      <c r="J72" s="84" t="n"/>
      <c r="K72" s="82" t="n"/>
      <c r="L72" s="86" t="n"/>
      <c r="M72" s="90">
        <f>IF($A72="","",COUNTIFS(App_Company,$A72,App_Stage,"&gt;=1"))</f>
        <v/>
      </c>
      <c r="N72" s="90">
        <f>IF($A72="","",COUNTIFS(App_Company,$A72,App_ActiveKey,"&gt;0"))</f>
        <v/>
      </c>
      <c r="O72" s="90">
        <f>IF($A72="","",COUNTIF(Ct_Company,$A72))</f>
        <v/>
      </c>
    </row>
    <row r="73">
      <c r="A73" s="82" t="n"/>
      <c r="B73" s="82" t="n"/>
      <c r="C73" s="82" t="n"/>
      <c r="D73" s="84" t="n"/>
      <c r="E73" s="82" t="n"/>
      <c r="F73" s="83" t="n"/>
      <c r="G73" s="82" t="n"/>
      <c r="H73" s="83" t="n"/>
      <c r="I73" s="84" t="n"/>
      <c r="J73" s="84" t="n"/>
      <c r="K73" s="82" t="n"/>
      <c r="L73" s="86" t="n"/>
      <c r="M73" s="90">
        <f>IF($A73="","",COUNTIFS(App_Company,$A73,App_Stage,"&gt;=1"))</f>
        <v/>
      </c>
      <c r="N73" s="90">
        <f>IF($A73="","",COUNTIFS(App_Company,$A73,App_ActiveKey,"&gt;0"))</f>
        <v/>
      </c>
      <c r="O73" s="90">
        <f>IF($A73="","",COUNTIF(Ct_Company,$A73))</f>
        <v/>
      </c>
    </row>
    <row r="74">
      <c r="A74" s="82" t="n"/>
      <c r="B74" s="82" t="n"/>
      <c r="C74" s="82" t="n"/>
      <c r="D74" s="84" t="n"/>
      <c r="E74" s="82" t="n"/>
      <c r="F74" s="83" t="n"/>
      <c r="G74" s="82" t="n"/>
      <c r="H74" s="83" t="n"/>
      <c r="I74" s="84" t="n"/>
      <c r="J74" s="84" t="n"/>
      <c r="K74" s="82" t="n"/>
      <c r="L74" s="86" t="n"/>
      <c r="M74" s="90">
        <f>IF($A74="","",COUNTIFS(App_Company,$A74,App_Stage,"&gt;=1"))</f>
        <v/>
      </c>
      <c r="N74" s="90">
        <f>IF($A74="","",COUNTIFS(App_Company,$A74,App_ActiveKey,"&gt;0"))</f>
        <v/>
      </c>
      <c r="O74" s="90">
        <f>IF($A74="","",COUNTIF(Ct_Company,$A74))</f>
        <v/>
      </c>
    </row>
    <row r="75">
      <c r="A75" s="82" t="n"/>
      <c r="B75" s="82" t="n"/>
      <c r="C75" s="82" t="n"/>
      <c r="D75" s="84" t="n"/>
      <c r="E75" s="82" t="n"/>
      <c r="F75" s="83" t="n"/>
      <c r="G75" s="82" t="n"/>
      <c r="H75" s="83" t="n"/>
      <c r="I75" s="84" t="n"/>
      <c r="J75" s="84" t="n"/>
      <c r="K75" s="82" t="n"/>
      <c r="L75" s="86" t="n"/>
      <c r="M75" s="90">
        <f>IF($A75="","",COUNTIFS(App_Company,$A75,App_Stage,"&gt;=1"))</f>
        <v/>
      </c>
      <c r="N75" s="90">
        <f>IF($A75="","",COUNTIFS(App_Company,$A75,App_ActiveKey,"&gt;0"))</f>
        <v/>
      </c>
      <c r="O75" s="90">
        <f>IF($A75="","",COUNTIF(Ct_Company,$A75))</f>
        <v/>
      </c>
    </row>
    <row r="76">
      <c r="A76" s="82" t="n"/>
      <c r="B76" s="82" t="n"/>
      <c r="C76" s="82" t="n"/>
      <c r="D76" s="84" t="n"/>
      <c r="E76" s="82" t="n"/>
      <c r="F76" s="83" t="n"/>
      <c r="G76" s="82" t="n"/>
      <c r="H76" s="83" t="n"/>
      <c r="I76" s="84" t="n"/>
      <c r="J76" s="84" t="n"/>
      <c r="K76" s="82" t="n"/>
      <c r="L76" s="86" t="n"/>
      <c r="M76" s="90">
        <f>IF($A76="","",COUNTIFS(App_Company,$A76,App_Stage,"&gt;=1"))</f>
        <v/>
      </c>
      <c r="N76" s="90">
        <f>IF($A76="","",COUNTIFS(App_Company,$A76,App_ActiveKey,"&gt;0"))</f>
        <v/>
      </c>
      <c r="O76" s="90">
        <f>IF($A76="","",COUNTIF(Ct_Company,$A76))</f>
        <v/>
      </c>
    </row>
    <row r="77">
      <c r="A77" s="82" t="n"/>
      <c r="B77" s="82" t="n"/>
      <c r="C77" s="82" t="n"/>
      <c r="D77" s="84" t="n"/>
      <c r="E77" s="82" t="n"/>
      <c r="F77" s="83" t="n"/>
      <c r="G77" s="82" t="n"/>
      <c r="H77" s="83" t="n"/>
      <c r="I77" s="84" t="n"/>
      <c r="J77" s="84" t="n"/>
      <c r="K77" s="82" t="n"/>
      <c r="L77" s="86" t="n"/>
      <c r="M77" s="90">
        <f>IF($A77="","",COUNTIFS(App_Company,$A77,App_Stage,"&gt;=1"))</f>
        <v/>
      </c>
      <c r="N77" s="90">
        <f>IF($A77="","",COUNTIFS(App_Company,$A77,App_ActiveKey,"&gt;0"))</f>
        <v/>
      </c>
      <c r="O77" s="90">
        <f>IF($A77="","",COUNTIF(Ct_Company,$A77))</f>
        <v/>
      </c>
    </row>
    <row r="78">
      <c r="A78" s="82" t="n"/>
      <c r="B78" s="82" t="n"/>
      <c r="C78" s="82" t="n"/>
      <c r="D78" s="84" t="n"/>
      <c r="E78" s="82" t="n"/>
      <c r="F78" s="83" t="n"/>
      <c r="G78" s="82" t="n"/>
      <c r="H78" s="83" t="n"/>
      <c r="I78" s="84" t="n"/>
      <c r="J78" s="84" t="n"/>
      <c r="K78" s="82" t="n"/>
      <c r="L78" s="86" t="n"/>
      <c r="M78" s="90">
        <f>IF($A78="","",COUNTIFS(App_Company,$A78,App_Stage,"&gt;=1"))</f>
        <v/>
      </c>
      <c r="N78" s="90">
        <f>IF($A78="","",COUNTIFS(App_Company,$A78,App_ActiveKey,"&gt;0"))</f>
        <v/>
      </c>
      <c r="O78" s="90">
        <f>IF($A78="","",COUNTIF(Ct_Company,$A78))</f>
        <v/>
      </c>
    </row>
    <row r="79">
      <c r="A79" s="82" t="n"/>
      <c r="B79" s="82" t="n"/>
      <c r="C79" s="82" t="n"/>
      <c r="D79" s="84" t="n"/>
      <c r="E79" s="82" t="n"/>
      <c r="F79" s="83" t="n"/>
      <c r="G79" s="82" t="n"/>
      <c r="H79" s="83" t="n"/>
      <c r="I79" s="84" t="n"/>
      <c r="J79" s="84" t="n"/>
      <c r="K79" s="82" t="n"/>
      <c r="L79" s="86" t="n"/>
      <c r="M79" s="90">
        <f>IF($A79="","",COUNTIFS(App_Company,$A79,App_Stage,"&gt;=1"))</f>
        <v/>
      </c>
      <c r="N79" s="90">
        <f>IF($A79="","",COUNTIFS(App_Company,$A79,App_ActiveKey,"&gt;0"))</f>
        <v/>
      </c>
      <c r="O79" s="90">
        <f>IF($A79="","",COUNTIF(Ct_Company,$A79))</f>
        <v/>
      </c>
    </row>
    <row r="80">
      <c r="A80" s="82" t="n"/>
      <c r="B80" s="82" t="n"/>
      <c r="C80" s="82" t="n"/>
      <c r="D80" s="84" t="n"/>
      <c r="E80" s="82" t="n"/>
      <c r="F80" s="83" t="n"/>
      <c r="G80" s="82" t="n"/>
      <c r="H80" s="83" t="n"/>
      <c r="I80" s="84" t="n"/>
      <c r="J80" s="84" t="n"/>
      <c r="K80" s="82" t="n"/>
      <c r="L80" s="86" t="n"/>
      <c r="M80" s="90">
        <f>IF($A80="","",COUNTIFS(App_Company,$A80,App_Stage,"&gt;=1"))</f>
        <v/>
      </c>
      <c r="N80" s="90">
        <f>IF($A80="","",COUNTIFS(App_Company,$A80,App_ActiveKey,"&gt;0"))</f>
        <v/>
      </c>
      <c r="O80" s="90">
        <f>IF($A80="","",COUNTIF(Ct_Company,$A80))</f>
        <v/>
      </c>
    </row>
    <row r="81">
      <c r="A81" s="82" t="n"/>
      <c r="B81" s="82" t="n"/>
      <c r="C81" s="82" t="n"/>
      <c r="D81" s="84" t="n"/>
      <c r="E81" s="82" t="n"/>
      <c r="F81" s="83" t="n"/>
      <c r="G81" s="82" t="n"/>
      <c r="H81" s="83" t="n"/>
      <c r="I81" s="84" t="n"/>
      <c r="J81" s="84" t="n"/>
      <c r="K81" s="82" t="n"/>
      <c r="L81" s="86" t="n"/>
      <c r="M81" s="90">
        <f>IF($A81="","",COUNTIFS(App_Company,$A81,App_Stage,"&gt;=1"))</f>
        <v/>
      </c>
      <c r="N81" s="90">
        <f>IF($A81="","",COUNTIFS(App_Company,$A81,App_ActiveKey,"&gt;0"))</f>
        <v/>
      </c>
      <c r="O81" s="90">
        <f>IF($A81="","",COUNTIF(Ct_Company,$A81))</f>
        <v/>
      </c>
    </row>
    <row r="82">
      <c r="A82" s="82" t="n"/>
      <c r="B82" s="82" t="n"/>
      <c r="C82" s="82" t="n"/>
      <c r="D82" s="84" t="n"/>
      <c r="E82" s="82" t="n"/>
      <c r="F82" s="83" t="n"/>
      <c r="G82" s="82" t="n"/>
      <c r="H82" s="83" t="n"/>
      <c r="I82" s="84" t="n"/>
      <c r="J82" s="84" t="n"/>
      <c r="K82" s="82" t="n"/>
      <c r="L82" s="86" t="n"/>
      <c r="M82" s="90">
        <f>IF($A82="","",COUNTIFS(App_Company,$A82,App_Stage,"&gt;=1"))</f>
        <v/>
      </c>
      <c r="N82" s="90">
        <f>IF($A82="","",COUNTIFS(App_Company,$A82,App_ActiveKey,"&gt;0"))</f>
        <v/>
      </c>
      <c r="O82" s="90">
        <f>IF($A82="","",COUNTIF(Ct_Company,$A82))</f>
        <v/>
      </c>
    </row>
    <row r="83">
      <c r="A83" s="82" t="n"/>
      <c r="B83" s="82" t="n"/>
      <c r="C83" s="82" t="n"/>
      <c r="D83" s="84" t="n"/>
      <c r="E83" s="82" t="n"/>
      <c r="F83" s="83" t="n"/>
      <c r="G83" s="82" t="n"/>
      <c r="H83" s="83" t="n"/>
      <c r="I83" s="84" t="n"/>
      <c r="J83" s="84" t="n"/>
      <c r="K83" s="82" t="n"/>
      <c r="L83" s="86" t="n"/>
      <c r="M83" s="90">
        <f>IF($A83="","",COUNTIFS(App_Company,$A83,App_Stage,"&gt;=1"))</f>
        <v/>
      </c>
      <c r="N83" s="90">
        <f>IF($A83="","",COUNTIFS(App_Company,$A83,App_ActiveKey,"&gt;0"))</f>
        <v/>
      </c>
      <c r="O83" s="90">
        <f>IF($A83="","",COUNTIF(Ct_Company,$A83))</f>
        <v/>
      </c>
    </row>
    <row r="84">
      <c r="A84" s="82" t="n"/>
      <c r="B84" s="82" t="n"/>
      <c r="C84" s="82" t="n"/>
      <c r="D84" s="84" t="n"/>
      <c r="E84" s="82" t="n"/>
      <c r="F84" s="83" t="n"/>
      <c r="G84" s="82" t="n"/>
      <c r="H84" s="83" t="n"/>
      <c r="I84" s="84" t="n"/>
      <c r="J84" s="84" t="n"/>
      <c r="K84" s="82" t="n"/>
      <c r="L84" s="86" t="n"/>
      <c r="M84" s="90">
        <f>IF($A84="","",COUNTIFS(App_Company,$A84,App_Stage,"&gt;=1"))</f>
        <v/>
      </c>
      <c r="N84" s="90">
        <f>IF($A84="","",COUNTIFS(App_Company,$A84,App_ActiveKey,"&gt;0"))</f>
        <v/>
      </c>
      <c r="O84" s="90">
        <f>IF($A84="","",COUNTIF(Ct_Company,$A84))</f>
        <v/>
      </c>
    </row>
    <row r="85">
      <c r="A85" s="82" t="n"/>
      <c r="B85" s="82" t="n"/>
      <c r="C85" s="82" t="n"/>
      <c r="D85" s="84" t="n"/>
      <c r="E85" s="82" t="n"/>
      <c r="F85" s="83" t="n"/>
      <c r="G85" s="82" t="n"/>
      <c r="H85" s="83" t="n"/>
      <c r="I85" s="84" t="n"/>
      <c r="J85" s="84" t="n"/>
      <c r="K85" s="82" t="n"/>
      <c r="L85" s="86" t="n"/>
      <c r="M85" s="90">
        <f>IF($A85="","",COUNTIFS(App_Company,$A85,App_Stage,"&gt;=1"))</f>
        <v/>
      </c>
      <c r="N85" s="90">
        <f>IF($A85="","",COUNTIFS(App_Company,$A85,App_ActiveKey,"&gt;0"))</f>
        <v/>
      </c>
      <c r="O85" s="90">
        <f>IF($A85="","",COUNTIF(Ct_Company,$A85))</f>
        <v/>
      </c>
    </row>
    <row r="86">
      <c r="A86" s="82" t="n"/>
      <c r="B86" s="82" t="n"/>
      <c r="C86" s="82" t="n"/>
      <c r="D86" s="84" t="n"/>
      <c r="E86" s="82" t="n"/>
      <c r="F86" s="83" t="n"/>
      <c r="G86" s="82" t="n"/>
      <c r="H86" s="83" t="n"/>
      <c r="I86" s="84" t="n"/>
      <c r="J86" s="84" t="n"/>
      <c r="K86" s="82" t="n"/>
      <c r="L86" s="86" t="n"/>
      <c r="M86" s="90">
        <f>IF($A86="","",COUNTIFS(App_Company,$A86,App_Stage,"&gt;=1"))</f>
        <v/>
      </c>
      <c r="N86" s="90">
        <f>IF($A86="","",COUNTIFS(App_Company,$A86,App_ActiveKey,"&gt;0"))</f>
        <v/>
      </c>
      <c r="O86" s="90">
        <f>IF($A86="","",COUNTIF(Ct_Company,$A86))</f>
        <v/>
      </c>
    </row>
    <row r="87">
      <c r="A87" s="82" t="n"/>
      <c r="B87" s="82" t="n"/>
      <c r="C87" s="82" t="n"/>
      <c r="D87" s="84" t="n"/>
      <c r="E87" s="82" t="n"/>
      <c r="F87" s="83" t="n"/>
      <c r="G87" s="82" t="n"/>
      <c r="H87" s="83" t="n"/>
      <c r="I87" s="84" t="n"/>
      <c r="J87" s="84" t="n"/>
      <c r="K87" s="82" t="n"/>
      <c r="L87" s="86" t="n"/>
      <c r="M87" s="90">
        <f>IF($A87="","",COUNTIFS(App_Company,$A87,App_Stage,"&gt;=1"))</f>
        <v/>
      </c>
      <c r="N87" s="90">
        <f>IF($A87="","",COUNTIFS(App_Company,$A87,App_ActiveKey,"&gt;0"))</f>
        <v/>
      </c>
      <c r="O87" s="90">
        <f>IF($A87="","",COUNTIF(Ct_Company,$A87))</f>
        <v/>
      </c>
    </row>
    <row r="88">
      <c r="A88" s="82" t="n"/>
      <c r="B88" s="82" t="n"/>
      <c r="C88" s="82" t="n"/>
      <c r="D88" s="84" t="n"/>
      <c r="E88" s="82" t="n"/>
      <c r="F88" s="83" t="n"/>
      <c r="G88" s="82" t="n"/>
      <c r="H88" s="83" t="n"/>
      <c r="I88" s="84" t="n"/>
      <c r="J88" s="84" t="n"/>
      <c r="K88" s="82" t="n"/>
      <c r="L88" s="86" t="n"/>
      <c r="M88" s="90">
        <f>IF($A88="","",COUNTIFS(App_Company,$A88,App_Stage,"&gt;=1"))</f>
        <v/>
      </c>
      <c r="N88" s="90">
        <f>IF($A88="","",COUNTIFS(App_Company,$A88,App_ActiveKey,"&gt;0"))</f>
        <v/>
      </c>
      <c r="O88" s="90">
        <f>IF($A88="","",COUNTIF(Ct_Company,$A88))</f>
        <v/>
      </c>
    </row>
    <row r="89">
      <c r="A89" s="82" t="n"/>
      <c r="B89" s="82" t="n"/>
      <c r="C89" s="82" t="n"/>
      <c r="D89" s="84" t="n"/>
      <c r="E89" s="82" t="n"/>
      <c r="F89" s="83" t="n"/>
      <c r="G89" s="82" t="n"/>
      <c r="H89" s="83" t="n"/>
      <c r="I89" s="84" t="n"/>
      <c r="J89" s="84" t="n"/>
      <c r="K89" s="82" t="n"/>
      <c r="L89" s="86" t="n"/>
      <c r="M89" s="90">
        <f>IF($A89="","",COUNTIFS(App_Company,$A89,App_Stage,"&gt;=1"))</f>
        <v/>
      </c>
      <c r="N89" s="90">
        <f>IF($A89="","",COUNTIFS(App_Company,$A89,App_ActiveKey,"&gt;0"))</f>
        <v/>
      </c>
      <c r="O89" s="90">
        <f>IF($A89="","",COUNTIF(Ct_Company,$A89))</f>
        <v/>
      </c>
    </row>
    <row r="90">
      <c r="A90" s="82" t="n"/>
      <c r="B90" s="82" t="n"/>
      <c r="C90" s="82" t="n"/>
      <c r="D90" s="84" t="n"/>
      <c r="E90" s="82" t="n"/>
      <c r="F90" s="83" t="n"/>
      <c r="G90" s="82" t="n"/>
      <c r="H90" s="83" t="n"/>
      <c r="I90" s="84" t="n"/>
      <c r="J90" s="84" t="n"/>
      <c r="K90" s="82" t="n"/>
      <c r="L90" s="86" t="n"/>
      <c r="M90" s="90">
        <f>IF($A90="","",COUNTIFS(App_Company,$A90,App_Stage,"&gt;=1"))</f>
        <v/>
      </c>
      <c r="N90" s="90">
        <f>IF($A90="","",COUNTIFS(App_Company,$A90,App_ActiveKey,"&gt;0"))</f>
        <v/>
      </c>
      <c r="O90" s="90">
        <f>IF($A90="","",COUNTIF(Ct_Company,$A90))</f>
        <v/>
      </c>
    </row>
    <row r="91">
      <c r="A91" s="82" t="n"/>
      <c r="B91" s="82" t="n"/>
      <c r="C91" s="82" t="n"/>
      <c r="D91" s="84" t="n"/>
      <c r="E91" s="82" t="n"/>
      <c r="F91" s="83" t="n"/>
      <c r="G91" s="82" t="n"/>
      <c r="H91" s="83" t="n"/>
      <c r="I91" s="84" t="n"/>
      <c r="J91" s="84" t="n"/>
      <c r="K91" s="82" t="n"/>
      <c r="L91" s="86" t="n"/>
      <c r="M91" s="90">
        <f>IF($A91="","",COUNTIFS(App_Company,$A91,App_Stage,"&gt;=1"))</f>
        <v/>
      </c>
      <c r="N91" s="90">
        <f>IF($A91="","",COUNTIFS(App_Company,$A91,App_ActiveKey,"&gt;0"))</f>
        <v/>
      </c>
      <c r="O91" s="90">
        <f>IF($A91="","",COUNTIF(Ct_Company,$A91))</f>
        <v/>
      </c>
    </row>
    <row r="92">
      <c r="A92" s="82" t="n"/>
      <c r="B92" s="82" t="n"/>
      <c r="C92" s="82" t="n"/>
      <c r="D92" s="84" t="n"/>
      <c r="E92" s="82" t="n"/>
      <c r="F92" s="83" t="n"/>
      <c r="G92" s="82" t="n"/>
      <c r="H92" s="83" t="n"/>
      <c r="I92" s="84" t="n"/>
      <c r="J92" s="84" t="n"/>
      <c r="K92" s="82" t="n"/>
      <c r="L92" s="86" t="n"/>
      <c r="M92" s="90">
        <f>IF($A92="","",COUNTIFS(App_Company,$A92,App_Stage,"&gt;=1"))</f>
        <v/>
      </c>
      <c r="N92" s="90">
        <f>IF($A92="","",COUNTIFS(App_Company,$A92,App_ActiveKey,"&gt;0"))</f>
        <v/>
      </c>
      <c r="O92" s="90">
        <f>IF($A92="","",COUNTIF(Ct_Company,$A92))</f>
        <v/>
      </c>
    </row>
    <row r="93">
      <c r="A93" s="82" t="n"/>
      <c r="B93" s="82" t="n"/>
      <c r="C93" s="82" t="n"/>
      <c r="D93" s="84" t="n"/>
      <c r="E93" s="82" t="n"/>
      <c r="F93" s="83" t="n"/>
      <c r="G93" s="82" t="n"/>
      <c r="H93" s="83" t="n"/>
      <c r="I93" s="84" t="n"/>
      <c r="J93" s="84" t="n"/>
      <c r="K93" s="82" t="n"/>
      <c r="L93" s="86" t="n"/>
      <c r="M93" s="90">
        <f>IF($A93="","",COUNTIFS(App_Company,$A93,App_Stage,"&gt;=1"))</f>
        <v/>
      </c>
      <c r="N93" s="90">
        <f>IF($A93="","",COUNTIFS(App_Company,$A93,App_ActiveKey,"&gt;0"))</f>
        <v/>
      </c>
      <c r="O93" s="90">
        <f>IF($A93="","",COUNTIF(Ct_Company,$A93))</f>
        <v/>
      </c>
    </row>
    <row r="94">
      <c r="A94" s="82" t="n"/>
      <c r="B94" s="82" t="n"/>
      <c r="C94" s="82" t="n"/>
      <c r="D94" s="84" t="n"/>
      <c r="E94" s="82" t="n"/>
      <c r="F94" s="83" t="n"/>
      <c r="G94" s="82" t="n"/>
      <c r="H94" s="83" t="n"/>
      <c r="I94" s="84" t="n"/>
      <c r="J94" s="84" t="n"/>
      <c r="K94" s="82" t="n"/>
      <c r="L94" s="86" t="n"/>
      <c r="M94" s="90">
        <f>IF($A94="","",COUNTIFS(App_Company,$A94,App_Stage,"&gt;=1"))</f>
        <v/>
      </c>
      <c r="N94" s="90">
        <f>IF($A94="","",COUNTIFS(App_Company,$A94,App_ActiveKey,"&gt;0"))</f>
        <v/>
      </c>
      <c r="O94" s="90">
        <f>IF($A94="","",COUNTIF(Ct_Company,$A94))</f>
        <v/>
      </c>
    </row>
    <row r="95">
      <c r="A95" s="82" t="n"/>
      <c r="B95" s="82" t="n"/>
      <c r="C95" s="82" t="n"/>
      <c r="D95" s="84" t="n"/>
      <c r="E95" s="82" t="n"/>
      <c r="F95" s="83" t="n"/>
      <c r="G95" s="82" t="n"/>
      <c r="H95" s="83" t="n"/>
      <c r="I95" s="84" t="n"/>
      <c r="J95" s="84" t="n"/>
      <c r="K95" s="82" t="n"/>
      <c r="L95" s="86" t="n"/>
      <c r="M95" s="90">
        <f>IF($A95="","",COUNTIFS(App_Company,$A95,App_Stage,"&gt;=1"))</f>
        <v/>
      </c>
      <c r="N95" s="90">
        <f>IF($A95="","",COUNTIFS(App_Company,$A95,App_ActiveKey,"&gt;0"))</f>
        <v/>
      </c>
      <c r="O95" s="90">
        <f>IF($A95="","",COUNTIF(Ct_Company,$A95))</f>
        <v/>
      </c>
    </row>
    <row r="96">
      <c r="A96" s="82" t="n"/>
      <c r="B96" s="82" t="n"/>
      <c r="C96" s="82" t="n"/>
      <c r="D96" s="84" t="n"/>
      <c r="E96" s="82" t="n"/>
      <c r="F96" s="83" t="n"/>
      <c r="G96" s="82" t="n"/>
      <c r="H96" s="83" t="n"/>
      <c r="I96" s="84" t="n"/>
      <c r="J96" s="84" t="n"/>
      <c r="K96" s="82" t="n"/>
      <c r="L96" s="86" t="n"/>
      <c r="M96" s="90">
        <f>IF($A96="","",COUNTIFS(App_Company,$A96,App_Stage,"&gt;=1"))</f>
        <v/>
      </c>
      <c r="N96" s="90">
        <f>IF($A96="","",COUNTIFS(App_Company,$A96,App_ActiveKey,"&gt;0"))</f>
        <v/>
      </c>
      <c r="O96" s="90">
        <f>IF($A96="","",COUNTIF(Ct_Company,$A96))</f>
        <v/>
      </c>
    </row>
    <row r="97">
      <c r="A97" s="82" t="n"/>
      <c r="B97" s="82" t="n"/>
      <c r="C97" s="82" t="n"/>
      <c r="D97" s="84" t="n"/>
      <c r="E97" s="82" t="n"/>
      <c r="F97" s="83" t="n"/>
      <c r="G97" s="82" t="n"/>
      <c r="H97" s="83" t="n"/>
      <c r="I97" s="84" t="n"/>
      <c r="J97" s="84" t="n"/>
      <c r="K97" s="82" t="n"/>
      <c r="L97" s="86" t="n"/>
      <c r="M97" s="90">
        <f>IF($A97="","",COUNTIFS(App_Company,$A97,App_Stage,"&gt;=1"))</f>
        <v/>
      </c>
      <c r="N97" s="90">
        <f>IF($A97="","",COUNTIFS(App_Company,$A97,App_ActiveKey,"&gt;0"))</f>
        <v/>
      </c>
      <c r="O97" s="90">
        <f>IF($A97="","",COUNTIF(Ct_Company,$A97))</f>
        <v/>
      </c>
    </row>
    <row r="98">
      <c r="A98" s="82" t="n"/>
      <c r="B98" s="82" t="n"/>
      <c r="C98" s="82" t="n"/>
      <c r="D98" s="84" t="n"/>
      <c r="E98" s="82" t="n"/>
      <c r="F98" s="83" t="n"/>
      <c r="G98" s="82" t="n"/>
      <c r="H98" s="83" t="n"/>
      <c r="I98" s="84" t="n"/>
      <c r="J98" s="84" t="n"/>
      <c r="K98" s="82" t="n"/>
      <c r="L98" s="86" t="n"/>
      <c r="M98" s="90">
        <f>IF($A98="","",COUNTIFS(App_Company,$A98,App_Stage,"&gt;=1"))</f>
        <v/>
      </c>
      <c r="N98" s="90">
        <f>IF($A98="","",COUNTIFS(App_Company,$A98,App_ActiveKey,"&gt;0"))</f>
        <v/>
      </c>
      <c r="O98" s="90">
        <f>IF($A98="","",COUNTIF(Ct_Company,$A98))</f>
        <v/>
      </c>
    </row>
    <row r="99">
      <c r="A99" s="82" t="n"/>
      <c r="B99" s="82" t="n"/>
      <c r="C99" s="82" t="n"/>
      <c r="D99" s="84" t="n"/>
      <c r="E99" s="82" t="n"/>
      <c r="F99" s="83" t="n"/>
      <c r="G99" s="82" t="n"/>
      <c r="H99" s="83" t="n"/>
      <c r="I99" s="84" t="n"/>
      <c r="J99" s="84" t="n"/>
      <c r="K99" s="82" t="n"/>
      <c r="L99" s="86" t="n"/>
      <c r="M99" s="90">
        <f>IF($A99="","",COUNTIFS(App_Company,$A99,App_Stage,"&gt;=1"))</f>
        <v/>
      </c>
      <c r="N99" s="90">
        <f>IF($A99="","",COUNTIFS(App_Company,$A99,App_ActiveKey,"&gt;0"))</f>
        <v/>
      </c>
      <c r="O99" s="90">
        <f>IF($A99="","",COUNTIF(Ct_Company,$A99))</f>
        <v/>
      </c>
    </row>
    <row r="100">
      <c r="A100" s="82" t="n"/>
      <c r="B100" s="82" t="n"/>
      <c r="C100" s="82" t="n"/>
      <c r="D100" s="84" t="n"/>
      <c r="E100" s="82" t="n"/>
      <c r="F100" s="83" t="n"/>
      <c r="G100" s="82" t="n"/>
      <c r="H100" s="83" t="n"/>
      <c r="I100" s="84" t="n"/>
      <c r="J100" s="84" t="n"/>
      <c r="K100" s="82" t="n"/>
      <c r="L100" s="86" t="n"/>
      <c r="M100" s="90">
        <f>IF($A100="","",COUNTIFS(App_Company,$A100,App_Stage,"&gt;=1"))</f>
        <v/>
      </c>
      <c r="N100" s="90">
        <f>IF($A100="","",COUNTIFS(App_Company,$A100,App_ActiveKey,"&gt;0"))</f>
        <v/>
      </c>
      <c r="O100" s="90">
        <f>IF($A100="","",COUNTIF(Ct_Company,$A100))</f>
        <v/>
      </c>
    </row>
    <row r="101">
      <c r="A101" s="82" t="n"/>
      <c r="B101" s="82" t="n"/>
      <c r="C101" s="82" t="n"/>
      <c r="D101" s="84" t="n"/>
      <c r="E101" s="82" t="n"/>
      <c r="F101" s="83" t="n"/>
      <c r="G101" s="82" t="n"/>
      <c r="H101" s="83" t="n"/>
      <c r="I101" s="84" t="n"/>
      <c r="J101" s="84" t="n"/>
      <c r="K101" s="82" t="n"/>
      <c r="L101" s="86" t="n"/>
      <c r="M101" s="90">
        <f>IF($A101="","",COUNTIFS(App_Company,$A101,App_Stage,"&gt;=1"))</f>
        <v/>
      </c>
      <c r="N101" s="90">
        <f>IF($A101="","",COUNTIFS(App_Company,$A101,App_ActiveKey,"&gt;0"))</f>
        <v/>
      </c>
      <c r="O101" s="90">
        <f>IF($A101="","",COUNTIF(Ct_Company,$A101))</f>
        <v/>
      </c>
    </row>
    <row r="102">
      <c r="A102" s="82" t="n"/>
      <c r="B102" s="82" t="n"/>
      <c r="C102" s="82" t="n"/>
      <c r="D102" s="84" t="n"/>
      <c r="E102" s="82" t="n"/>
      <c r="F102" s="83" t="n"/>
      <c r="G102" s="82" t="n"/>
      <c r="H102" s="83" t="n"/>
      <c r="I102" s="84" t="n"/>
      <c r="J102" s="84" t="n"/>
      <c r="K102" s="82" t="n"/>
      <c r="L102" s="86" t="n"/>
      <c r="M102" s="90">
        <f>IF($A102="","",COUNTIFS(App_Company,$A102,App_Stage,"&gt;=1"))</f>
        <v/>
      </c>
      <c r="N102" s="90">
        <f>IF($A102="","",COUNTIFS(App_Company,$A102,App_ActiveKey,"&gt;0"))</f>
        <v/>
      </c>
      <c r="O102" s="90">
        <f>IF($A102="","",COUNTIF(Ct_Company,$A102))</f>
        <v/>
      </c>
    </row>
    <row r="103">
      <c r="A103" s="82" t="n"/>
      <c r="B103" s="82" t="n"/>
      <c r="C103" s="82" t="n"/>
      <c r="D103" s="84" t="n"/>
      <c r="E103" s="82" t="n"/>
      <c r="F103" s="83" t="n"/>
      <c r="G103" s="82" t="n"/>
      <c r="H103" s="83" t="n"/>
      <c r="I103" s="84" t="n"/>
      <c r="J103" s="84" t="n"/>
      <c r="K103" s="82" t="n"/>
      <c r="L103" s="86" t="n"/>
      <c r="M103" s="90">
        <f>IF($A103="","",COUNTIFS(App_Company,$A103,App_Stage,"&gt;=1"))</f>
        <v/>
      </c>
      <c r="N103" s="90">
        <f>IF($A103="","",COUNTIFS(App_Company,$A103,App_ActiveKey,"&gt;0"))</f>
        <v/>
      </c>
      <c r="O103" s="90">
        <f>IF($A103="","",COUNTIF(Ct_Company,$A103))</f>
        <v/>
      </c>
    </row>
    <row r="104">
      <c r="A104" s="82" t="n"/>
      <c r="B104" s="82" t="n"/>
      <c r="C104" s="82" t="n"/>
      <c r="D104" s="84" t="n"/>
      <c r="E104" s="82" t="n"/>
      <c r="F104" s="83" t="n"/>
      <c r="G104" s="82" t="n"/>
      <c r="H104" s="83" t="n"/>
      <c r="I104" s="84" t="n"/>
      <c r="J104" s="84" t="n"/>
      <c r="K104" s="82" t="n"/>
      <c r="L104" s="86" t="n"/>
      <c r="M104" s="90">
        <f>IF($A104="","",COUNTIFS(App_Company,$A104,App_Stage,"&gt;=1"))</f>
        <v/>
      </c>
      <c r="N104" s="90">
        <f>IF($A104="","",COUNTIFS(App_Company,$A104,App_ActiveKey,"&gt;0"))</f>
        <v/>
      </c>
      <c r="O104" s="90">
        <f>IF($A104="","",COUNTIF(Ct_Company,$A104))</f>
        <v/>
      </c>
    </row>
    <row r="105">
      <c r="A105" s="82" t="n"/>
      <c r="B105" s="82" t="n"/>
      <c r="C105" s="82" t="n"/>
      <c r="D105" s="84" t="n"/>
      <c r="E105" s="82" t="n"/>
      <c r="F105" s="83" t="n"/>
      <c r="G105" s="82" t="n"/>
      <c r="H105" s="83" t="n"/>
      <c r="I105" s="84" t="n"/>
      <c r="J105" s="84" t="n"/>
      <c r="K105" s="82" t="n"/>
      <c r="L105" s="86" t="n"/>
      <c r="M105" s="90">
        <f>IF($A105="","",COUNTIFS(App_Company,$A105,App_Stage,"&gt;=1"))</f>
        <v/>
      </c>
      <c r="N105" s="90">
        <f>IF($A105="","",COUNTIFS(App_Company,$A105,App_ActiveKey,"&gt;0"))</f>
        <v/>
      </c>
      <c r="O105" s="90">
        <f>IF($A105="","",COUNTIF(Ct_Company,$A105))</f>
        <v/>
      </c>
    </row>
    <row r="106">
      <c r="A106" s="82" t="n"/>
      <c r="B106" s="82" t="n"/>
      <c r="C106" s="82" t="n"/>
      <c r="D106" s="84" t="n"/>
      <c r="E106" s="82" t="n"/>
      <c r="F106" s="83" t="n"/>
      <c r="G106" s="82" t="n"/>
      <c r="H106" s="83" t="n"/>
      <c r="I106" s="84" t="n"/>
      <c r="J106" s="84" t="n"/>
      <c r="K106" s="82" t="n"/>
      <c r="L106" s="86" t="n"/>
      <c r="M106" s="90">
        <f>IF($A106="","",COUNTIFS(App_Company,$A106,App_Stage,"&gt;=1"))</f>
        <v/>
      </c>
      <c r="N106" s="90">
        <f>IF($A106="","",COUNTIFS(App_Company,$A106,App_ActiveKey,"&gt;0"))</f>
        <v/>
      </c>
      <c r="O106" s="90">
        <f>IF($A106="","",COUNTIF(Ct_Company,$A106))</f>
        <v/>
      </c>
    </row>
    <row r="107">
      <c r="A107" s="82" t="n"/>
      <c r="B107" s="82" t="n"/>
      <c r="C107" s="82" t="n"/>
      <c r="D107" s="84" t="n"/>
      <c r="E107" s="82" t="n"/>
      <c r="F107" s="83" t="n"/>
      <c r="G107" s="82" t="n"/>
      <c r="H107" s="83" t="n"/>
      <c r="I107" s="84" t="n"/>
      <c r="J107" s="84" t="n"/>
      <c r="K107" s="82" t="n"/>
      <c r="L107" s="86" t="n"/>
      <c r="M107" s="90">
        <f>IF($A107="","",COUNTIFS(App_Company,$A107,App_Stage,"&gt;=1"))</f>
        <v/>
      </c>
      <c r="N107" s="90">
        <f>IF($A107="","",COUNTIFS(App_Company,$A107,App_ActiveKey,"&gt;0"))</f>
        <v/>
      </c>
      <c r="O107" s="90">
        <f>IF($A107="","",COUNTIF(Ct_Company,$A107))</f>
        <v/>
      </c>
    </row>
    <row r="108">
      <c r="A108" s="82" t="n"/>
      <c r="B108" s="82" t="n"/>
      <c r="C108" s="82" t="n"/>
      <c r="D108" s="84" t="n"/>
      <c r="E108" s="82" t="n"/>
      <c r="F108" s="83" t="n"/>
      <c r="G108" s="82" t="n"/>
      <c r="H108" s="83" t="n"/>
      <c r="I108" s="84" t="n"/>
      <c r="J108" s="84" t="n"/>
      <c r="K108" s="82" t="n"/>
      <c r="L108" s="86" t="n"/>
      <c r="M108" s="90">
        <f>IF($A108="","",COUNTIFS(App_Company,$A108,App_Stage,"&gt;=1"))</f>
        <v/>
      </c>
      <c r="N108" s="90">
        <f>IF($A108="","",COUNTIFS(App_Company,$A108,App_ActiveKey,"&gt;0"))</f>
        <v/>
      </c>
      <c r="O108" s="90">
        <f>IF($A108="","",COUNTIF(Ct_Company,$A108))</f>
        <v/>
      </c>
    </row>
    <row r="109">
      <c r="A109" s="82" t="n"/>
      <c r="B109" s="82" t="n"/>
      <c r="C109" s="82" t="n"/>
      <c r="D109" s="84" t="n"/>
      <c r="E109" s="82" t="n"/>
      <c r="F109" s="83" t="n"/>
      <c r="G109" s="82" t="n"/>
      <c r="H109" s="83" t="n"/>
      <c r="I109" s="84" t="n"/>
      <c r="J109" s="84" t="n"/>
      <c r="K109" s="82" t="n"/>
      <c r="L109" s="86" t="n"/>
      <c r="M109" s="90">
        <f>IF($A109="","",COUNTIFS(App_Company,$A109,App_Stage,"&gt;=1"))</f>
        <v/>
      </c>
      <c r="N109" s="90">
        <f>IF($A109="","",COUNTIFS(App_Company,$A109,App_ActiveKey,"&gt;0"))</f>
        <v/>
      </c>
      <c r="O109" s="90">
        <f>IF($A109="","",COUNTIF(Ct_Company,$A109))</f>
        <v/>
      </c>
    </row>
    <row r="110">
      <c r="A110" s="82" t="n"/>
      <c r="B110" s="82" t="n"/>
      <c r="C110" s="82" t="n"/>
      <c r="D110" s="84" t="n"/>
      <c r="E110" s="82" t="n"/>
      <c r="F110" s="83" t="n"/>
      <c r="G110" s="82" t="n"/>
      <c r="H110" s="83" t="n"/>
      <c r="I110" s="84" t="n"/>
      <c r="J110" s="84" t="n"/>
      <c r="K110" s="82" t="n"/>
      <c r="L110" s="86" t="n"/>
      <c r="M110" s="90">
        <f>IF($A110="","",COUNTIFS(App_Company,$A110,App_Stage,"&gt;=1"))</f>
        <v/>
      </c>
      <c r="N110" s="90">
        <f>IF($A110="","",COUNTIFS(App_Company,$A110,App_ActiveKey,"&gt;0"))</f>
        <v/>
      </c>
      <c r="O110" s="90">
        <f>IF($A110="","",COUNTIF(Ct_Company,$A110))</f>
        <v/>
      </c>
    </row>
    <row r="111">
      <c r="A111" s="82" t="n"/>
      <c r="B111" s="82" t="n"/>
      <c r="C111" s="82" t="n"/>
      <c r="D111" s="84" t="n"/>
      <c r="E111" s="82" t="n"/>
      <c r="F111" s="83" t="n"/>
      <c r="G111" s="82" t="n"/>
      <c r="H111" s="83" t="n"/>
      <c r="I111" s="84" t="n"/>
      <c r="J111" s="84" t="n"/>
      <c r="K111" s="82" t="n"/>
      <c r="L111" s="86" t="n"/>
      <c r="M111" s="90">
        <f>IF($A111="","",COUNTIFS(App_Company,$A111,App_Stage,"&gt;=1"))</f>
        <v/>
      </c>
      <c r="N111" s="90">
        <f>IF($A111="","",COUNTIFS(App_Company,$A111,App_ActiveKey,"&gt;0"))</f>
        <v/>
      </c>
      <c r="O111" s="90">
        <f>IF($A111="","",COUNTIF(Ct_Company,$A111))</f>
        <v/>
      </c>
    </row>
    <row r="112">
      <c r="A112" s="82" t="n"/>
      <c r="B112" s="82" t="n"/>
      <c r="C112" s="82" t="n"/>
      <c r="D112" s="84" t="n"/>
      <c r="E112" s="82" t="n"/>
      <c r="F112" s="83" t="n"/>
      <c r="G112" s="82" t="n"/>
      <c r="H112" s="83" t="n"/>
      <c r="I112" s="84" t="n"/>
      <c r="J112" s="84" t="n"/>
      <c r="K112" s="82" t="n"/>
      <c r="L112" s="86" t="n"/>
      <c r="M112" s="90">
        <f>IF($A112="","",COUNTIFS(App_Company,$A112,App_Stage,"&gt;=1"))</f>
        <v/>
      </c>
      <c r="N112" s="90">
        <f>IF($A112="","",COUNTIFS(App_Company,$A112,App_ActiveKey,"&gt;0"))</f>
        <v/>
      </c>
      <c r="O112" s="90">
        <f>IF($A112="","",COUNTIF(Ct_Company,$A112))</f>
        <v/>
      </c>
    </row>
    <row r="113">
      <c r="A113" s="82" t="n"/>
      <c r="B113" s="82" t="n"/>
      <c r="C113" s="82" t="n"/>
      <c r="D113" s="84" t="n"/>
      <c r="E113" s="82" t="n"/>
      <c r="F113" s="83" t="n"/>
      <c r="G113" s="82" t="n"/>
      <c r="H113" s="83" t="n"/>
      <c r="I113" s="84" t="n"/>
      <c r="J113" s="84" t="n"/>
      <c r="K113" s="82" t="n"/>
      <c r="L113" s="86" t="n"/>
      <c r="M113" s="90">
        <f>IF($A113="","",COUNTIFS(App_Company,$A113,App_Stage,"&gt;=1"))</f>
        <v/>
      </c>
      <c r="N113" s="90">
        <f>IF($A113="","",COUNTIFS(App_Company,$A113,App_ActiveKey,"&gt;0"))</f>
        <v/>
      </c>
      <c r="O113" s="90">
        <f>IF($A113="","",COUNTIF(Ct_Company,$A113))</f>
        <v/>
      </c>
    </row>
    <row r="114">
      <c r="A114" s="82" t="n"/>
      <c r="B114" s="82" t="n"/>
      <c r="C114" s="82" t="n"/>
      <c r="D114" s="84" t="n"/>
      <c r="E114" s="82" t="n"/>
      <c r="F114" s="83" t="n"/>
      <c r="G114" s="82" t="n"/>
      <c r="H114" s="83" t="n"/>
      <c r="I114" s="84" t="n"/>
      <c r="J114" s="84" t="n"/>
      <c r="K114" s="82" t="n"/>
      <c r="L114" s="86" t="n"/>
      <c r="M114" s="90">
        <f>IF($A114="","",COUNTIFS(App_Company,$A114,App_Stage,"&gt;=1"))</f>
        <v/>
      </c>
      <c r="N114" s="90">
        <f>IF($A114="","",COUNTIFS(App_Company,$A114,App_ActiveKey,"&gt;0"))</f>
        <v/>
      </c>
      <c r="O114" s="90">
        <f>IF($A114="","",COUNTIF(Ct_Company,$A114))</f>
        <v/>
      </c>
    </row>
    <row r="115">
      <c r="A115" s="82" t="n"/>
      <c r="B115" s="82" t="n"/>
      <c r="C115" s="82" t="n"/>
      <c r="D115" s="84" t="n"/>
      <c r="E115" s="82" t="n"/>
      <c r="F115" s="83" t="n"/>
      <c r="G115" s="82" t="n"/>
      <c r="H115" s="83" t="n"/>
      <c r="I115" s="84" t="n"/>
      <c r="J115" s="84" t="n"/>
      <c r="K115" s="82" t="n"/>
      <c r="L115" s="86" t="n"/>
      <c r="M115" s="90">
        <f>IF($A115="","",COUNTIFS(App_Company,$A115,App_Stage,"&gt;=1"))</f>
        <v/>
      </c>
      <c r="N115" s="90">
        <f>IF($A115="","",COUNTIFS(App_Company,$A115,App_ActiveKey,"&gt;0"))</f>
        <v/>
      </c>
      <c r="O115" s="90">
        <f>IF($A115="","",COUNTIF(Ct_Company,$A115))</f>
        <v/>
      </c>
    </row>
    <row r="116">
      <c r="A116" s="82" t="n"/>
      <c r="B116" s="82" t="n"/>
      <c r="C116" s="82" t="n"/>
      <c r="D116" s="84" t="n"/>
      <c r="E116" s="82" t="n"/>
      <c r="F116" s="83" t="n"/>
      <c r="G116" s="82" t="n"/>
      <c r="H116" s="83" t="n"/>
      <c r="I116" s="84" t="n"/>
      <c r="J116" s="84" t="n"/>
      <c r="K116" s="82" t="n"/>
      <c r="L116" s="86" t="n"/>
      <c r="M116" s="90">
        <f>IF($A116="","",COUNTIFS(App_Company,$A116,App_Stage,"&gt;=1"))</f>
        <v/>
      </c>
      <c r="N116" s="90">
        <f>IF($A116="","",COUNTIFS(App_Company,$A116,App_ActiveKey,"&gt;0"))</f>
        <v/>
      </c>
      <c r="O116" s="90">
        <f>IF($A116="","",COUNTIF(Ct_Company,$A116))</f>
        <v/>
      </c>
    </row>
    <row r="117">
      <c r="A117" s="82" t="n"/>
      <c r="B117" s="82" t="n"/>
      <c r="C117" s="82" t="n"/>
      <c r="D117" s="84" t="n"/>
      <c r="E117" s="82" t="n"/>
      <c r="F117" s="83" t="n"/>
      <c r="G117" s="82" t="n"/>
      <c r="H117" s="83" t="n"/>
      <c r="I117" s="84" t="n"/>
      <c r="J117" s="84" t="n"/>
      <c r="K117" s="82" t="n"/>
      <c r="L117" s="86" t="n"/>
      <c r="M117" s="90">
        <f>IF($A117="","",COUNTIFS(App_Company,$A117,App_Stage,"&gt;=1"))</f>
        <v/>
      </c>
      <c r="N117" s="90">
        <f>IF($A117="","",COUNTIFS(App_Company,$A117,App_ActiveKey,"&gt;0"))</f>
        <v/>
      </c>
      <c r="O117" s="90">
        <f>IF($A117="","",COUNTIF(Ct_Company,$A117))</f>
        <v/>
      </c>
    </row>
    <row r="118">
      <c r="A118" s="82" t="n"/>
      <c r="B118" s="82" t="n"/>
      <c r="C118" s="82" t="n"/>
      <c r="D118" s="84" t="n"/>
      <c r="E118" s="82" t="n"/>
      <c r="F118" s="83" t="n"/>
      <c r="G118" s="82" t="n"/>
      <c r="H118" s="83" t="n"/>
      <c r="I118" s="84" t="n"/>
      <c r="J118" s="84" t="n"/>
      <c r="K118" s="82" t="n"/>
      <c r="L118" s="86" t="n"/>
      <c r="M118" s="90">
        <f>IF($A118="","",COUNTIFS(App_Company,$A118,App_Stage,"&gt;=1"))</f>
        <v/>
      </c>
      <c r="N118" s="90">
        <f>IF($A118="","",COUNTIFS(App_Company,$A118,App_ActiveKey,"&gt;0"))</f>
        <v/>
      </c>
      <c r="O118" s="90">
        <f>IF($A118="","",COUNTIF(Ct_Company,$A118))</f>
        <v/>
      </c>
    </row>
    <row r="119">
      <c r="A119" s="82" t="n"/>
      <c r="B119" s="82" t="n"/>
      <c r="C119" s="82" t="n"/>
      <c r="D119" s="84" t="n"/>
      <c r="E119" s="82" t="n"/>
      <c r="F119" s="83" t="n"/>
      <c r="G119" s="82" t="n"/>
      <c r="H119" s="83" t="n"/>
      <c r="I119" s="84" t="n"/>
      <c r="J119" s="84" t="n"/>
      <c r="K119" s="82" t="n"/>
      <c r="L119" s="86" t="n"/>
      <c r="M119" s="90">
        <f>IF($A119="","",COUNTIFS(App_Company,$A119,App_Stage,"&gt;=1"))</f>
        <v/>
      </c>
      <c r="N119" s="90">
        <f>IF($A119="","",COUNTIFS(App_Company,$A119,App_ActiveKey,"&gt;0"))</f>
        <v/>
      </c>
      <c r="O119" s="90">
        <f>IF($A119="","",COUNTIF(Ct_Company,$A119))</f>
        <v/>
      </c>
    </row>
    <row r="120">
      <c r="A120" s="82" t="n"/>
      <c r="B120" s="82" t="n"/>
      <c r="C120" s="82" t="n"/>
      <c r="D120" s="84" t="n"/>
      <c r="E120" s="82" t="n"/>
      <c r="F120" s="83" t="n"/>
      <c r="G120" s="82" t="n"/>
      <c r="H120" s="83" t="n"/>
      <c r="I120" s="84" t="n"/>
      <c r="J120" s="84" t="n"/>
      <c r="K120" s="82" t="n"/>
      <c r="L120" s="86" t="n"/>
      <c r="M120" s="90">
        <f>IF($A120="","",COUNTIFS(App_Company,$A120,App_Stage,"&gt;=1"))</f>
        <v/>
      </c>
      <c r="N120" s="90">
        <f>IF($A120="","",COUNTIFS(App_Company,$A120,App_ActiveKey,"&gt;0"))</f>
        <v/>
      </c>
      <c r="O120" s="90">
        <f>IF($A120="","",COUNTIF(Ct_Company,$A120))</f>
        <v/>
      </c>
    </row>
    <row r="121">
      <c r="A121" s="82" t="n"/>
      <c r="B121" s="82" t="n"/>
      <c r="C121" s="82" t="n"/>
      <c r="D121" s="84" t="n"/>
      <c r="E121" s="82" t="n"/>
      <c r="F121" s="83" t="n"/>
      <c r="G121" s="82" t="n"/>
      <c r="H121" s="83" t="n"/>
      <c r="I121" s="84" t="n"/>
      <c r="J121" s="84" t="n"/>
      <c r="K121" s="82" t="n"/>
      <c r="L121" s="86" t="n"/>
      <c r="M121" s="90">
        <f>IF($A121="","",COUNTIFS(App_Company,$A121,App_Stage,"&gt;=1"))</f>
        <v/>
      </c>
      <c r="N121" s="90">
        <f>IF($A121="","",COUNTIFS(App_Company,$A121,App_ActiveKey,"&gt;0"))</f>
        <v/>
      </c>
      <c r="O121" s="90">
        <f>IF($A121="","",COUNTIF(Ct_Company,$A121))</f>
        <v/>
      </c>
    </row>
    <row r="122">
      <c r="A122" s="82" t="n"/>
      <c r="B122" s="82" t="n"/>
      <c r="C122" s="82" t="n"/>
      <c r="D122" s="84" t="n"/>
      <c r="E122" s="82" t="n"/>
      <c r="F122" s="83" t="n"/>
      <c r="G122" s="82" t="n"/>
      <c r="H122" s="83" t="n"/>
      <c r="I122" s="84" t="n"/>
      <c r="J122" s="84" t="n"/>
      <c r="K122" s="82" t="n"/>
      <c r="L122" s="86" t="n"/>
      <c r="M122" s="90">
        <f>IF($A122="","",COUNTIFS(App_Company,$A122,App_Stage,"&gt;=1"))</f>
        <v/>
      </c>
      <c r="N122" s="90">
        <f>IF($A122="","",COUNTIFS(App_Company,$A122,App_ActiveKey,"&gt;0"))</f>
        <v/>
      </c>
      <c r="O122" s="90">
        <f>IF($A122="","",COUNTIF(Ct_Company,$A122))</f>
        <v/>
      </c>
    </row>
    <row r="123">
      <c r="A123" s="82" t="n"/>
      <c r="B123" s="82" t="n"/>
      <c r="C123" s="82" t="n"/>
      <c r="D123" s="84" t="n"/>
      <c r="E123" s="82" t="n"/>
      <c r="F123" s="83" t="n"/>
      <c r="G123" s="82" t="n"/>
      <c r="H123" s="83" t="n"/>
      <c r="I123" s="84" t="n"/>
      <c r="J123" s="84" t="n"/>
      <c r="K123" s="82" t="n"/>
      <c r="L123" s="86" t="n"/>
      <c r="M123" s="90">
        <f>IF($A123="","",COUNTIFS(App_Company,$A123,App_Stage,"&gt;=1"))</f>
        <v/>
      </c>
      <c r="N123" s="90">
        <f>IF($A123="","",COUNTIFS(App_Company,$A123,App_ActiveKey,"&gt;0"))</f>
        <v/>
      </c>
      <c r="O123" s="90">
        <f>IF($A123="","",COUNTIF(Ct_Company,$A123))</f>
        <v/>
      </c>
    </row>
    <row r="124">
      <c r="A124" s="82" t="n"/>
      <c r="B124" s="82" t="n"/>
      <c r="C124" s="82" t="n"/>
      <c r="D124" s="84" t="n"/>
      <c r="E124" s="82" t="n"/>
      <c r="F124" s="83" t="n"/>
      <c r="G124" s="82" t="n"/>
      <c r="H124" s="83" t="n"/>
      <c r="I124" s="84" t="n"/>
      <c r="J124" s="84" t="n"/>
      <c r="K124" s="82" t="n"/>
      <c r="L124" s="86" t="n"/>
      <c r="M124" s="90">
        <f>IF($A124="","",COUNTIFS(App_Company,$A124,App_Stage,"&gt;=1"))</f>
        <v/>
      </c>
      <c r="N124" s="90">
        <f>IF($A124="","",COUNTIFS(App_Company,$A124,App_ActiveKey,"&gt;0"))</f>
        <v/>
      </c>
      <c r="O124" s="90">
        <f>IF($A124="","",COUNTIF(Ct_Company,$A124))</f>
        <v/>
      </c>
    </row>
    <row r="125">
      <c r="A125" s="82" t="n"/>
      <c r="B125" s="82" t="n"/>
      <c r="C125" s="82" t="n"/>
      <c r="D125" s="84" t="n"/>
      <c r="E125" s="82" t="n"/>
      <c r="F125" s="83" t="n"/>
      <c r="G125" s="82" t="n"/>
      <c r="H125" s="83" t="n"/>
      <c r="I125" s="84" t="n"/>
      <c r="J125" s="84" t="n"/>
      <c r="K125" s="82" t="n"/>
      <c r="L125" s="86" t="n"/>
      <c r="M125" s="90">
        <f>IF($A125="","",COUNTIFS(App_Company,$A125,App_Stage,"&gt;=1"))</f>
        <v/>
      </c>
      <c r="N125" s="90">
        <f>IF($A125="","",COUNTIFS(App_Company,$A125,App_ActiveKey,"&gt;0"))</f>
        <v/>
      </c>
      <c r="O125" s="90">
        <f>IF($A125="","",COUNTIF(Ct_Company,$A125))</f>
        <v/>
      </c>
    </row>
    <row r="126">
      <c r="A126" s="82" t="n"/>
      <c r="B126" s="82" t="n"/>
      <c r="C126" s="82" t="n"/>
      <c r="D126" s="84" t="n"/>
      <c r="E126" s="82" t="n"/>
      <c r="F126" s="83" t="n"/>
      <c r="G126" s="82" t="n"/>
      <c r="H126" s="83" t="n"/>
      <c r="I126" s="84" t="n"/>
      <c r="J126" s="84" t="n"/>
      <c r="K126" s="82" t="n"/>
      <c r="L126" s="86" t="n"/>
      <c r="M126" s="90">
        <f>IF($A126="","",COUNTIFS(App_Company,$A126,App_Stage,"&gt;=1"))</f>
        <v/>
      </c>
      <c r="N126" s="90">
        <f>IF($A126="","",COUNTIFS(App_Company,$A126,App_ActiveKey,"&gt;0"))</f>
        <v/>
      </c>
      <c r="O126" s="90">
        <f>IF($A126="","",COUNTIF(Ct_Company,$A126))</f>
        <v/>
      </c>
    </row>
    <row r="127">
      <c r="A127" s="82" t="n"/>
      <c r="B127" s="82" t="n"/>
      <c r="C127" s="82" t="n"/>
      <c r="D127" s="84" t="n"/>
      <c r="E127" s="82" t="n"/>
      <c r="F127" s="83" t="n"/>
      <c r="G127" s="82" t="n"/>
      <c r="H127" s="83" t="n"/>
      <c r="I127" s="84" t="n"/>
      <c r="J127" s="84" t="n"/>
      <c r="K127" s="82" t="n"/>
      <c r="L127" s="86" t="n"/>
      <c r="M127" s="90">
        <f>IF($A127="","",COUNTIFS(App_Company,$A127,App_Stage,"&gt;=1"))</f>
        <v/>
      </c>
      <c r="N127" s="90">
        <f>IF($A127="","",COUNTIFS(App_Company,$A127,App_ActiveKey,"&gt;0"))</f>
        <v/>
      </c>
      <c r="O127" s="90">
        <f>IF($A127="","",COUNTIF(Ct_Company,$A127))</f>
        <v/>
      </c>
    </row>
    <row r="128">
      <c r="A128" s="82" t="n"/>
      <c r="B128" s="82" t="n"/>
      <c r="C128" s="82" t="n"/>
      <c r="D128" s="84" t="n"/>
      <c r="E128" s="82" t="n"/>
      <c r="F128" s="83" t="n"/>
      <c r="G128" s="82" t="n"/>
      <c r="H128" s="83" t="n"/>
      <c r="I128" s="84" t="n"/>
      <c r="J128" s="84" t="n"/>
      <c r="K128" s="82" t="n"/>
      <c r="L128" s="86" t="n"/>
      <c r="M128" s="90">
        <f>IF($A128="","",COUNTIFS(App_Company,$A128,App_Stage,"&gt;=1"))</f>
        <v/>
      </c>
      <c r="N128" s="90">
        <f>IF($A128="","",COUNTIFS(App_Company,$A128,App_ActiveKey,"&gt;0"))</f>
        <v/>
      </c>
      <c r="O128" s="90">
        <f>IF($A128="","",COUNTIF(Ct_Company,$A128))</f>
        <v/>
      </c>
    </row>
    <row r="129">
      <c r="A129" s="82" t="n"/>
      <c r="B129" s="82" t="n"/>
      <c r="C129" s="82" t="n"/>
      <c r="D129" s="84" t="n"/>
      <c r="E129" s="82" t="n"/>
      <c r="F129" s="83" t="n"/>
      <c r="G129" s="82" t="n"/>
      <c r="H129" s="83" t="n"/>
      <c r="I129" s="84" t="n"/>
      <c r="J129" s="84" t="n"/>
      <c r="K129" s="82" t="n"/>
      <c r="L129" s="86" t="n"/>
      <c r="M129" s="90">
        <f>IF($A129="","",COUNTIFS(App_Company,$A129,App_Stage,"&gt;=1"))</f>
        <v/>
      </c>
      <c r="N129" s="90">
        <f>IF($A129="","",COUNTIFS(App_Company,$A129,App_ActiveKey,"&gt;0"))</f>
        <v/>
      </c>
      <c r="O129" s="90">
        <f>IF($A129="","",COUNTIF(Ct_Company,$A129))</f>
        <v/>
      </c>
    </row>
    <row r="130">
      <c r="A130" s="82" t="n"/>
      <c r="B130" s="82" t="n"/>
      <c r="C130" s="82" t="n"/>
      <c r="D130" s="84" t="n"/>
      <c r="E130" s="82" t="n"/>
      <c r="F130" s="83" t="n"/>
      <c r="G130" s="82" t="n"/>
      <c r="H130" s="83" t="n"/>
      <c r="I130" s="84" t="n"/>
      <c r="J130" s="84" t="n"/>
      <c r="K130" s="82" t="n"/>
      <c r="L130" s="86" t="n"/>
      <c r="M130" s="90">
        <f>IF($A130="","",COUNTIFS(App_Company,$A130,App_Stage,"&gt;=1"))</f>
        <v/>
      </c>
      <c r="N130" s="90">
        <f>IF($A130="","",COUNTIFS(App_Company,$A130,App_ActiveKey,"&gt;0"))</f>
        <v/>
      </c>
      <c r="O130" s="90">
        <f>IF($A130="","",COUNTIF(Ct_Company,$A130))</f>
        <v/>
      </c>
    </row>
    <row r="131">
      <c r="A131" s="82" t="n"/>
      <c r="B131" s="82" t="n"/>
      <c r="C131" s="82" t="n"/>
      <c r="D131" s="84" t="n"/>
      <c r="E131" s="82" t="n"/>
      <c r="F131" s="83" t="n"/>
      <c r="G131" s="82" t="n"/>
      <c r="H131" s="83" t="n"/>
      <c r="I131" s="84" t="n"/>
      <c r="J131" s="84" t="n"/>
      <c r="K131" s="82" t="n"/>
      <c r="L131" s="86" t="n"/>
      <c r="M131" s="90">
        <f>IF($A131="","",COUNTIFS(App_Company,$A131,App_Stage,"&gt;=1"))</f>
        <v/>
      </c>
      <c r="N131" s="90">
        <f>IF($A131="","",COUNTIFS(App_Company,$A131,App_ActiveKey,"&gt;0"))</f>
        <v/>
      </c>
      <c r="O131" s="90">
        <f>IF($A131="","",COUNTIF(Ct_Company,$A131))</f>
        <v/>
      </c>
    </row>
    <row r="132">
      <c r="A132" s="82" t="n"/>
      <c r="B132" s="82" t="n"/>
      <c r="C132" s="82" t="n"/>
      <c r="D132" s="84" t="n"/>
      <c r="E132" s="82" t="n"/>
      <c r="F132" s="83" t="n"/>
      <c r="G132" s="82" t="n"/>
      <c r="H132" s="83" t="n"/>
      <c r="I132" s="84" t="n"/>
      <c r="J132" s="84" t="n"/>
      <c r="K132" s="82" t="n"/>
      <c r="L132" s="86" t="n"/>
      <c r="M132" s="90">
        <f>IF($A132="","",COUNTIFS(App_Company,$A132,App_Stage,"&gt;=1"))</f>
        <v/>
      </c>
      <c r="N132" s="90">
        <f>IF($A132="","",COUNTIFS(App_Company,$A132,App_ActiveKey,"&gt;0"))</f>
        <v/>
      </c>
      <c r="O132" s="90">
        <f>IF($A132="","",COUNTIF(Ct_Company,$A132))</f>
        <v/>
      </c>
    </row>
    <row r="133">
      <c r="A133" s="82" t="n"/>
      <c r="B133" s="82" t="n"/>
      <c r="C133" s="82" t="n"/>
      <c r="D133" s="84" t="n"/>
      <c r="E133" s="82" t="n"/>
      <c r="F133" s="83" t="n"/>
      <c r="G133" s="82" t="n"/>
      <c r="H133" s="83" t="n"/>
      <c r="I133" s="84" t="n"/>
      <c r="J133" s="84" t="n"/>
      <c r="K133" s="82" t="n"/>
      <c r="L133" s="86" t="n"/>
      <c r="M133" s="90">
        <f>IF($A133="","",COUNTIFS(App_Company,$A133,App_Stage,"&gt;=1"))</f>
        <v/>
      </c>
      <c r="N133" s="90">
        <f>IF($A133="","",COUNTIFS(App_Company,$A133,App_ActiveKey,"&gt;0"))</f>
        <v/>
      </c>
      <c r="O133" s="90">
        <f>IF($A133="","",COUNTIF(Ct_Company,$A133))</f>
        <v/>
      </c>
    </row>
    <row r="134">
      <c r="A134" s="82" t="n"/>
      <c r="B134" s="82" t="n"/>
      <c r="C134" s="82" t="n"/>
      <c r="D134" s="84" t="n"/>
      <c r="E134" s="82" t="n"/>
      <c r="F134" s="83" t="n"/>
      <c r="G134" s="82" t="n"/>
      <c r="H134" s="83" t="n"/>
      <c r="I134" s="84" t="n"/>
      <c r="J134" s="84" t="n"/>
      <c r="K134" s="82" t="n"/>
      <c r="L134" s="86" t="n"/>
      <c r="M134" s="90">
        <f>IF($A134="","",COUNTIFS(App_Company,$A134,App_Stage,"&gt;=1"))</f>
        <v/>
      </c>
      <c r="N134" s="90">
        <f>IF($A134="","",COUNTIFS(App_Company,$A134,App_ActiveKey,"&gt;0"))</f>
        <v/>
      </c>
      <c r="O134" s="90">
        <f>IF($A134="","",COUNTIF(Ct_Company,$A134))</f>
        <v/>
      </c>
    </row>
    <row r="135">
      <c r="A135" s="82" t="n"/>
      <c r="B135" s="82" t="n"/>
      <c r="C135" s="82" t="n"/>
      <c r="D135" s="84" t="n"/>
      <c r="E135" s="82" t="n"/>
      <c r="F135" s="83" t="n"/>
      <c r="G135" s="82" t="n"/>
      <c r="H135" s="83" t="n"/>
      <c r="I135" s="84" t="n"/>
      <c r="J135" s="84" t="n"/>
      <c r="K135" s="82" t="n"/>
      <c r="L135" s="86" t="n"/>
      <c r="M135" s="90">
        <f>IF($A135="","",COUNTIFS(App_Company,$A135,App_Stage,"&gt;=1"))</f>
        <v/>
      </c>
      <c r="N135" s="90">
        <f>IF($A135="","",COUNTIFS(App_Company,$A135,App_ActiveKey,"&gt;0"))</f>
        <v/>
      </c>
      <c r="O135" s="90">
        <f>IF($A135="","",COUNTIF(Ct_Company,$A135))</f>
        <v/>
      </c>
    </row>
    <row r="136">
      <c r="A136" s="82" t="n"/>
      <c r="B136" s="82" t="n"/>
      <c r="C136" s="82" t="n"/>
      <c r="D136" s="84" t="n"/>
      <c r="E136" s="82" t="n"/>
      <c r="F136" s="83" t="n"/>
      <c r="G136" s="82" t="n"/>
      <c r="H136" s="83" t="n"/>
      <c r="I136" s="84" t="n"/>
      <c r="J136" s="84" t="n"/>
      <c r="K136" s="82" t="n"/>
      <c r="L136" s="86" t="n"/>
      <c r="M136" s="90">
        <f>IF($A136="","",COUNTIFS(App_Company,$A136,App_Stage,"&gt;=1"))</f>
        <v/>
      </c>
      <c r="N136" s="90">
        <f>IF($A136="","",COUNTIFS(App_Company,$A136,App_ActiveKey,"&gt;0"))</f>
        <v/>
      </c>
      <c r="O136" s="90">
        <f>IF($A136="","",COUNTIF(Ct_Company,$A136))</f>
        <v/>
      </c>
    </row>
    <row r="137">
      <c r="A137" s="82" t="n"/>
      <c r="B137" s="82" t="n"/>
      <c r="C137" s="82" t="n"/>
      <c r="D137" s="84" t="n"/>
      <c r="E137" s="82" t="n"/>
      <c r="F137" s="83" t="n"/>
      <c r="G137" s="82" t="n"/>
      <c r="H137" s="83" t="n"/>
      <c r="I137" s="84" t="n"/>
      <c r="J137" s="84" t="n"/>
      <c r="K137" s="82" t="n"/>
      <c r="L137" s="86" t="n"/>
      <c r="M137" s="90">
        <f>IF($A137="","",COUNTIFS(App_Company,$A137,App_Stage,"&gt;=1"))</f>
        <v/>
      </c>
      <c r="N137" s="90">
        <f>IF($A137="","",COUNTIFS(App_Company,$A137,App_ActiveKey,"&gt;0"))</f>
        <v/>
      </c>
      <c r="O137" s="90">
        <f>IF($A137="","",COUNTIF(Ct_Company,$A137))</f>
        <v/>
      </c>
    </row>
    <row r="138">
      <c r="A138" s="82" t="n"/>
      <c r="B138" s="82" t="n"/>
      <c r="C138" s="82" t="n"/>
      <c r="D138" s="84" t="n"/>
      <c r="E138" s="82" t="n"/>
      <c r="F138" s="83" t="n"/>
      <c r="G138" s="82" t="n"/>
      <c r="H138" s="83" t="n"/>
      <c r="I138" s="84" t="n"/>
      <c r="J138" s="84" t="n"/>
      <c r="K138" s="82" t="n"/>
      <c r="L138" s="86" t="n"/>
      <c r="M138" s="90">
        <f>IF($A138="","",COUNTIFS(App_Company,$A138,App_Stage,"&gt;=1"))</f>
        <v/>
      </c>
      <c r="N138" s="90">
        <f>IF($A138="","",COUNTIFS(App_Company,$A138,App_ActiveKey,"&gt;0"))</f>
        <v/>
      </c>
      <c r="O138" s="90">
        <f>IF($A138="","",COUNTIF(Ct_Company,$A138))</f>
        <v/>
      </c>
    </row>
    <row r="139">
      <c r="A139" s="82" t="n"/>
      <c r="B139" s="82" t="n"/>
      <c r="C139" s="82" t="n"/>
      <c r="D139" s="84" t="n"/>
      <c r="E139" s="82" t="n"/>
      <c r="F139" s="83" t="n"/>
      <c r="G139" s="82" t="n"/>
      <c r="H139" s="83" t="n"/>
      <c r="I139" s="84" t="n"/>
      <c r="J139" s="84" t="n"/>
      <c r="K139" s="82" t="n"/>
      <c r="L139" s="86" t="n"/>
      <c r="M139" s="90">
        <f>IF($A139="","",COUNTIFS(App_Company,$A139,App_Stage,"&gt;=1"))</f>
        <v/>
      </c>
      <c r="N139" s="90">
        <f>IF($A139="","",COUNTIFS(App_Company,$A139,App_ActiveKey,"&gt;0"))</f>
        <v/>
      </c>
      <c r="O139" s="90">
        <f>IF($A139="","",COUNTIF(Ct_Company,$A139))</f>
        <v/>
      </c>
    </row>
    <row r="140">
      <c r="A140" s="82" t="n"/>
      <c r="B140" s="82" t="n"/>
      <c r="C140" s="82" t="n"/>
      <c r="D140" s="84" t="n"/>
      <c r="E140" s="82" t="n"/>
      <c r="F140" s="83" t="n"/>
      <c r="G140" s="82" t="n"/>
      <c r="H140" s="83" t="n"/>
      <c r="I140" s="84" t="n"/>
      <c r="J140" s="84" t="n"/>
      <c r="K140" s="82" t="n"/>
      <c r="L140" s="86" t="n"/>
      <c r="M140" s="90">
        <f>IF($A140="","",COUNTIFS(App_Company,$A140,App_Stage,"&gt;=1"))</f>
        <v/>
      </c>
      <c r="N140" s="90">
        <f>IF($A140="","",COUNTIFS(App_Company,$A140,App_ActiveKey,"&gt;0"))</f>
        <v/>
      </c>
      <c r="O140" s="90">
        <f>IF($A140="","",COUNTIF(Ct_Company,$A140))</f>
        <v/>
      </c>
    </row>
    <row r="141">
      <c r="A141" s="82" t="n"/>
      <c r="B141" s="82" t="n"/>
      <c r="C141" s="82" t="n"/>
      <c r="D141" s="84" t="n"/>
      <c r="E141" s="82" t="n"/>
      <c r="F141" s="83" t="n"/>
      <c r="G141" s="82" t="n"/>
      <c r="H141" s="83" t="n"/>
      <c r="I141" s="84" t="n"/>
      <c r="J141" s="84" t="n"/>
      <c r="K141" s="82" t="n"/>
      <c r="L141" s="86" t="n"/>
      <c r="M141" s="90">
        <f>IF($A141="","",COUNTIFS(App_Company,$A141,App_Stage,"&gt;=1"))</f>
        <v/>
      </c>
      <c r="N141" s="90">
        <f>IF($A141="","",COUNTIFS(App_Company,$A141,App_ActiveKey,"&gt;0"))</f>
        <v/>
      </c>
      <c r="O141" s="90">
        <f>IF($A141="","",COUNTIF(Ct_Company,$A141))</f>
        <v/>
      </c>
    </row>
    <row r="142">
      <c r="A142" s="82" t="n"/>
      <c r="B142" s="82" t="n"/>
      <c r="C142" s="82" t="n"/>
      <c r="D142" s="84" t="n"/>
      <c r="E142" s="82" t="n"/>
      <c r="F142" s="83" t="n"/>
      <c r="G142" s="82" t="n"/>
      <c r="H142" s="83" t="n"/>
      <c r="I142" s="84" t="n"/>
      <c r="J142" s="84" t="n"/>
      <c r="K142" s="82" t="n"/>
      <c r="L142" s="86" t="n"/>
      <c r="M142" s="90">
        <f>IF($A142="","",COUNTIFS(App_Company,$A142,App_Stage,"&gt;=1"))</f>
        <v/>
      </c>
      <c r="N142" s="90">
        <f>IF($A142="","",COUNTIFS(App_Company,$A142,App_ActiveKey,"&gt;0"))</f>
        <v/>
      </c>
      <c r="O142" s="90">
        <f>IF($A142="","",COUNTIF(Ct_Company,$A142))</f>
        <v/>
      </c>
    </row>
    <row r="143">
      <c r="A143" s="82" t="n"/>
      <c r="B143" s="82" t="n"/>
      <c r="C143" s="82" t="n"/>
      <c r="D143" s="84" t="n"/>
      <c r="E143" s="82" t="n"/>
      <c r="F143" s="83" t="n"/>
      <c r="G143" s="82" t="n"/>
      <c r="H143" s="83" t="n"/>
      <c r="I143" s="84" t="n"/>
      <c r="J143" s="84" t="n"/>
      <c r="K143" s="82" t="n"/>
      <c r="L143" s="86" t="n"/>
      <c r="M143" s="90">
        <f>IF($A143="","",COUNTIFS(App_Company,$A143,App_Stage,"&gt;=1"))</f>
        <v/>
      </c>
      <c r="N143" s="90">
        <f>IF($A143="","",COUNTIFS(App_Company,$A143,App_ActiveKey,"&gt;0"))</f>
        <v/>
      </c>
      <c r="O143" s="90">
        <f>IF($A143="","",COUNTIF(Ct_Company,$A143))</f>
        <v/>
      </c>
    </row>
    <row r="144">
      <c r="A144" s="82" t="n"/>
      <c r="B144" s="82" t="n"/>
      <c r="C144" s="82" t="n"/>
      <c r="D144" s="84" t="n"/>
      <c r="E144" s="82" t="n"/>
      <c r="F144" s="83" t="n"/>
      <c r="G144" s="82" t="n"/>
      <c r="H144" s="83" t="n"/>
      <c r="I144" s="84" t="n"/>
      <c r="J144" s="84" t="n"/>
      <c r="K144" s="82" t="n"/>
      <c r="L144" s="86" t="n"/>
      <c r="M144" s="90">
        <f>IF($A144="","",COUNTIFS(App_Company,$A144,App_Stage,"&gt;=1"))</f>
        <v/>
      </c>
      <c r="N144" s="90">
        <f>IF($A144="","",COUNTIFS(App_Company,$A144,App_ActiveKey,"&gt;0"))</f>
        <v/>
      </c>
      <c r="O144" s="90">
        <f>IF($A144="","",COUNTIF(Ct_Company,$A144))</f>
        <v/>
      </c>
    </row>
    <row r="145">
      <c r="A145" s="82" t="n"/>
      <c r="B145" s="82" t="n"/>
      <c r="C145" s="82" t="n"/>
      <c r="D145" s="84" t="n"/>
      <c r="E145" s="82" t="n"/>
      <c r="F145" s="83" t="n"/>
      <c r="G145" s="82" t="n"/>
      <c r="H145" s="83" t="n"/>
      <c r="I145" s="84" t="n"/>
      <c r="J145" s="84" t="n"/>
      <c r="K145" s="82" t="n"/>
      <c r="L145" s="86" t="n"/>
      <c r="M145" s="90">
        <f>IF($A145="","",COUNTIFS(App_Company,$A145,App_Stage,"&gt;=1"))</f>
        <v/>
      </c>
      <c r="N145" s="90">
        <f>IF($A145="","",COUNTIFS(App_Company,$A145,App_ActiveKey,"&gt;0"))</f>
        <v/>
      </c>
      <c r="O145" s="90">
        <f>IF($A145="","",COUNTIF(Ct_Company,$A145))</f>
        <v/>
      </c>
    </row>
    <row r="146">
      <c r="A146" s="82" t="n"/>
      <c r="B146" s="82" t="n"/>
      <c r="C146" s="82" t="n"/>
      <c r="D146" s="84" t="n"/>
      <c r="E146" s="82" t="n"/>
      <c r="F146" s="83" t="n"/>
      <c r="G146" s="82" t="n"/>
      <c r="H146" s="83" t="n"/>
      <c r="I146" s="84" t="n"/>
      <c r="J146" s="84" t="n"/>
      <c r="K146" s="82" t="n"/>
      <c r="L146" s="86" t="n"/>
      <c r="M146" s="90">
        <f>IF($A146="","",COUNTIFS(App_Company,$A146,App_Stage,"&gt;=1"))</f>
        <v/>
      </c>
      <c r="N146" s="90">
        <f>IF($A146="","",COUNTIFS(App_Company,$A146,App_ActiveKey,"&gt;0"))</f>
        <v/>
      </c>
      <c r="O146" s="90">
        <f>IF($A146="","",COUNTIF(Ct_Company,$A146))</f>
        <v/>
      </c>
    </row>
    <row r="147">
      <c r="A147" s="82" t="n"/>
      <c r="B147" s="82" t="n"/>
      <c r="C147" s="82" t="n"/>
      <c r="D147" s="84" t="n"/>
      <c r="E147" s="82" t="n"/>
      <c r="F147" s="83" t="n"/>
      <c r="G147" s="82" t="n"/>
      <c r="H147" s="83" t="n"/>
      <c r="I147" s="84" t="n"/>
      <c r="J147" s="84" t="n"/>
      <c r="K147" s="82" t="n"/>
      <c r="L147" s="86" t="n"/>
      <c r="M147" s="90">
        <f>IF($A147="","",COUNTIFS(App_Company,$A147,App_Stage,"&gt;=1"))</f>
        <v/>
      </c>
      <c r="N147" s="90">
        <f>IF($A147="","",COUNTIFS(App_Company,$A147,App_ActiveKey,"&gt;0"))</f>
        <v/>
      </c>
      <c r="O147" s="90">
        <f>IF($A147="","",COUNTIF(Ct_Company,$A147))</f>
        <v/>
      </c>
    </row>
    <row r="148">
      <c r="A148" s="82" t="n"/>
      <c r="B148" s="82" t="n"/>
      <c r="C148" s="82" t="n"/>
      <c r="D148" s="84" t="n"/>
      <c r="E148" s="82" t="n"/>
      <c r="F148" s="83" t="n"/>
      <c r="G148" s="82" t="n"/>
      <c r="H148" s="83" t="n"/>
      <c r="I148" s="84" t="n"/>
      <c r="J148" s="84" t="n"/>
      <c r="K148" s="82" t="n"/>
      <c r="L148" s="86" t="n"/>
      <c r="M148" s="90">
        <f>IF($A148="","",COUNTIFS(App_Company,$A148,App_Stage,"&gt;=1"))</f>
        <v/>
      </c>
      <c r="N148" s="90">
        <f>IF($A148="","",COUNTIFS(App_Company,$A148,App_ActiveKey,"&gt;0"))</f>
        <v/>
      </c>
      <c r="O148" s="90">
        <f>IF($A148="","",COUNTIF(Ct_Company,$A148))</f>
        <v/>
      </c>
    </row>
    <row r="149">
      <c r="A149" s="82" t="n"/>
      <c r="B149" s="82" t="n"/>
      <c r="C149" s="82" t="n"/>
      <c r="D149" s="84" t="n"/>
      <c r="E149" s="82" t="n"/>
      <c r="F149" s="83" t="n"/>
      <c r="G149" s="82" t="n"/>
      <c r="H149" s="83" t="n"/>
      <c r="I149" s="84" t="n"/>
      <c r="J149" s="84" t="n"/>
      <c r="K149" s="82" t="n"/>
      <c r="L149" s="86" t="n"/>
      <c r="M149" s="90">
        <f>IF($A149="","",COUNTIFS(App_Company,$A149,App_Stage,"&gt;=1"))</f>
        <v/>
      </c>
      <c r="N149" s="90">
        <f>IF($A149="","",COUNTIFS(App_Company,$A149,App_ActiveKey,"&gt;0"))</f>
        <v/>
      </c>
      <c r="O149" s="90">
        <f>IF($A149="","",COUNTIF(Ct_Company,$A149))</f>
        <v/>
      </c>
    </row>
    <row r="150">
      <c r="A150" s="82" t="n"/>
      <c r="B150" s="82" t="n"/>
      <c r="C150" s="82" t="n"/>
      <c r="D150" s="84" t="n"/>
      <c r="E150" s="82" t="n"/>
      <c r="F150" s="83" t="n"/>
      <c r="G150" s="82" t="n"/>
      <c r="H150" s="83" t="n"/>
      <c r="I150" s="84" t="n"/>
      <c r="J150" s="84" t="n"/>
      <c r="K150" s="82" t="n"/>
      <c r="L150" s="86" t="n"/>
      <c r="M150" s="90">
        <f>IF($A150="","",COUNTIFS(App_Company,$A150,App_Stage,"&gt;=1"))</f>
        <v/>
      </c>
      <c r="N150" s="90">
        <f>IF($A150="","",COUNTIFS(App_Company,$A150,App_ActiveKey,"&gt;0"))</f>
        <v/>
      </c>
      <c r="O150" s="90">
        <f>IF($A150="","",COUNTIF(Ct_Company,$A150))</f>
        <v/>
      </c>
    </row>
    <row r="151">
      <c r="A151" s="82" t="n"/>
      <c r="B151" s="82" t="n"/>
      <c r="C151" s="82" t="n"/>
      <c r="D151" s="84" t="n"/>
      <c r="E151" s="82" t="n"/>
      <c r="F151" s="83" t="n"/>
      <c r="G151" s="82" t="n"/>
      <c r="H151" s="83" t="n"/>
      <c r="I151" s="84" t="n"/>
      <c r="J151" s="84" t="n"/>
      <c r="K151" s="82" t="n"/>
      <c r="L151" s="86" t="n"/>
      <c r="M151" s="90">
        <f>IF($A151="","",COUNTIFS(App_Company,$A151,App_Stage,"&gt;=1"))</f>
        <v/>
      </c>
      <c r="N151" s="90">
        <f>IF($A151="","",COUNTIFS(App_Company,$A151,App_ActiveKey,"&gt;0"))</f>
        <v/>
      </c>
      <c r="O151" s="90">
        <f>IF($A151="","",COUNTIF(Ct_Company,$A151))</f>
        <v/>
      </c>
    </row>
    <row r="152">
      <c r="A152" s="82" t="n"/>
      <c r="B152" s="82" t="n"/>
      <c r="C152" s="82" t="n"/>
      <c r="D152" s="84" t="n"/>
      <c r="E152" s="82" t="n"/>
      <c r="F152" s="83" t="n"/>
      <c r="G152" s="82" t="n"/>
      <c r="H152" s="83" t="n"/>
      <c r="I152" s="84" t="n"/>
      <c r="J152" s="84" t="n"/>
      <c r="K152" s="82" t="n"/>
      <c r="L152" s="86" t="n"/>
      <c r="M152" s="90">
        <f>IF($A152="","",COUNTIFS(App_Company,$A152,App_Stage,"&gt;=1"))</f>
        <v/>
      </c>
      <c r="N152" s="90">
        <f>IF($A152="","",COUNTIFS(App_Company,$A152,App_ActiveKey,"&gt;0"))</f>
        <v/>
      </c>
      <c r="O152" s="90">
        <f>IF($A152="","",COUNTIF(Ct_Company,$A152))</f>
        <v/>
      </c>
    </row>
    <row r="153">
      <c r="A153" s="82" t="n"/>
      <c r="B153" s="82" t="n"/>
      <c r="C153" s="82" t="n"/>
      <c r="D153" s="84" t="n"/>
      <c r="E153" s="82" t="n"/>
      <c r="F153" s="83" t="n"/>
      <c r="G153" s="82" t="n"/>
      <c r="H153" s="83" t="n"/>
      <c r="I153" s="84" t="n"/>
      <c r="J153" s="84" t="n"/>
      <c r="K153" s="82" t="n"/>
      <c r="L153" s="86" t="n"/>
      <c r="M153" s="90">
        <f>IF($A153="","",COUNTIFS(App_Company,$A153,App_Stage,"&gt;=1"))</f>
        <v/>
      </c>
      <c r="N153" s="90">
        <f>IF($A153="","",COUNTIFS(App_Company,$A153,App_ActiveKey,"&gt;0"))</f>
        <v/>
      </c>
      <c r="O153" s="90">
        <f>IF($A153="","",COUNTIF(Ct_Company,$A153))</f>
        <v/>
      </c>
    </row>
    <row r="154">
      <c r="A154" s="82" t="n"/>
      <c r="B154" s="82" t="n"/>
      <c r="C154" s="82" t="n"/>
      <c r="D154" s="84" t="n"/>
      <c r="E154" s="82" t="n"/>
      <c r="F154" s="83" t="n"/>
      <c r="G154" s="82" t="n"/>
      <c r="H154" s="83" t="n"/>
      <c r="I154" s="84" t="n"/>
      <c r="J154" s="84" t="n"/>
      <c r="K154" s="82" t="n"/>
      <c r="L154" s="86" t="n"/>
      <c r="M154" s="90">
        <f>IF($A154="","",COUNTIFS(App_Company,$A154,App_Stage,"&gt;=1"))</f>
        <v/>
      </c>
      <c r="N154" s="90">
        <f>IF($A154="","",COUNTIFS(App_Company,$A154,App_ActiveKey,"&gt;0"))</f>
        <v/>
      </c>
      <c r="O154" s="90">
        <f>IF($A154="","",COUNTIF(Ct_Company,$A154))</f>
        <v/>
      </c>
    </row>
    <row r="155">
      <c r="A155" s="82" t="n"/>
      <c r="B155" s="82" t="n"/>
      <c r="C155" s="82" t="n"/>
      <c r="D155" s="84" t="n"/>
      <c r="E155" s="82" t="n"/>
      <c r="F155" s="83" t="n"/>
      <c r="G155" s="82" t="n"/>
      <c r="H155" s="83" t="n"/>
      <c r="I155" s="84" t="n"/>
      <c r="J155" s="84" t="n"/>
      <c r="K155" s="82" t="n"/>
      <c r="L155" s="86" t="n"/>
      <c r="M155" s="90">
        <f>IF($A155="","",COUNTIFS(App_Company,$A155,App_Stage,"&gt;=1"))</f>
        <v/>
      </c>
      <c r="N155" s="90">
        <f>IF($A155="","",COUNTIFS(App_Company,$A155,App_ActiveKey,"&gt;0"))</f>
        <v/>
      </c>
      <c r="O155" s="90">
        <f>IF($A155="","",COUNTIF(Ct_Company,$A155))</f>
        <v/>
      </c>
    </row>
    <row r="156">
      <c r="A156" s="82" t="n"/>
      <c r="B156" s="82" t="n"/>
      <c r="C156" s="82" t="n"/>
      <c r="D156" s="84" t="n"/>
      <c r="E156" s="82" t="n"/>
      <c r="F156" s="83" t="n"/>
      <c r="G156" s="82" t="n"/>
      <c r="H156" s="83" t="n"/>
      <c r="I156" s="84" t="n"/>
      <c r="J156" s="84" t="n"/>
      <c r="K156" s="82" t="n"/>
      <c r="L156" s="86" t="n"/>
      <c r="M156" s="90">
        <f>IF($A156="","",COUNTIFS(App_Company,$A156,App_Stage,"&gt;=1"))</f>
        <v/>
      </c>
      <c r="N156" s="90">
        <f>IF($A156="","",COUNTIFS(App_Company,$A156,App_ActiveKey,"&gt;0"))</f>
        <v/>
      </c>
      <c r="O156" s="90">
        <f>IF($A156="","",COUNTIF(Ct_Company,$A156))</f>
        <v/>
      </c>
    </row>
    <row r="157">
      <c r="A157" s="82" t="n"/>
      <c r="B157" s="82" t="n"/>
      <c r="C157" s="82" t="n"/>
      <c r="D157" s="84" t="n"/>
      <c r="E157" s="82" t="n"/>
      <c r="F157" s="83" t="n"/>
      <c r="G157" s="82" t="n"/>
      <c r="H157" s="83" t="n"/>
      <c r="I157" s="84" t="n"/>
      <c r="J157" s="84" t="n"/>
      <c r="K157" s="82" t="n"/>
      <c r="L157" s="86" t="n"/>
      <c r="M157" s="90">
        <f>IF($A157="","",COUNTIFS(App_Company,$A157,App_Stage,"&gt;=1"))</f>
        <v/>
      </c>
      <c r="N157" s="90">
        <f>IF($A157="","",COUNTIFS(App_Company,$A157,App_ActiveKey,"&gt;0"))</f>
        <v/>
      </c>
      <c r="O157" s="90">
        <f>IF($A157="","",COUNTIF(Ct_Company,$A157))</f>
        <v/>
      </c>
    </row>
    <row r="158">
      <c r="A158" s="82" t="n"/>
      <c r="B158" s="82" t="n"/>
      <c r="C158" s="82" t="n"/>
      <c r="D158" s="84" t="n"/>
      <c r="E158" s="82" t="n"/>
      <c r="F158" s="83" t="n"/>
      <c r="G158" s="82" t="n"/>
      <c r="H158" s="83" t="n"/>
      <c r="I158" s="84" t="n"/>
      <c r="J158" s="84" t="n"/>
      <c r="K158" s="82" t="n"/>
      <c r="L158" s="86" t="n"/>
      <c r="M158" s="90">
        <f>IF($A158="","",COUNTIFS(App_Company,$A158,App_Stage,"&gt;=1"))</f>
        <v/>
      </c>
      <c r="N158" s="90">
        <f>IF($A158="","",COUNTIFS(App_Company,$A158,App_ActiveKey,"&gt;0"))</f>
        <v/>
      </c>
      <c r="O158" s="90">
        <f>IF($A158="","",COUNTIF(Ct_Company,$A158))</f>
        <v/>
      </c>
    </row>
    <row r="159">
      <c r="A159" s="82" t="n"/>
      <c r="B159" s="82" t="n"/>
      <c r="C159" s="82" t="n"/>
      <c r="D159" s="84" t="n"/>
      <c r="E159" s="82" t="n"/>
      <c r="F159" s="83" t="n"/>
      <c r="G159" s="82" t="n"/>
      <c r="H159" s="83" t="n"/>
      <c r="I159" s="84" t="n"/>
      <c r="J159" s="84" t="n"/>
      <c r="K159" s="82" t="n"/>
      <c r="L159" s="86" t="n"/>
      <c r="M159" s="90">
        <f>IF($A159="","",COUNTIFS(App_Company,$A159,App_Stage,"&gt;=1"))</f>
        <v/>
      </c>
      <c r="N159" s="90">
        <f>IF($A159="","",COUNTIFS(App_Company,$A159,App_ActiveKey,"&gt;0"))</f>
        <v/>
      </c>
      <c r="O159" s="90">
        <f>IF($A159="","",COUNTIF(Ct_Company,$A159))</f>
        <v/>
      </c>
    </row>
    <row r="160">
      <c r="A160" s="82" t="n"/>
      <c r="B160" s="82" t="n"/>
      <c r="C160" s="82" t="n"/>
      <c r="D160" s="84" t="n"/>
      <c r="E160" s="82" t="n"/>
      <c r="F160" s="83" t="n"/>
      <c r="G160" s="82" t="n"/>
      <c r="H160" s="83" t="n"/>
      <c r="I160" s="84" t="n"/>
      <c r="J160" s="84" t="n"/>
      <c r="K160" s="82" t="n"/>
      <c r="L160" s="86" t="n"/>
      <c r="M160" s="90">
        <f>IF($A160="","",COUNTIFS(App_Company,$A160,App_Stage,"&gt;=1"))</f>
        <v/>
      </c>
      <c r="N160" s="90">
        <f>IF($A160="","",COUNTIFS(App_Company,$A160,App_ActiveKey,"&gt;0"))</f>
        <v/>
      </c>
      <c r="O160" s="90">
        <f>IF($A160="","",COUNTIF(Ct_Company,$A160))</f>
        <v/>
      </c>
    </row>
    <row r="161">
      <c r="A161" s="82" t="n"/>
      <c r="B161" s="82" t="n"/>
      <c r="C161" s="82" t="n"/>
      <c r="D161" s="84" t="n"/>
      <c r="E161" s="82" t="n"/>
      <c r="F161" s="83" t="n"/>
      <c r="G161" s="82" t="n"/>
      <c r="H161" s="83" t="n"/>
      <c r="I161" s="84" t="n"/>
      <c r="J161" s="84" t="n"/>
      <c r="K161" s="82" t="n"/>
      <c r="L161" s="86" t="n"/>
      <c r="M161" s="90">
        <f>IF($A161="","",COUNTIFS(App_Company,$A161,App_Stage,"&gt;=1"))</f>
        <v/>
      </c>
      <c r="N161" s="90">
        <f>IF($A161="","",COUNTIFS(App_Company,$A161,App_ActiveKey,"&gt;0"))</f>
        <v/>
      </c>
      <c r="O161" s="90">
        <f>IF($A161="","",COUNTIF(Ct_Company,$A161))</f>
        <v/>
      </c>
    </row>
    <row r="162">
      <c r="A162" s="82" t="n"/>
      <c r="B162" s="82" t="n"/>
      <c r="C162" s="82" t="n"/>
      <c r="D162" s="84" t="n"/>
      <c r="E162" s="82" t="n"/>
      <c r="F162" s="83" t="n"/>
      <c r="G162" s="82" t="n"/>
      <c r="H162" s="83" t="n"/>
      <c r="I162" s="84" t="n"/>
      <c r="J162" s="84" t="n"/>
      <c r="K162" s="82" t="n"/>
      <c r="L162" s="86" t="n"/>
      <c r="M162" s="90">
        <f>IF($A162="","",COUNTIFS(App_Company,$A162,App_Stage,"&gt;=1"))</f>
        <v/>
      </c>
      <c r="N162" s="90">
        <f>IF($A162="","",COUNTIFS(App_Company,$A162,App_ActiveKey,"&gt;0"))</f>
        <v/>
      </c>
      <c r="O162" s="90">
        <f>IF($A162="","",COUNTIF(Ct_Company,$A162))</f>
        <v/>
      </c>
    </row>
    <row r="163">
      <c r="A163" s="82" t="n"/>
      <c r="B163" s="82" t="n"/>
      <c r="C163" s="82" t="n"/>
      <c r="D163" s="84" t="n"/>
      <c r="E163" s="82" t="n"/>
      <c r="F163" s="83" t="n"/>
      <c r="G163" s="82" t="n"/>
      <c r="H163" s="83" t="n"/>
      <c r="I163" s="84" t="n"/>
      <c r="J163" s="84" t="n"/>
      <c r="K163" s="82" t="n"/>
      <c r="L163" s="86" t="n"/>
      <c r="M163" s="90">
        <f>IF($A163="","",COUNTIFS(App_Company,$A163,App_Stage,"&gt;=1"))</f>
        <v/>
      </c>
      <c r="N163" s="90">
        <f>IF($A163="","",COUNTIFS(App_Company,$A163,App_ActiveKey,"&gt;0"))</f>
        <v/>
      </c>
      <c r="O163" s="90">
        <f>IF($A163="","",COUNTIF(Ct_Company,$A163))</f>
        <v/>
      </c>
    </row>
    <row r="164">
      <c r="A164" s="82" t="n"/>
      <c r="B164" s="82" t="n"/>
      <c r="C164" s="82" t="n"/>
      <c r="D164" s="84" t="n"/>
      <c r="E164" s="82" t="n"/>
      <c r="F164" s="83" t="n"/>
      <c r="G164" s="82" t="n"/>
      <c r="H164" s="83" t="n"/>
      <c r="I164" s="84" t="n"/>
      <c r="J164" s="84" t="n"/>
      <c r="K164" s="82" t="n"/>
      <c r="L164" s="86" t="n"/>
      <c r="M164" s="90">
        <f>IF($A164="","",COUNTIFS(App_Company,$A164,App_Stage,"&gt;=1"))</f>
        <v/>
      </c>
      <c r="N164" s="90">
        <f>IF($A164="","",COUNTIFS(App_Company,$A164,App_ActiveKey,"&gt;0"))</f>
        <v/>
      </c>
      <c r="O164" s="90">
        <f>IF($A164="","",COUNTIF(Ct_Company,$A164))</f>
        <v/>
      </c>
    </row>
    <row r="165">
      <c r="A165" s="82" t="n"/>
      <c r="B165" s="82" t="n"/>
      <c r="C165" s="82" t="n"/>
      <c r="D165" s="84" t="n"/>
      <c r="E165" s="82" t="n"/>
      <c r="F165" s="83" t="n"/>
      <c r="G165" s="82" t="n"/>
      <c r="H165" s="83" t="n"/>
      <c r="I165" s="84" t="n"/>
      <c r="J165" s="84" t="n"/>
      <c r="K165" s="82" t="n"/>
      <c r="L165" s="86" t="n"/>
      <c r="M165" s="90">
        <f>IF($A165="","",COUNTIFS(App_Company,$A165,App_Stage,"&gt;=1"))</f>
        <v/>
      </c>
      <c r="N165" s="90">
        <f>IF($A165="","",COUNTIFS(App_Company,$A165,App_ActiveKey,"&gt;0"))</f>
        <v/>
      </c>
      <c r="O165" s="90">
        <f>IF($A165="","",COUNTIF(Ct_Company,$A165))</f>
        <v/>
      </c>
    </row>
    <row r="166">
      <c r="A166" s="82" t="n"/>
      <c r="B166" s="82" t="n"/>
      <c r="C166" s="82" t="n"/>
      <c r="D166" s="84" t="n"/>
      <c r="E166" s="82" t="n"/>
      <c r="F166" s="83" t="n"/>
      <c r="G166" s="82" t="n"/>
      <c r="H166" s="83" t="n"/>
      <c r="I166" s="84" t="n"/>
      <c r="J166" s="84" t="n"/>
      <c r="K166" s="82" t="n"/>
      <c r="L166" s="86" t="n"/>
      <c r="M166" s="90">
        <f>IF($A166="","",COUNTIFS(App_Company,$A166,App_Stage,"&gt;=1"))</f>
        <v/>
      </c>
      <c r="N166" s="90">
        <f>IF($A166="","",COUNTIFS(App_Company,$A166,App_ActiveKey,"&gt;0"))</f>
        <v/>
      </c>
      <c r="O166" s="90">
        <f>IF($A166="","",COUNTIF(Ct_Company,$A166))</f>
        <v/>
      </c>
    </row>
    <row r="167">
      <c r="A167" s="82" t="n"/>
      <c r="B167" s="82" t="n"/>
      <c r="C167" s="82" t="n"/>
      <c r="D167" s="84" t="n"/>
      <c r="E167" s="82" t="n"/>
      <c r="F167" s="83" t="n"/>
      <c r="G167" s="82" t="n"/>
      <c r="H167" s="83" t="n"/>
      <c r="I167" s="84" t="n"/>
      <c r="J167" s="84" t="n"/>
      <c r="K167" s="82" t="n"/>
      <c r="L167" s="86" t="n"/>
      <c r="M167" s="90">
        <f>IF($A167="","",COUNTIFS(App_Company,$A167,App_Stage,"&gt;=1"))</f>
        <v/>
      </c>
      <c r="N167" s="90">
        <f>IF($A167="","",COUNTIFS(App_Company,$A167,App_ActiveKey,"&gt;0"))</f>
        <v/>
      </c>
      <c r="O167" s="90">
        <f>IF($A167="","",COUNTIF(Ct_Company,$A167))</f>
        <v/>
      </c>
    </row>
    <row r="168">
      <c r="A168" s="82" t="n"/>
      <c r="B168" s="82" t="n"/>
      <c r="C168" s="82" t="n"/>
      <c r="D168" s="84" t="n"/>
      <c r="E168" s="82" t="n"/>
      <c r="F168" s="83" t="n"/>
      <c r="G168" s="82" t="n"/>
      <c r="H168" s="83" t="n"/>
      <c r="I168" s="84" t="n"/>
      <c r="J168" s="84" t="n"/>
      <c r="K168" s="82" t="n"/>
      <c r="L168" s="86" t="n"/>
      <c r="M168" s="90">
        <f>IF($A168="","",COUNTIFS(App_Company,$A168,App_Stage,"&gt;=1"))</f>
        <v/>
      </c>
      <c r="N168" s="90">
        <f>IF($A168="","",COUNTIFS(App_Company,$A168,App_ActiveKey,"&gt;0"))</f>
        <v/>
      </c>
      <c r="O168" s="90">
        <f>IF($A168="","",COUNTIF(Ct_Company,$A168))</f>
        <v/>
      </c>
    </row>
    <row r="169">
      <c r="A169" s="82" t="n"/>
      <c r="B169" s="82" t="n"/>
      <c r="C169" s="82" t="n"/>
      <c r="D169" s="84" t="n"/>
      <c r="E169" s="82" t="n"/>
      <c r="F169" s="83" t="n"/>
      <c r="G169" s="82" t="n"/>
      <c r="H169" s="83" t="n"/>
      <c r="I169" s="84" t="n"/>
      <c r="J169" s="84" t="n"/>
      <c r="K169" s="82" t="n"/>
      <c r="L169" s="86" t="n"/>
      <c r="M169" s="90">
        <f>IF($A169="","",COUNTIFS(App_Company,$A169,App_Stage,"&gt;=1"))</f>
        <v/>
      </c>
      <c r="N169" s="90">
        <f>IF($A169="","",COUNTIFS(App_Company,$A169,App_ActiveKey,"&gt;0"))</f>
        <v/>
      </c>
      <c r="O169" s="90">
        <f>IF($A169="","",COUNTIF(Ct_Company,$A169))</f>
        <v/>
      </c>
    </row>
    <row r="170">
      <c r="A170" s="82" t="n"/>
      <c r="B170" s="82" t="n"/>
      <c r="C170" s="82" t="n"/>
      <c r="D170" s="84" t="n"/>
      <c r="E170" s="82" t="n"/>
      <c r="F170" s="83" t="n"/>
      <c r="G170" s="82" t="n"/>
      <c r="H170" s="83" t="n"/>
      <c r="I170" s="84" t="n"/>
      <c r="J170" s="84" t="n"/>
      <c r="K170" s="82" t="n"/>
      <c r="L170" s="86" t="n"/>
      <c r="M170" s="90">
        <f>IF($A170="","",COUNTIFS(App_Company,$A170,App_Stage,"&gt;=1"))</f>
        <v/>
      </c>
      <c r="N170" s="90">
        <f>IF($A170="","",COUNTIFS(App_Company,$A170,App_ActiveKey,"&gt;0"))</f>
        <v/>
      </c>
      <c r="O170" s="90">
        <f>IF($A170="","",COUNTIF(Ct_Company,$A170))</f>
        <v/>
      </c>
    </row>
    <row r="171">
      <c r="A171" s="82" t="n"/>
      <c r="B171" s="82" t="n"/>
      <c r="C171" s="82" t="n"/>
      <c r="D171" s="84" t="n"/>
      <c r="E171" s="82" t="n"/>
      <c r="F171" s="83" t="n"/>
      <c r="G171" s="82" t="n"/>
      <c r="H171" s="83" t="n"/>
      <c r="I171" s="84" t="n"/>
      <c r="J171" s="84" t="n"/>
      <c r="K171" s="82" t="n"/>
      <c r="L171" s="86" t="n"/>
      <c r="M171" s="90">
        <f>IF($A171="","",COUNTIFS(App_Company,$A171,App_Stage,"&gt;=1"))</f>
        <v/>
      </c>
      <c r="N171" s="90">
        <f>IF($A171="","",COUNTIFS(App_Company,$A171,App_ActiveKey,"&gt;0"))</f>
        <v/>
      </c>
      <c r="O171" s="90">
        <f>IF($A171="","",COUNTIF(Ct_Company,$A171))</f>
        <v/>
      </c>
    </row>
    <row r="172">
      <c r="A172" s="82" t="n"/>
      <c r="B172" s="82" t="n"/>
      <c r="C172" s="82" t="n"/>
      <c r="D172" s="84" t="n"/>
      <c r="E172" s="82" t="n"/>
      <c r="F172" s="83" t="n"/>
      <c r="G172" s="82" t="n"/>
      <c r="H172" s="83" t="n"/>
      <c r="I172" s="84" t="n"/>
      <c r="J172" s="84" t="n"/>
      <c r="K172" s="82" t="n"/>
      <c r="L172" s="86" t="n"/>
      <c r="M172" s="90">
        <f>IF($A172="","",COUNTIFS(App_Company,$A172,App_Stage,"&gt;=1"))</f>
        <v/>
      </c>
      <c r="N172" s="90">
        <f>IF($A172="","",COUNTIFS(App_Company,$A172,App_ActiveKey,"&gt;0"))</f>
        <v/>
      </c>
      <c r="O172" s="90">
        <f>IF($A172="","",COUNTIF(Ct_Company,$A172))</f>
        <v/>
      </c>
    </row>
    <row r="173">
      <c r="A173" s="82" t="n"/>
      <c r="B173" s="82" t="n"/>
      <c r="C173" s="82" t="n"/>
      <c r="D173" s="84" t="n"/>
      <c r="E173" s="82" t="n"/>
      <c r="F173" s="83" t="n"/>
      <c r="G173" s="82" t="n"/>
      <c r="H173" s="83" t="n"/>
      <c r="I173" s="84" t="n"/>
      <c r="J173" s="84" t="n"/>
      <c r="K173" s="82" t="n"/>
      <c r="L173" s="86" t="n"/>
      <c r="M173" s="90">
        <f>IF($A173="","",COUNTIFS(App_Company,$A173,App_Stage,"&gt;=1"))</f>
        <v/>
      </c>
      <c r="N173" s="90">
        <f>IF($A173="","",COUNTIFS(App_Company,$A173,App_ActiveKey,"&gt;0"))</f>
        <v/>
      </c>
      <c r="O173" s="90">
        <f>IF($A173="","",COUNTIF(Ct_Company,$A173))</f>
        <v/>
      </c>
    </row>
    <row r="174">
      <c r="A174" s="82" t="n"/>
      <c r="B174" s="82" t="n"/>
      <c r="C174" s="82" t="n"/>
      <c r="D174" s="84" t="n"/>
      <c r="E174" s="82" t="n"/>
      <c r="F174" s="83" t="n"/>
      <c r="G174" s="82" t="n"/>
      <c r="H174" s="83" t="n"/>
      <c r="I174" s="84" t="n"/>
      <c r="J174" s="84" t="n"/>
      <c r="K174" s="82" t="n"/>
      <c r="L174" s="86" t="n"/>
      <c r="M174" s="90">
        <f>IF($A174="","",COUNTIFS(App_Company,$A174,App_Stage,"&gt;=1"))</f>
        <v/>
      </c>
      <c r="N174" s="90">
        <f>IF($A174="","",COUNTIFS(App_Company,$A174,App_ActiveKey,"&gt;0"))</f>
        <v/>
      </c>
      <c r="O174" s="90">
        <f>IF($A174="","",COUNTIF(Ct_Company,$A174))</f>
        <v/>
      </c>
    </row>
    <row r="175">
      <c r="A175" s="82" t="n"/>
      <c r="B175" s="82" t="n"/>
      <c r="C175" s="82" t="n"/>
      <c r="D175" s="84" t="n"/>
      <c r="E175" s="82" t="n"/>
      <c r="F175" s="83" t="n"/>
      <c r="G175" s="82" t="n"/>
      <c r="H175" s="83" t="n"/>
      <c r="I175" s="84" t="n"/>
      <c r="J175" s="84" t="n"/>
      <c r="K175" s="82" t="n"/>
      <c r="L175" s="86" t="n"/>
      <c r="M175" s="90">
        <f>IF($A175="","",COUNTIFS(App_Company,$A175,App_Stage,"&gt;=1"))</f>
        <v/>
      </c>
      <c r="N175" s="90">
        <f>IF($A175="","",COUNTIFS(App_Company,$A175,App_ActiveKey,"&gt;0"))</f>
        <v/>
      </c>
      <c r="O175" s="90">
        <f>IF($A175="","",COUNTIF(Ct_Company,$A175))</f>
        <v/>
      </c>
    </row>
    <row r="176">
      <c r="A176" s="82" t="n"/>
      <c r="B176" s="82" t="n"/>
      <c r="C176" s="82" t="n"/>
      <c r="D176" s="84" t="n"/>
      <c r="E176" s="82" t="n"/>
      <c r="F176" s="83" t="n"/>
      <c r="G176" s="82" t="n"/>
      <c r="H176" s="83" t="n"/>
      <c r="I176" s="84" t="n"/>
      <c r="J176" s="84" t="n"/>
      <c r="K176" s="82" t="n"/>
      <c r="L176" s="86" t="n"/>
      <c r="M176" s="90">
        <f>IF($A176="","",COUNTIFS(App_Company,$A176,App_Stage,"&gt;=1"))</f>
        <v/>
      </c>
      <c r="N176" s="90">
        <f>IF($A176="","",COUNTIFS(App_Company,$A176,App_ActiveKey,"&gt;0"))</f>
        <v/>
      </c>
      <c r="O176" s="90">
        <f>IF($A176="","",COUNTIF(Ct_Company,$A176))</f>
        <v/>
      </c>
    </row>
    <row r="177">
      <c r="A177" s="82" t="n"/>
      <c r="B177" s="82" t="n"/>
      <c r="C177" s="82" t="n"/>
      <c r="D177" s="84" t="n"/>
      <c r="E177" s="82" t="n"/>
      <c r="F177" s="83" t="n"/>
      <c r="G177" s="82" t="n"/>
      <c r="H177" s="83" t="n"/>
      <c r="I177" s="84" t="n"/>
      <c r="J177" s="84" t="n"/>
      <c r="K177" s="82" t="n"/>
      <c r="L177" s="86" t="n"/>
      <c r="M177" s="90">
        <f>IF($A177="","",COUNTIFS(App_Company,$A177,App_Stage,"&gt;=1"))</f>
        <v/>
      </c>
      <c r="N177" s="90">
        <f>IF($A177="","",COUNTIFS(App_Company,$A177,App_ActiveKey,"&gt;0"))</f>
        <v/>
      </c>
      <c r="O177" s="90">
        <f>IF($A177="","",COUNTIF(Ct_Company,$A177))</f>
        <v/>
      </c>
    </row>
    <row r="178">
      <c r="A178" s="82" t="n"/>
      <c r="B178" s="82" t="n"/>
      <c r="C178" s="82" t="n"/>
      <c r="D178" s="84" t="n"/>
      <c r="E178" s="82" t="n"/>
      <c r="F178" s="83" t="n"/>
      <c r="G178" s="82" t="n"/>
      <c r="H178" s="83" t="n"/>
      <c r="I178" s="84" t="n"/>
      <c r="J178" s="84" t="n"/>
      <c r="K178" s="82" t="n"/>
      <c r="L178" s="86" t="n"/>
      <c r="M178" s="90">
        <f>IF($A178="","",COUNTIFS(App_Company,$A178,App_Stage,"&gt;=1"))</f>
        <v/>
      </c>
      <c r="N178" s="90">
        <f>IF($A178="","",COUNTIFS(App_Company,$A178,App_ActiveKey,"&gt;0"))</f>
        <v/>
      </c>
      <c r="O178" s="90">
        <f>IF($A178="","",COUNTIF(Ct_Company,$A178))</f>
        <v/>
      </c>
    </row>
    <row r="179">
      <c r="A179" s="82" t="n"/>
      <c r="B179" s="82" t="n"/>
      <c r="C179" s="82" t="n"/>
      <c r="D179" s="84" t="n"/>
      <c r="E179" s="82" t="n"/>
      <c r="F179" s="83" t="n"/>
      <c r="G179" s="82" t="n"/>
      <c r="H179" s="83" t="n"/>
      <c r="I179" s="84" t="n"/>
      <c r="J179" s="84" t="n"/>
      <c r="K179" s="82" t="n"/>
      <c r="L179" s="86" t="n"/>
      <c r="M179" s="90">
        <f>IF($A179="","",COUNTIFS(App_Company,$A179,App_Stage,"&gt;=1"))</f>
        <v/>
      </c>
      <c r="N179" s="90">
        <f>IF($A179="","",COUNTIFS(App_Company,$A179,App_ActiveKey,"&gt;0"))</f>
        <v/>
      </c>
      <c r="O179" s="90">
        <f>IF($A179="","",COUNTIF(Ct_Company,$A179))</f>
        <v/>
      </c>
    </row>
    <row r="180">
      <c r="A180" s="82" t="n"/>
      <c r="B180" s="82" t="n"/>
      <c r="C180" s="82" t="n"/>
      <c r="D180" s="84" t="n"/>
      <c r="E180" s="82" t="n"/>
      <c r="F180" s="83" t="n"/>
      <c r="G180" s="82" t="n"/>
      <c r="H180" s="83" t="n"/>
      <c r="I180" s="84" t="n"/>
      <c r="J180" s="84" t="n"/>
      <c r="K180" s="82" t="n"/>
      <c r="L180" s="86" t="n"/>
      <c r="M180" s="90">
        <f>IF($A180="","",COUNTIFS(App_Company,$A180,App_Stage,"&gt;=1"))</f>
        <v/>
      </c>
      <c r="N180" s="90">
        <f>IF($A180="","",COUNTIFS(App_Company,$A180,App_ActiveKey,"&gt;0"))</f>
        <v/>
      </c>
      <c r="O180" s="90">
        <f>IF($A180="","",COUNTIF(Ct_Company,$A180))</f>
        <v/>
      </c>
    </row>
    <row r="181">
      <c r="A181" s="82" t="n"/>
      <c r="B181" s="82" t="n"/>
      <c r="C181" s="82" t="n"/>
      <c r="D181" s="84" t="n"/>
      <c r="E181" s="82" t="n"/>
      <c r="F181" s="83" t="n"/>
      <c r="G181" s="82" t="n"/>
      <c r="H181" s="83" t="n"/>
      <c r="I181" s="84" t="n"/>
      <c r="J181" s="84" t="n"/>
      <c r="K181" s="82" t="n"/>
      <c r="L181" s="86" t="n"/>
      <c r="M181" s="90">
        <f>IF($A181="","",COUNTIFS(App_Company,$A181,App_Stage,"&gt;=1"))</f>
        <v/>
      </c>
      <c r="N181" s="90">
        <f>IF($A181="","",COUNTIFS(App_Company,$A181,App_ActiveKey,"&gt;0"))</f>
        <v/>
      </c>
      <c r="O181" s="90">
        <f>IF($A181="","",COUNTIF(Ct_Company,$A181))</f>
        <v/>
      </c>
    </row>
    <row r="182">
      <c r="A182" s="82" t="n"/>
      <c r="B182" s="82" t="n"/>
      <c r="C182" s="82" t="n"/>
      <c r="D182" s="84" t="n"/>
      <c r="E182" s="82" t="n"/>
      <c r="F182" s="83" t="n"/>
      <c r="G182" s="82" t="n"/>
      <c r="H182" s="83" t="n"/>
      <c r="I182" s="84" t="n"/>
      <c r="J182" s="84" t="n"/>
      <c r="K182" s="82" t="n"/>
      <c r="L182" s="86" t="n"/>
      <c r="M182" s="90">
        <f>IF($A182="","",COUNTIFS(App_Company,$A182,App_Stage,"&gt;=1"))</f>
        <v/>
      </c>
      <c r="N182" s="90">
        <f>IF($A182="","",COUNTIFS(App_Company,$A182,App_ActiveKey,"&gt;0"))</f>
        <v/>
      </c>
      <c r="O182" s="90">
        <f>IF($A182="","",COUNTIF(Ct_Company,$A182))</f>
        <v/>
      </c>
    </row>
    <row r="183">
      <c r="A183" s="82" t="n"/>
      <c r="B183" s="82" t="n"/>
      <c r="C183" s="82" t="n"/>
      <c r="D183" s="84" t="n"/>
      <c r="E183" s="82" t="n"/>
      <c r="F183" s="83" t="n"/>
      <c r="G183" s="82" t="n"/>
      <c r="H183" s="83" t="n"/>
      <c r="I183" s="84" t="n"/>
      <c r="J183" s="84" t="n"/>
      <c r="K183" s="82" t="n"/>
      <c r="L183" s="86" t="n"/>
      <c r="M183" s="90">
        <f>IF($A183="","",COUNTIFS(App_Company,$A183,App_Stage,"&gt;=1"))</f>
        <v/>
      </c>
      <c r="N183" s="90">
        <f>IF($A183="","",COUNTIFS(App_Company,$A183,App_ActiveKey,"&gt;0"))</f>
        <v/>
      </c>
      <c r="O183" s="90">
        <f>IF($A183="","",COUNTIF(Ct_Company,$A183))</f>
        <v/>
      </c>
    </row>
    <row r="184">
      <c r="A184" s="82" t="n"/>
      <c r="B184" s="82" t="n"/>
      <c r="C184" s="82" t="n"/>
      <c r="D184" s="84" t="n"/>
      <c r="E184" s="82" t="n"/>
      <c r="F184" s="83" t="n"/>
      <c r="G184" s="82" t="n"/>
      <c r="H184" s="83" t="n"/>
      <c r="I184" s="84" t="n"/>
      <c r="J184" s="84" t="n"/>
      <c r="K184" s="82" t="n"/>
      <c r="L184" s="86" t="n"/>
      <c r="M184" s="90">
        <f>IF($A184="","",COUNTIFS(App_Company,$A184,App_Stage,"&gt;=1"))</f>
        <v/>
      </c>
      <c r="N184" s="90">
        <f>IF($A184="","",COUNTIFS(App_Company,$A184,App_ActiveKey,"&gt;0"))</f>
        <v/>
      </c>
      <c r="O184" s="90">
        <f>IF($A184="","",COUNTIF(Ct_Company,$A184))</f>
        <v/>
      </c>
    </row>
    <row r="185">
      <c r="A185" s="82" t="n"/>
      <c r="B185" s="82" t="n"/>
      <c r="C185" s="82" t="n"/>
      <c r="D185" s="84" t="n"/>
      <c r="E185" s="82" t="n"/>
      <c r="F185" s="83" t="n"/>
      <c r="G185" s="82" t="n"/>
      <c r="H185" s="83" t="n"/>
      <c r="I185" s="84" t="n"/>
      <c r="J185" s="84" t="n"/>
      <c r="K185" s="82" t="n"/>
      <c r="L185" s="86" t="n"/>
      <c r="M185" s="90">
        <f>IF($A185="","",COUNTIFS(App_Company,$A185,App_Stage,"&gt;=1"))</f>
        <v/>
      </c>
      <c r="N185" s="90">
        <f>IF($A185="","",COUNTIFS(App_Company,$A185,App_ActiveKey,"&gt;0"))</f>
        <v/>
      </c>
      <c r="O185" s="90">
        <f>IF($A185="","",COUNTIF(Ct_Company,$A185))</f>
        <v/>
      </c>
    </row>
    <row r="186">
      <c r="A186" s="82" t="n"/>
      <c r="B186" s="82" t="n"/>
      <c r="C186" s="82" t="n"/>
      <c r="D186" s="84" t="n"/>
      <c r="E186" s="82" t="n"/>
      <c r="F186" s="83" t="n"/>
      <c r="G186" s="82" t="n"/>
      <c r="H186" s="83" t="n"/>
      <c r="I186" s="84" t="n"/>
      <c r="J186" s="84" t="n"/>
      <c r="K186" s="82" t="n"/>
      <c r="L186" s="86" t="n"/>
      <c r="M186" s="90">
        <f>IF($A186="","",COUNTIFS(App_Company,$A186,App_Stage,"&gt;=1"))</f>
        <v/>
      </c>
      <c r="N186" s="90">
        <f>IF($A186="","",COUNTIFS(App_Company,$A186,App_ActiveKey,"&gt;0"))</f>
        <v/>
      </c>
      <c r="O186" s="90">
        <f>IF($A186="","",COUNTIF(Ct_Company,$A186))</f>
        <v/>
      </c>
    </row>
    <row r="187">
      <c r="A187" s="82" t="n"/>
      <c r="B187" s="82" t="n"/>
      <c r="C187" s="82" t="n"/>
      <c r="D187" s="84" t="n"/>
      <c r="E187" s="82" t="n"/>
      <c r="F187" s="83" t="n"/>
      <c r="G187" s="82" t="n"/>
      <c r="H187" s="83" t="n"/>
      <c r="I187" s="84" t="n"/>
      <c r="J187" s="84" t="n"/>
      <c r="K187" s="82" t="n"/>
      <c r="L187" s="86" t="n"/>
      <c r="M187" s="90">
        <f>IF($A187="","",COUNTIFS(App_Company,$A187,App_Stage,"&gt;=1"))</f>
        <v/>
      </c>
      <c r="N187" s="90">
        <f>IF($A187="","",COUNTIFS(App_Company,$A187,App_ActiveKey,"&gt;0"))</f>
        <v/>
      </c>
      <c r="O187" s="90">
        <f>IF($A187="","",COUNTIF(Ct_Company,$A187))</f>
        <v/>
      </c>
    </row>
    <row r="188">
      <c r="A188" s="82" t="n"/>
      <c r="B188" s="82" t="n"/>
      <c r="C188" s="82" t="n"/>
      <c r="D188" s="84" t="n"/>
      <c r="E188" s="82" t="n"/>
      <c r="F188" s="83" t="n"/>
      <c r="G188" s="82" t="n"/>
      <c r="H188" s="83" t="n"/>
      <c r="I188" s="84" t="n"/>
      <c r="J188" s="84" t="n"/>
      <c r="K188" s="82" t="n"/>
      <c r="L188" s="86" t="n"/>
      <c r="M188" s="90">
        <f>IF($A188="","",COUNTIFS(App_Company,$A188,App_Stage,"&gt;=1"))</f>
        <v/>
      </c>
      <c r="N188" s="90">
        <f>IF($A188="","",COUNTIFS(App_Company,$A188,App_ActiveKey,"&gt;0"))</f>
        <v/>
      </c>
      <c r="O188" s="90">
        <f>IF($A188="","",COUNTIF(Ct_Company,$A188))</f>
        <v/>
      </c>
    </row>
    <row r="189">
      <c r="A189" s="82" t="n"/>
      <c r="B189" s="82" t="n"/>
      <c r="C189" s="82" t="n"/>
      <c r="D189" s="84" t="n"/>
      <c r="E189" s="82" t="n"/>
      <c r="F189" s="83" t="n"/>
      <c r="G189" s="82" t="n"/>
      <c r="H189" s="83" t="n"/>
      <c r="I189" s="84" t="n"/>
      <c r="J189" s="84" t="n"/>
      <c r="K189" s="82" t="n"/>
      <c r="L189" s="86" t="n"/>
      <c r="M189" s="90">
        <f>IF($A189="","",COUNTIFS(App_Company,$A189,App_Stage,"&gt;=1"))</f>
        <v/>
      </c>
      <c r="N189" s="90">
        <f>IF($A189="","",COUNTIFS(App_Company,$A189,App_ActiveKey,"&gt;0"))</f>
        <v/>
      </c>
      <c r="O189" s="90">
        <f>IF($A189="","",COUNTIF(Ct_Company,$A189))</f>
        <v/>
      </c>
    </row>
    <row r="190">
      <c r="A190" s="82" t="n"/>
      <c r="B190" s="82" t="n"/>
      <c r="C190" s="82" t="n"/>
      <c r="D190" s="84" t="n"/>
      <c r="E190" s="82" t="n"/>
      <c r="F190" s="83" t="n"/>
      <c r="G190" s="82" t="n"/>
      <c r="H190" s="83" t="n"/>
      <c r="I190" s="84" t="n"/>
      <c r="J190" s="84" t="n"/>
      <c r="K190" s="82" t="n"/>
      <c r="L190" s="86" t="n"/>
      <c r="M190" s="90">
        <f>IF($A190="","",COUNTIFS(App_Company,$A190,App_Stage,"&gt;=1"))</f>
        <v/>
      </c>
      <c r="N190" s="90">
        <f>IF($A190="","",COUNTIFS(App_Company,$A190,App_ActiveKey,"&gt;0"))</f>
        <v/>
      </c>
      <c r="O190" s="90">
        <f>IF($A190="","",COUNTIF(Ct_Company,$A190))</f>
        <v/>
      </c>
    </row>
    <row r="191">
      <c r="A191" s="82" t="n"/>
      <c r="B191" s="82" t="n"/>
      <c r="C191" s="82" t="n"/>
      <c r="D191" s="84" t="n"/>
      <c r="E191" s="82" t="n"/>
      <c r="F191" s="83" t="n"/>
      <c r="G191" s="82" t="n"/>
      <c r="H191" s="83" t="n"/>
      <c r="I191" s="84" t="n"/>
      <c r="J191" s="84" t="n"/>
      <c r="K191" s="82" t="n"/>
      <c r="L191" s="86" t="n"/>
      <c r="M191" s="90">
        <f>IF($A191="","",COUNTIFS(App_Company,$A191,App_Stage,"&gt;=1"))</f>
        <v/>
      </c>
      <c r="N191" s="90">
        <f>IF($A191="","",COUNTIFS(App_Company,$A191,App_ActiveKey,"&gt;0"))</f>
        <v/>
      </c>
      <c r="O191" s="90">
        <f>IF($A191="","",COUNTIF(Ct_Company,$A191))</f>
        <v/>
      </c>
    </row>
    <row r="192">
      <c r="A192" s="82" t="n"/>
      <c r="B192" s="82" t="n"/>
      <c r="C192" s="82" t="n"/>
      <c r="D192" s="84" t="n"/>
      <c r="E192" s="82" t="n"/>
      <c r="F192" s="83" t="n"/>
      <c r="G192" s="82" t="n"/>
      <c r="H192" s="83" t="n"/>
      <c r="I192" s="84" t="n"/>
      <c r="J192" s="84" t="n"/>
      <c r="K192" s="82" t="n"/>
      <c r="L192" s="86" t="n"/>
      <c r="M192" s="90">
        <f>IF($A192="","",COUNTIFS(App_Company,$A192,App_Stage,"&gt;=1"))</f>
        <v/>
      </c>
      <c r="N192" s="90">
        <f>IF($A192="","",COUNTIFS(App_Company,$A192,App_ActiveKey,"&gt;0"))</f>
        <v/>
      </c>
      <c r="O192" s="90">
        <f>IF($A192="","",COUNTIF(Ct_Company,$A192))</f>
        <v/>
      </c>
    </row>
    <row r="193">
      <c r="A193" s="82" t="n"/>
      <c r="B193" s="82" t="n"/>
      <c r="C193" s="82" t="n"/>
      <c r="D193" s="84" t="n"/>
      <c r="E193" s="82" t="n"/>
      <c r="F193" s="83" t="n"/>
      <c r="G193" s="82" t="n"/>
      <c r="H193" s="83" t="n"/>
      <c r="I193" s="84" t="n"/>
      <c r="J193" s="84" t="n"/>
      <c r="K193" s="82" t="n"/>
      <c r="L193" s="86" t="n"/>
      <c r="M193" s="90">
        <f>IF($A193="","",COUNTIFS(App_Company,$A193,App_Stage,"&gt;=1"))</f>
        <v/>
      </c>
      <c r="N193" s="90">
        <f>IF($A193="","",COUNTIFS(App_Company,$A193,App_ActiveKey,"&gt;0"))</f>
        <v/>
      </c>
      <c r="O193" s="90">
        <f>IF($A193="","",COUNTIF(Ct_Company,$A193))</f>
        <v/>
      </c>
    </row>
    <row r="194">
      <c r="A194" s="82" t="n"/>
      <c r="B194" s="82" t="n"/>
      <c r="C194" s="82" t="n"/>
      <c r="D194" s="84" t="n"/>
      <c r="E194" s="82" t="n"/>
      <c r="F194" s="83" t="n"/>
      <c r="G194" s="82" t="n"/>
      <c r="H194" s="83" t="n"/>
      <c r="I194" s="84" t="n"/>
      <c r="J194" s="84" t="n"/>
      <c r="K194" s="82" t="n"/>
      <c r="L194" s="86" t="n"/>
      <c r="M194" s="90">
        <f>IF($A194="","",COUNTIFS(App_Company,$A194,App_Stage,"&gt;=1"))</f>
        <v/>
      </c>
      <c r="N194" s="90">
        <f>IF($A194="","",COUNTIFS(App_Company,$A194,App_ActiveKey,"&gt;0"))</f>
        <v/>
      </c>
      <c r="O194" s="90">
        <f>IF($A194="","",COUNTIF(Ct_Company,$A194))</f>
        <v/>
      </c>
    </row>
    <row r="195">
      <c r="A195" s="82" t="n"/>
      <c r="B195" s="82" t="n"/>
      <c r="C195" s="82" t="n"/>
      <c r="D195" s="84" t="n"/>
      <c r="E195" s="82" t="n"/>
      <c r="F195" s="83" t="n"/>
      <c r="G195" s="82" t="n"/>
      <c r="H195" s="83" t="n"/>
      <c r="I195" s="84" t="n"/>
      <c r="J195" s="84" t="n"/>
      <c r="K195" s="82" t="n"/>
      <c r="L195" s="86" t="n"/>
      <c r="M195" s="90">
        <f>IF($A195="","",COUNTIFS(App_Company,$A195,App_Stage,"&gt;=1"))</f>
        <v/>
      </c>
      <c r="N195" s="90">
        <f>IF($A195="","",COUNTIFS(App_Company,$A195,App_ActiveKey,"&gt;0"))</f>
        <v/>
      </c>
      <c r="O195" s="90">
        <f>IF($A195="","",COUNTIF(Ct_Company,$A195))</f>
        <v/>
      </c>
    </row>
    <row r="196">
      <c r="A196" s="82" t="n"/>
      <c r="B196" s="82" t="n"/>
      <c r="C196" s="82" t="n"/>
      <c r="D196" s="84" t="n"/>
      <c r="E196" s="82" t="n"/>
      <c r="F196" s="83" t="n"/>
      <c r="G196" s="82" t="n"/>
      <c r="H196" s="83" t="n"/>
      <c r="I196" s="84" t="n"/>
      <c r="J196" s="84" t="n"/>
      <c r="K196" s="82" t="n"/>
      <c r="L196" s="86" t="n"/>
      <c r="M196" s="90">
        <f>IF($A196="","",COUNTIFS(App_Company,$A196,App_Stage,"&gt;=1"))</f>
        <v/>
      </c>
      <c r="N196" s="90">
        <f>IF($A196="","",COUNTIFS(App_Company,$A196,App_ActiveKey,"&gt;0"))</f>
        <v/>
      </c>
      <c r="O196" s="90">
        <f>IF($A196="","",COUNTIF(Ct_Company,$A196))</f>
        <v/>
      </c>
    </row>
    <row r="197">
      <c r="A197" s="82" t="n"/>
      <c r="B197" s="82" t="n"/>
      <c r="C197" s="82" t="n"/>
      <c r="D197" s="84" t="n"/>
      <c r="E197" s="82" t="n"/>
      <c r="F197" s="83" t="n"/>
      <c r="G197" s="82" t="n"/>
      <c r="H197" s="83" t="n"/>
      <c r="I197" s="84" t="n"/>
      <c r="J197" s="84" t="n"/>
      <c r="K197" s="82" t="n"/>
      <c r="L197" s="86" t="n"/>
      <c r="M197" s="90">
        <f>IF($A197="","",COUNTIFS(App_Company,$A197,App_Stage,"&gt;=1"))</f>
        <v/>
      </c>
      <c r="N197" s="90">
        <f>IF($A197="","",COUNTIFS(App_Company,$A197,App_ActiveKey,"&gt;0"))</f>
        <v/>
      </c>
      <c r="O197" s="90">
        <f>IF($A197="","",COUNTIF(Ct_Company,$A197))</f>
        <v/>
      </c>
    </row>
    <row r="198">
      <c r="A198" s="82" t="n"/>
      <c r="B198" s="82" t="n"/>
      <c r="C198" s="82" t="n"/>
      <c r="D198" s="84" t="n"/>
      <c r="E198" s="82" t="n"/>
      <c r="F198" s="83" t="n"/>
      <c r="G198" s="82" t="n"/>
      <c r="H198" s="83" t="n"/>
      <c r="I198" s="84" t="n"/>
      <c r="J198" s="84" t="n"/>
      <c r="K198" s="82" t="n"/>
      <c r="L198" s="86" t="n"/>
      <c r="M198" s="90">
        <f>IF($A198="","",COUNTIFS(App_Company,$A198,App_Stage,"&gt;=1"))</f>
        <v/>
      </c>
      <c r="N198" s="90">
        <f>IF($A198="","",COUNTIFS(App_Company,$A198,App_ActiveKey,"&gt;0"))</f>
        <v/>
      </c>
      <c r="O198" s="90">
        <f>IF($A198="","",COUNTIF(Ct_Company,$A198))</f>
        <v/>
      </c>
    </row>
    <row r="199">
      <c r="A199" s="82" t="n"/>
      <c r="B199" s="82" t="n"/>
      <c r="C199" s="82" t="n"/>
      <c r="D199" s="84" t="n"/>
      <c r="E199" s="82" t="n"/>
      <c r="F199" s="83" t="n"/>
      <c r="G199" s="82" t="n"/>
      <c r="H199" s="83" t="n"/>
      <c r="I199" s="84" t="n"/>
      <c r="J199" s="84" t="n"/>
      <c r="K199" s="82" t="n"/>
      <c r="L199" s="86" t="n"/>
      <c r="M199" s="90">
        <f>IF($A199="","",COUNTIFS(App_Company,$A199,App_Stage,"&gt;=1"))</f>
        <v/>
      </c>
      <c r="N199" s="90">
        <f>IF($A199="","",COUNTIFS(App_Company,$A199,App_ActiveKey,"&gt;0"))</f>
        <v/>
      </c>
      <c r="O199" s="90">
        <f>IF($A199="","",COUNTIF(Ct_Company,$A199))</f>
        <v/>
      </c>
    </row>
    <row r="200">
      <c r="A200" s="82" t="n"/>
      <c r="B200" s="82" t="n"/>
      <c r="C200" s="82" t="n"/>
      <c r="D200" s="84" t="n"/>
      <c r="E200" s="82" t="n"/>
      <c r="F200" s="83" t="n"/>
      <c r="G200" s="82" t="n"/>
      <c r="H200" s="83" t="n"/>
      <c r="I200" s="84" t="n"/>
      <c r="J200" s="84" t="n"/>
      <c r="K200" s="82" t="n"/>
      <c r="L200" s="86" t="n"/>
      <c r="M200" s="90">
        <f>IF($A200="","",COUNTIFS(App_Company,$A200,App_Stage,"&gt;=1"))</f>
        <v/>
      </c>
      <c r="N200" s="90">
        <f>IF($A200="","",COUNTIFS(App_Company,$A200,App_ActiveKey,"&gt;0"))</f>
        <v/>
      </c>
      <c r="O200" s="90">
        <f>IF($A200="","",COUNTIF(Ct_Company,$A200))</f>
        <v/>
      </c>
    </row>
    <row r="201">
      <c r="A201" s="82" t="n"/>
      <c r="B201" s="82" t="n"/>
      <c r="C201" s="82" t="n"/>
      <c r="D201" s="84" t="n"/>
      <c r="E201" s="82" t="n"/>
      <c r="F201" s="83" t="n"/>
      <c r="G201" s="82" t="n"/>
      <c r="H201" s="83" t="n"/>
      <c r="I201" s="84" t="n"/>
      <c r="J201" s="84" t="n"/>
      <c r="K201" s="82" t="n"/>
      <c r="L201" s="86" t="n"/>
      <c r="M201" s="90">
        <f>IF($A201="","",COUNTIFS(App_Company,$A201,App_Stage,"&gt;=1"))</f>
        <v/>
      </c>
      <c r="N201" s="90">
        <f>IF($A201="","",COUNTIFS(App_Company,$A201,App_ActiveKey,"&gt;0"))</f>
        <v/>
      </c>
      <c r="O201" s="90">
        <f>IF($A201="","",COUNTIF(Ct_Company,$A201))</f>
        <v/>
      </c>
    </row>
    <row r="202">
      <c r="A202" s="82" t="n"/>
      <c r="B202" s="82" t="n"/>
      <c r="C202" s="82" t="n"/>
      <c r="D202" s="84" t="n"/>
      <c r="E202" s="82" t="n"/>
      <c r="F202" s="83" t="n"/>
      <c r="G202" s="82" t="n"/>
      <c r="H202" s="83" t="n"/>
      <c r="I202" s="84" t="n"/>
      <c r="J202" s="84" t="n"/>
      <c r="K202" s="82" t="n"/>
      <c r="L202" s="86" t="n"/>
      <c r="M202" s="90">
        <f>IF($A202="","",COUNTIFS(App_Company,$A202,App_Stage,"&gt;=1"))</f>
        <v/>
      </c>
      <c r="N202" s="90">
        <f>IF($A202="","",COUNTIFS(App_Company,$A202,App_ActiveKey,"&gt;0"))</f>
        <v/>
      </c>
      <c r="O202" s="90">
        <f>IF($A202="","",COUNTIF(Ct_Company,$A202))</f>
        <v/>
      </c>
    </row>
    <row r="203">
      <c r="A203" s="82" t="n"/>
      <c r="B203" s="82" t="n"/>
      <c r="C203" s="82" t="n"/>
      <c r="D203" s="84" t="n"/>
      <c r="E203" s="82" t="n"/>
      <c r="F203" s="83" t="n"/>
      <c r="G203" s="82" t="n"/>
      <c r="H203" s="83" t="n"/>
      <c r="I203" s="84" t="n"/>
      <c r="J203" s="84" t="n"/>
      <c r="K203" s="82" t="n"/>
      <c r="L203" s="86" t="n"/>
      <c r="M203" s="90">
        <f>IF($A203="","",COUNTIFS(App_Company,$A203,App_Stage,"&gt;=1"))</f>
        <v/>
      </c>
      <c r="N203" s="90">
        <f>IF($A203="","",COUNTIFS(App_Company,$A203,App_ActiveKey,"&gt;0"))</f>
        <v/>
      </c>
      <c r="O203" s="90">
        <f>IF($A203="","",COUNTIF(Ct_Company,$A203))</f>
        <v/>
      </c>
    </row>
    <row r="204">
      <c r="A204" s="82" t="n"/>
      <c r="B204" s="82" t="n"/>
      <c r="C204" s="82" t="n"/>
      <c r="D204" s="84" t="n"/>
      <c r="E204" s="82" t="n"/>
      <c r="F204" s="83" t="n"/>
      <c r="G204" s="82" t="n"/>
      <c r="H204" s="83" t="n"/>
      <c r="I204" s="84" t="n"/>
      <c r="J204" s="84" t="n"/>
      <c r="K204" s="82" t="n"/>
      <c r="L204" s="86" t="n"/>
      <c r="M204" s="90">
        <f>IF($A204="","",COUNTIFS(App_Company,$A204,App_Stage,"&gt;=1"))</f>
        <v/>
      </c>
      <c r="N204" s="90">
        <f>IF($A204="","",COUNTIFS(App_Company,$A204,App_ActiveKey,"&gt;0"))</f>
        <v/>
      </c>
      <c r="O204" s="90">
        <f>IF($A204="","",COUNTIF(Ct_Company,$A204))</f>
        <v/>
      </c>
    </row>
    <row r="205">
      <c r="A205" s="82" t="n"/>
      <c r="B205" s="82" t="n"/>
      <c r="C205" s="82" t="n"/>
      <c r="D205" s="84" t="n"/>
      <c r="E205" s="82" t="n"/>
      <c r="F205" s="83" t="n"/>
      <c r="G205" s="82" t="n"/>
      <c r="H205" s="83" t="n"/>
      <c r="I205" s="84" t="n"/>
      <c r="J205" s="84" t="n"/>
      <c r="K205" s="82" t="n"/>
      <c r="L205" s="86" t="n"/>
      <c r="M205" s="90">
        <f>IF($A205="","",COUNTIFS(App_Company,$A205,App_Stage,"&gt;=1"))</f>
        <v/>
      </c>
      <c r="N205" s="90">
        <f>IF($A205="","",COUNTIFS(App_Company,$A205,App_ActiveKey,"&gt;0"))</f>
        <v/>
      </c>
      <c r="O205" s="90">
        <f>IF($A205="","",COUNTIF(Ct_Company,$A205))</f>
        <v/>
      </c>
    </row>
    <row r="206">
      <c r="A206" s="82" t="n"/>
      <c r="B206" s="82" t="n"/>
      <c r="C206" s="82" t="n"/>
      <c r="D206" s="84" t="n"/>
      <c r="E206" s="82" t="n"/>
      <c r="F206" s="83" t="n"/>
      <c r="G206" s="82" t="n"/>
      <c r="H206" s="83" t="n"/>
      <c r="I206" s="84" t="n"/>
      <c r="J206" s="84" t="n"/>
      <c r="K206" s="82" t="n"/>
      <c r="L206" s="86" t="n"/>
      <c r="M206" s="90">
        <f>IF($A206="","",COUNTIFS(App_Company,$A206,App_Stage,"&gt;=1"))</f>
        <v/>
      </c>
      <c r="N206" s="90">
        <f>IF($A206="","",COUNTIFS(App_Company,$A206,App_ActiveKey,"&gt;0"))</f>
        <v/>
      </c>
      <c r="O206" s="90">
        <f>IF($A206="","",COUNTIF(Ct_Company,$A206))</f>
        <v/>
      </c>
    </row>
    <row r="207">
      <c r="A207" s="82" t="n"/>
      <c r="B207" s="82" t="n"/>
      <c r="C207" s="82" t="n"/>
      <c r="D207" s="84" t="n"/>
      <c r="E207" s="82" t="n"/>
      <c r="F207" s="83" t="n"/>
      <c r="G207" s="82" t="n"/>
      <c r="H207" s="83" t="n"/>
      <c r="I207" s="84" t="n"/>
      <c r="J207" s="84" t="n"/>
      <c r="K207" s="82" t="n"/>
      <c r="L207" s="86" t="n"/>
      <c r="M207" s="90">
        <f>IF($A207="","",COUNTIFS(App_Company,$A207,App_Stage,"&gt;=1"))</f>
        <v/>
      </c>
      <c r="N207" s="90">
        <f>IF($A207="","",COUNTIFS(App_Company,$A207,App_ActiveKey,"&gt;0"))</f>
        <v/>
      </c>
      <c r="O207" s="90">
        <f>IF($A207="","",COUNTIF(Ct_Company,$A207))</f>
        <v/>
      </c>
    </row>
    <row r="208">
      <c r="A208" s="82" t="n"/>
      <c r="B208" s="82" t="n"/>
      <c r="C208" s="82" t="n"/>
      <c r="D208" s="84" t="n"/>
      <c r="E208" s="82" t="n"/>
      <c r="F208" s="83" t="n"/>
      <c r="G208" s="82" t="n"/>
      <c r="H208" s="83" t="n"/>
      <c r="I208" s="84" t="n"/>
      <c r="J208" s="84" t="n"/>
      <c r="K208" s="82" t="n"/>
      <c r="L208" s="86" t="n"/>
      <c r="M208" s="90">
        <f>IF($A208="","",COUNTIFS(App_Company,$A208,App_Stage,"&gt;=1"))</f>
        <v/>
      </c>
      <c r="N208" s="90">
        <f>IF($A208="","",COUNTIFS(App_Company,$A208,App_ActiveKey,"&gt;0"))</f>
        <v/>
      </c>
      <c r="O208" s="90">
        <f>IF($A208="","",COUNTIF(Ct_Company,$A208))</f>
        <v/>
      </c>
    </row>
    <row r="209">
      <c r="A209" s="82" t="n"/>
      <c r="B209" s="82" t="n"/>
      <c r="C209" s="82" t="n"/>
      <c r="D209" s="84" t="n"/>
      <c r="E209" s="82" t="n"/>
      <c r="F209" s="83" t="n"/>
      <c r="G209" s="82" t="n"/>
      <c r="H209" s="83" t="n"/>
      <c r="I209" s="84" t="n"/>
      <c r="J209" s="84" t="n"/>
      <c r="K209" s="82" t="n"/>
      <c r="L209" s="86" t="n"/>
      <c r="M209" s="90">
        <f>IF($A209="","",COUNTIFS(App_Company,$A209,App_Stage,"&gt;=1"))</f>
        <v/>
      </c>
      <c r="N209" s="90">
        <f>IF($A209="","",COUNTIFS(App_Company,$A209,App_ActiveKey,"&gt;0"))</f>
        <v/>
      </c>
      <c r="O209" s="90">
        <f>IF($A209="","",COUNTIF(Ct_Company,$A209))</f>
        <v/>
      </c>
    </row>
    <row r="210">
      <c r="A210" s="82" t="n"/>
      <c r="B210" s="82" t="n"/>
      <c r="C210" s="82" t="n"/>
      <c r="D210" s="84" t="n"/>
      <c r="E210" s="82" t="n"/>
      <c r="F210" s="83" t="n"/>
      <c r="G210" s="82" t="n"/>
      <c r="H210" s="83" t="n"/>
      <c r="I210" s="84" t="n"/>
      <c r="J210" s="84" t="n"/>
      <c r="K210" s="82" t="n"/>
      <c r="L210" s="86" t="n"/>
      <c r="M210" s="90">
        <f>IF($A210="","",COUNTIFS(App_Company,$A210,App_Stage,"&gt;=1"))</f>
        <v/>
      </c>
      <c r="N210" s="90">
        <f>IF($A210="","",COUNTIFS(App_Company,$A210,App_ActiveKey,"&gt;0"))</f>
        <v/>
      </c>
      <c r="O210" s="90">
        <f>IF($A210="","",COUNTIF(Ct_Company,$A210))</f>
        <v/>
      </c>
    </row>
    <row r="211">
      <c r="A211" s="82" t="n"/>
      <c r="B211" s="82" t="n"/>
      <c r="C211" s="82" t="n"/>
      <c r="D211" s="84" t="n"/>
      <c r="E211" s="82" t="n"/>
      <c r="F211" s="83" t="n"/>
      <c r="G211" s="82" t="n"/>
      <c r="H211" s="83" t="n"/>
      <c r="I211" s="84" t="n"/>
      <c r="J211" s="84" t="n"/>
      <c r="K211" s="82" t="n"/>
      <c r="L211" s="86" t="n"/>
      <c r="M211" s="90">
        <f>IF($A211="","",COUNTIFS(App_Company,$A211,App_Stage,"&gt;=1"))</f>
        <v/>
      </c>
      <c r="N211" s="90">
        <f>IF($A211="","",COUNTIFS(App_Company,$A211,App_ActiveKey,"&gt;0"))</f>
        <v/>
      </c>
      <c r="O211" s="90">
        <f>IF($A211="","",COUNTIF(Ct_Company,$A211))</f>
        <v/>
      </c>
    </row>
    <row r="212">
      <c r="A212" s="82" t="n"/>
      <c r="B212" s="82" t="n"/>
      <c r="C212" s="82" t="n"/>
      <c r="D212" s="84" t="n"/>
      <c r="E212" s="82" t="n"/>
      <c r="F212" s="83" t="n"/>
      <c r="G212" s="82" t="n"/>
      <c r="H212" s="83" t="n"/>
      <c r="I212" s="84" t="n"/>
      <c r="J212" s="84" t="n"/>
      <c r="K212" s="82" t="n"/>
      <c r="L212" s="86" t="n"/>
      <c r="M212" s="90">
        <f>IF($A212="","",COUNTIFS(App_Company,$A212,App_Stage,"&gt;=1"))</f>
        <v/>
      </c>
      <c r="N212" s="90">
        <f>IF($A212="","",COUNTIFS(App_Company,$A212,App_ActiveKey,"&gt;0"))</f>
        <v/>
      </c>
      <c r="O212" s="90">
        <f>IF($A212="","",COUNTIF(Ct_Company,$A212))</f>
        <v/>
      </c>
    </row>
    <row r="213">
      <c r="A213" s="82" t="n"/>
      <c r="B213" s="82" t="n"/>
      <c r="C213" s="82" t="n"/>
      <c r="D213" s="84" t="n"/>
      <c r="E213" s="82" t="n"/>
      <c r="F213" s="83" t="n"/>
      <c r="G213" s="82" t="n"/>
      <c r="H213" s="83" t="n"/>
      <c r="I213" s="84" t="n"/>
      <c r="J213" s="84" t="n"/>
      <c r="K213" s="82" t="n"/>
      <c r="L213" s="86" t="n"/>
      <c r="M213" s="90">
        <f>IF($A213="","",COUNTIFS(App_Company,$A213,App_Stage,"&gt;=1"))</f>
        <v/>
      </c>
      <c r="N213" s="90">
        <f>IF($A213="","",COUNTIFS(App_Company,$A213,App_ActiveKey,"&gt;0"))</f>
        <v/>
      </c>
      <c r="O213" s="90">
        <f>IF($A213="","",COUNTIF(Ct_Company,$A213))</f>
        <v/>
      </c>
    </row>
    <row r="214">
      <c r="A214" s="82" t="n"/>
      <c r="B214" s="82" t="n"/>
      <c r="C214" s="82" t="n"/>
      <c r="D214" s="84" t="n"/>
      <c r="E214" s="82" t="n"/>
      <c r="F214" s="83" t="n"/>
      <c r="G214" s="82" t="n"/>
      <c r="H214" s="83" t="n"/>
      <c r="I214" s="84" t="n"/>
      <c r="J214" s="84" t="n"/>
      <c r="K214" s="82" t="n"/>
      <c r="L214" s="86" t="n"/>
      <c r="M214" s="90">
        <f>IF($A214="","",COUNTIFS(App_Company,$A214,App_Stage,"&gt;=1"))</f>
        <v/>
      </c>
      <c r="N214" s="90">
        <f>IF($A214="","",COUNTIFS(App_Company,$A214,App_ActiveKey,"&gt;0"))</f>
        <v/>
      </c>
      <c r="O214" s="90">
        <f>IF($A214="","",COUNTIF(Ct_Company,$A214))</f>
        <v/>
      </c>
    </row>
    <row r="215">
      <c r="A215" s="82" t="n"/>
      <c r="B215" s="82" t="n"/>
      <c r="C215" s="82" t="n"/>
      <c r="D215" s="84" t="n"/>
      <c r="E215" s="82" t="n"/>
      <c r="F215" s="83" t="n"/>
      <c r="G215" s="82" t="n"/>
      <c r="H215" s="83" t="n"/>
      <c r="I215" s="84" t="n"/>
      <c r="J215" s="84" t="n"/>
      <c r="K215" s="82" t="n"/>
      <c r="L215" s="86" t="n"/>
      <c r="M215" s="90">
        <f>IF($A215="","",COUNTIFS(App_Company,$A215,App_Stage,"&gt;=1"))</f>
        <v/>
      </c>
      <c r="N215" s="90">
        <f>IF($A215="","",COUNTIFS(App_Company,$A215,App_ActiveKey,"&gt;0"))</f>
        <v/>
      </c>
      <c r="O215" s="90">
        <f>IF($A215="","",COUNTIF(Ct_Company,$A215))</f>
        <v/>
      </c>
    </row>
    <row r="216">
      <c r="A216" s="82" t="n"/>
      <c r="B216" s="82" t="n"/>
      <c r="C216" s="82" t="n"/>
      <c r="D216" s="84" t="n"/>
      <c r="E216" s="82" t="n"/>
      <c r="F216" s="83" t="n"/>
      <c r="G216" s="82" t="n"/>
      <c r="H216" s="83" t="n"/>
      <c r="I216" s="84" t="n"/>
      <c r="J216" s="84" t="n"/>
      <c r="K216" s="82" t="n"/>
      <c r="L216" s="86" t="n"/>
      <c r="M216" s="90">
        <f>IF($A216="","",COUNTIFS(App_Company,$A216,App_Stage,"&gt;=1"))</f>
        <v/>
      </c>
      <c r="N216" s="90">
        <f>IF($A216="","",COUNTIFS(App_Company,$A216,App_ActiveKey,"&gt;0"))</f>
        <v/>
      </c>
      <c r="O216" s="90">
        <f>IF($A216="","",COUNTIF(Ct_Company,$A216))</f>
        <v/>
      </c>
    </row>
    <row r="217">
      <c r="A217" s="82" t="n"/>
      <c r="B217" s="82" t="n"/>
      <c r="C217" s="82" t="n"/>
      <c r="D217" s="84" t="n"/>
      <c r="E217" s="82" t="n"/>
      <c r="F217" s="83" t="n"/>
      <c r="G217" s="82" t="n"/>
      <c r="H217" s="83" t="n"/>
      <c r="I217" s="84" t="n"/>
      <c r="J217" s="84" t="n"/>
      <c r="K217" s="82" t="n"/>
      <c r="L217" s="86" t="n"/>
      <c r="M217" s="90">
        <f>IF($A217="","",COUNTIFS(App_Company,$A217,App_Stage,"&gt;=1"))</f>
        <v/>
      </c>
      <c r="N217" s="90">
        <f>IF($A217="","",COUNTIFS(App_Company,$A217,App_ActiveKey,"&gt;0"))</f>
        <v/>
      </c>
      <c r="O217" s="90">
        <f>IF($A217="","",COUNTIF(Ct_Company,$A217))</f>
        <v/>
      </c>
    </row>
    <row r="218">
      <c r="A218" s="82" t="n"/>
      <c r="B218" s="82" t="n"/>
      <c r="C218" s="82" t="n"/>
      <c r="D218" s="84" t="n"/>
      <c r="E218" s="82" t="n"/>
      <c r="F218" s="83" t="n"/>
      <c r="G218" s="82" t="n"/>
      <c r="H218" s="83" t="n"/>
      <c r="I218" s="84" t="n"/>
      <c r="J218" s="84" t="n"/>
      <c r="K218" s="82" t="n"/>
      <c r="L218" s="86" t="n"/>
      <c r="M218" s="90">
        <f>IF($A218="","",COUNTIFS(App_Company,$A218,App_Stage,"&gt;=1"))</f>
        <v/>
      </c>
      <c r="N218" s="90">
        <f>IF($A218="","",COUNTIFS(App_Company,$A218,App_ActiveKey,"&gt;0"))</f>
        <v/>
      </c>
      <c r="O218" s="90">
        <f>IF($A218="","",COUNTIF(Ct_Company,$A218))</f>
        <v/>
      </c>
    </row>
    <row r="219">
      <c r="A219" s="82" t="n"/>
      <c r="B219" s="82" t="n"/>
      <c r="C219" s="82" t="n"/>
      <c r="D219" s="84" t="n"/>
      <c r="E219" s="82" t="n"/>
      <c r="F219" s="83" t="n"/>
      <c r="G219" s="82" t="n"/>
      <c r="H219" s="83" t="n"/>
      <c r="I219" s="84" t="n"/>
      <c r="J219" s="84" t="n"/>
      <c r="K219" s="82" t="n"/>
      <c r="L219" s="86" t="n"/>
      <c r="M219" s="90">
        <f>IF($A219="","",COUNTIFS(App_Company,$A219,App_Stage,"&gt;=1"))</f>
        <v/>
      </c>
      <c r="N219" s="90">
        <f>IF($A219="","",COUNTIFS(App_Company,$A219,App_ActiveKey,"&gt;0"))</f>
        <v/>
      </c>
      <c r="O219" s="90">
        <f>IF($A219="","",COUNTIF(Ct_Company,$A219))</f>
        <v/>
      </c>
    </row>
    <row r="220">
      <c r="A220" s="82" t="n"/>
      <c r="B220" s="82" t="n"/>
      <c r="C220" s="82" t="n"/>
      <c r="D220" s="84" t="n"/>
      <c r="E220" s="82" t="n"/>
      <c r="F220" s="83" t="n"/>
      <c r="G220" s="82" t="n"/>
      <c r="H220" s="83" t="n"/>
      <c r="I220" s="84" t="n"/>
      <c r="J220" s="84" t="n"/>
      <c r="K220" s="82" t="n"/>
      <c r="L220" s="86" t="n"/>
      <c r="M220" s="90">
        <f>IF($A220="","",COUNTIFS(App_Company,$A220,App_Stage,"&gt;=1"))</f>
        <v/>
      </c>
      <c r="N220" s="90">
        <f>IF($A220="","",COUNTIFS(App_Company,$A220,App_ActiveKey,"&gt;0"))</f>
        <v/>
      </c>
      <c r="O220" s="90">
        <f>IF($A220="","",COUNTIF(Ct_Company,$A220))</f>
        <v/>
      </c>
    </row>
    <row r="221">
      <c r="A221" s="82" t="n"/>
      <c r="B221" s="82" t="n"/>
      <c r="C221" s="82" t="n"/>
      <c r="D221" s="84" t="n"/>
      <c r="E221" s="82" t="n"/>
      <c r="F221" s="83" t="n"/>
      <c r="G221" s="82" t="n"/>
      <c r="H221" s="83" t="n"/>
      <c r="I221" s="84" t="n"/>
      <c r="J221" s="84" t="n"/>
      <c r="K221" s="82" t="n"/>
      <c r="L221" s="86" t="n"/>
      <c r="M221" s="90">
        <f>IF($A221="","",COUNTIFS(App_Company,$A221,App_Stage,"&gt;=1"))</f>
        <v/>
      </c>
      <c r="N221" s="90">
        <f>IF($A221="","",COUNTIFS(App_Company,$A221,App_ActiveKey,"&gt;0"))</f>
        <v/>
      </c>
      <c r="O221" s="90">
        <f>IF($A221="","",COUNTIF(Ct_Company,$A221))</f>
        <v/>
      </c>
    </row>
    <row r="222">
      <c r="A222" s="82" t="n"/>
      <c r="B222" s="82" t="n"/>
      <c r="C222" s="82" t="n"/>
      <c r="D222" s="84" t="n"/>
      <c r="E222" s="82" t="n"/>
      <c r="F222" s="83" t="n"/>
      <c r="G222" s="82" t="n"/>
      <c r="H222" s="83" t="n"/>
      <c r="I222" s="84" t="n"/>
      <c r="J222" s="84" t="n"/>
      <c r="K222" s="82" t="n"/>
      <c r="L222" s="86" t="n"/>
      <c r="M222" s="90">
        <f>IF($A222="","",COUNTIFS(App_Company,$A222,App_Stage,"&gt;=1"))</f>
        <v/>
      </c>
      <c r="N222" s="90">
        <f>IF($A222="","",COUNTIFS(App_Company,$A222,App_ActiveKey,"&gt;0"))</f>
        <v/>
      </c>
      <c r="O222" s="90">
        <f>IF($A222="","",COUNTIF(Ct_Company,$A222))</f>
        <v/>
      </c>
    </row>
    <row r="223">
      <c r="A223" s="82" t="n"/>
      <c r="B223" s="82" t="n"/>
      <c r="C223" s="82" t="n"/>
      <c r="D223" s="84" t="n"/>
      <c r="E223" s="82" t="n"/>
      <c r="F223" s="83" t="n"/>
      <c r="G223" s="82" t="n"/>
      <c r="H223" s="83" t="n"/>
      <c r="I223" s="84" t="n"/>
      <c r="J223" s="84" t="n"/>
      <c r="K223" s="82" t="n"/>
      <c r="L223" s="86" t="n"/>
      <c r="M223" s="90">
        <f>IF($A223="","",COUNTIFS(App_Company,$A223,App_Stage,"&gt;=1"))</f>
        <v/>
      </c>
      <c r="N223" s="90">
        <f>IF($A223="","",COUNTIFS(App_Company,$A223,App_ActiveKey,"&gt;0"))</f>
        <v/>
      </c>
      <c r="O223" s="90">
        <f>IF($A223="","",COUNTIF(Ct_Company,$A223))</f>
        <v/>
      </c>
    </row>
    <row r="224">
      <c r="A224" s="82" t="n"/>
      <c r="B224" s="82" t="n"/>
      <c r="C224" s="82" t="n"/>
      <c r="D224" s="84" t="n"/>
      <c r="E224" s="82" t="n"/>
      <c r="F224" s="83" t="n"/>
      <c r="G224" s="82" t="n"/>
      <c r="H224" s="83" t="n"/>
      <c r="I224" s="84" t="n"/>
      <c r="J224" s="84" t="n"/>
      <c r="K224" s="82" t="n"/>
      <c r="L224" s="86" t="n"/>
      <c r="M224" s="90">
        <f>IF($A224="","",COUNTIFS(App_Company,$A224,App_Stage,"&gt;=1"))</f>
        <v/>
      </c>
      <c r="N224" s="90">
        <f>IF($A224="","",COUNTIFS(App_Company,$A224,App_ActiveKey,"&gt;0"))</f>
        <v/>
      </c>
      <c r="O224" s="90">
        <f>IF($A224="","",COUNTIF(Ct_Company,$A224))</f>
        <v/>
      </c>
    </row>
    <row r="225">
      <c r="A225" s="82" t="n"/>
      <c r="B225" s="82" t="n"/>
      <c r="C225" s="82" t="n"/>
      <c r="D225" s="84" t="n"/>
      <c r="E225" s="82" t="n"/>
      <c r="F225" s="83" t="n"/>
      <c r="G225" s="82" t="n"/>
      <c r="H225" s="83" t="n"/>
      <c r="I225" s="84" t="n"/>
      <c r="J225" s="84" t="n"/>
      <c r="K225" s="82" t="n"/>
      <c r="L225" s="86" t="n"/>
      <c r="M225" s="90">
        <f>IF($A225="","",COUNTIFS(App_Company,$A225,App_Stage,"&gt;=1"))</f>
        <v/>
      </c>
      <c r="N225" s="90">
        <f>IF($A225="","",COUNTIFS(App_Company,$A225,App_ActiveKey,"&gt;0"))</f>
        <v/>
      </c>
      <c r="O225" s="90">
        <f>IF($A225="","",COUNTIF(Ct_Company,$A225))</f>
        <v/>
      </c>
    </row>
    <row r="226">
      <c r="A226" s="82" t="n"/>
      <c r="B226" s="82" t="n"/>
      <c r="C226" s="82" t="n"/>
      <c r="D226" s="84" t="n"/>
      <c r="E226" s="82" t="n"/>
      <c r="F226" s="83" t="n"/>
      <c r="G226" s="82" t="n"/>
      <c r="H226" s="83" t="n"/>
      <c r="I226" s="84" t="n"/>
      <c r="J226" s="84" t="n"/>
      <c r="K226" s="82" t="n"/>
      <c r="L226" s="86" t="n"/>
      <c r="M226" s="90">
        <f>IF($A226="","",COUNTIFS(App_Company,$A226,App_Stage,"&gt;=1"))</f>
        <v/>
      </c>
      <c r="N226" s="90">
        <f>IF($A226="","",COUNTIFS(App_Company,$A226,App_ActiveKey,"&gt;0"))</f>
        <v/>
      </c>
      <c r="O226" s="90">
        <f>IF($A226="","",COUNTIF(Ct_Company,$A226))</f>
        <v/>
      </c>
    </row>
    <row r="227">
      <c r="A227" s="82" t="n"/>
      <c r="B227" s="82" t="n"/>
      <c r="C227" s="82" t="n"/>
      <c r="D227" s="84" t="n"/>
      <c r="E227" s="82" t="n"/>
      <c r="F227" s="83" t="n"/>
      <c r="G227" s="82" t="n"/>
      <c r="H227" s="83" t="n"/>
      <c r="I227" s="84" t="n"/>
      <c r="J227" s="84" t="n"/>
      <c r="K227" s="82" t="n"/>
      <c r="L227" s="86" t="n"/>
      <c r="M227" s="90">
        <f>IF($A227="","",COUNTIFS(App_Company,$A227,App_Stage,"&gt;=1"))</f>
        <v/>
      </c>
      <c r="N227" s="90">
        <f>IF($A227="","",COUNTIFS(App_Company,$A227,App_ActiveKey,"&gt;0"))</f>
        <v/>
      </c>
      <c r="O227" s="90">
        <f>IF($A227="","",COUNTIF(Ct_Company,$A227))</f>
        <v/>
      </c>
    </row>
    <row r="228">
      <c r="A228" s="82" t="n"/>
      <c r="B228" s="82" t="n"/>
      <c r="C228" s="82" t="n"/>
      <c r="D228" s="84" t="n"/>
      <c r="E228" s="82" t="n"/>
      <c r="F228" s="83" t="n"/>
      <c r="G228" s="82" t="n"/>
      <c r="H228" s="83" t="n"/>
      <c r="I228" s="84" t="n"/>
      <c r="J228" s="84" t="n"/>
      <c r="K228" s="82" t="n"/>
      <c r="L228" s="86" t="n"/>
      <c r="M228" s="90">
        <f>IF($A228="","",COUNTIFS(App_Company,$A228,App_Stage,"&gt;=1"))</f>
        <v/>
      </c>
      <c r="N228" s="90">
        <f>IF($A228="","",COUNTIFS(App_Company,$A228,App_ActiveKey,"&gt;0"))</f>
        <v/>
      </c>
      <c r="O228" s="90">
        <f>IF($A228="","",COUNTIF(Ct_Company,$A228))</f>
        <v/>
      </c>
    </row>
    <row r="229">
      <c r="A229" s="82" t="n"/>
      <c r="B229" s="82" t="n"/>
      <c r="C229" s="82" t="n"/>
      <c r="D229" s="84" t="n"/>
      <c r="E229" s="82" t="n"/>
      <c r="F229" s="83" t="n"/>
      <c r="G229" s="82" t="n"/>
      <c r="H229" s="83" t="n"/>
      <c r="I229" s="84" t="n"/>
      <c r="J229" s="84" t="n"/>
      <c r="K229" s="82" t="n"/>
      <c r="L229" s="86" t="n"/>
      <c r="M229" s="90">
        <f>IF($A229="","",COUNTIFS(App_Company,$A229,App_Stage,"&gt;=1"))</f>
        <v/>
      </c>
      <c r="N229" s="90">
        <f>IF($A229="","",COUNTIFS(App_Company,$A229,App_ActiveKey,"&gt;0"))</f>
        <v/>
      </c>
      <c r="O229" s="90">
        <f>IF($A229="","",COUNTIF(Ct_Company,$A229))</f>
        <v/>
      </c>
    </row>
    <row r="230">
      <c r="A230" s="82" t="n"/>
      <c r="B230" s="82" t="n"/>
      <c r="C230" s="82" t="n"/>
      <c r="D230" s="84" t="n"/>
      <c r="E230" s="82" t="n"/>
      <c r="F230" s="83" t="n"/>
      <c r="G230" s="82" t="n"/>
      <c r="H230" s="83" t="n"/>
      <c r="I230" s="84" t="n"/>
      <c r="J230" s="84" t="n"/>
      <c r="K230" s="82" t="n"/>
      <c r="L230" s="86" t="n"/>
      <c r="M230" s="90">
        <f>IF($A230="","",COUNTIFS(App_Company,$A230,App_Stage,"&gt;=1"))</f>
        <v/>
      </c>
      <c r="N230" s="90">
        <f>IF($A230="","",COUNTIFS(App_Company,$A230,App_ActiveKey,"&gt;0"))</f>
        <v/>
      </c>
      <c r="O230" s="90">
        <f>IF($A230="","",COUNTIF(Ct_Company,$A230))</f>
        <v/>
      </c>
    </row>
    <row r="231">
      <c r="A231" s="82" t="n"/>
      <c r="B231" s="82" t="n"/>
      <c r="C231" s="82" t="n"/>
      <c r="D231" s="84" t="n"/>
      <c r="E231" s="82" t="n"/>
      <c r="F231" s="83" t="n"/>
      <c r="G231" s="82" t="n"/>
      <c r="H231" s="83" t="n"/>
      <c r="I231" s="84" t="n"/>
      <c r="J231" s="84" t="n"/>
      <c r="K231" s="82" t="n"/>
      <c r="L231" s="86" t="n"/>
      <c r="M231" s="90">
        <f>IF($A231="","",COUNTIFS(App_Company,$A231,App_Stage,"&gt;=1"))</f>
        <v/>
      </c>
      <c r="N231" s="90">
        <f>IF($A231="","",COUNTIFS(App_Company,$A231,App_ActiveKey,"&gt;0"))</f>
        <v/>
      </c>
      <c r="O231" s="90">
        <f>IF($A231="","",COUNTIF(Ct_Company,$A231))</f>
        <v/>
      </c>
    </row>
    <row r="232">
      <c r="A232" s="82" t="n"/>
      <c r="B232" s="82" t="n"/>
      <c r="C232" s="82" t="n"/>
      <c r="D232" s="84" t="n"/>
      <c r="E232" s="82" t="n"/>
      <c r="F232" s="83" t="n"/>
      <c r="G232" s="82" t="n"/>
      <c r="H232" s="83" t="n"/>
      <c r="I232" s="84" t="n"/>
      <c r="J232" s="84" t="n"/>
      <c r="K232" s="82" t="n"/>
      <c r="L232" s="86" t="n"/>
      <c r="M232" s="90">
        <f>IF($A232="","",COUNTIFS(App_Company,$A232,App_Stage,"&gt;=1"))</f>
        <v/>
      </c>
      <c r="N232" s="90">
        <f>IF($A232="","",COUNTIFS(App_Company,$A232,App_ActiveKey,"&gt;0"))</f>
        <v/>
      </c>
      <c r="O232" s="90">
        <f>IF($A232="","",COUNTIF(Ct_Company,$A232))</f>
        <v/>
      </c>
    </row>
    <row r="233">
      <c r="A233" s="82" t="n"/>
      <c r="B233" s="82" t="n"/>
      <c r="C233" s="82" t="n"/>
      <c r="D233" s="84" t="n"/>
      <c r="E233" s="82" t="n"/>
      <c r="F233" s="83" t="n"/>
      <c r="G233" s="82" t="n"/>
      <c r="H233" s="83" t="n"/>
      <c r="I233" s="84" t="n"/>
      <c r="J233" s="84" t="n"/>
      <c r="K233" s="82" t="n"/>
      <c r="L233" s="86" t="n"/>
      <c r="M233" s="90">
        <f>IF($A233="","",COUNTIFS(App_Company,$A233,App_Stage,"&gt;=1"))</f>
        <v/>
      </c>
      <c r="N233" s="90">
        <f>IF($A233="","",COUNTIFS(App_Company,$A233,App_ActiveKey,"&gt;0"))</f>
        <v/>
      </c>
      <c r="O233" s="90">
        <f>IF($A233="","",COUNTIF(Ct_Company,$A233))</f>
        <v/>
      </c>
    </row>
    <row r="234">
      <c r="A234" s="82" t="n"/>
      <c r="B234" s="82" t="n"/>
      <c r="C234" s="82" t="n"/>
      <c r="D234" s="84" t="n"/>
      <c r="E234" s="82" t="n"/>
      <c r="F234" s="83" t="n"/>
      <c r="G234" s="82" t="n"/>
      <c r="H234" s="83" t="n"/>
      <c r="I234" s="84" t="n"/>
      <c r="J234" s="84" t="n"/>
      <c r="K234" s="82" t="n"/>
      <c r="L234" s="86" t="n"/>
      <c r="M234" s="90">
        <f>IF($A234="","",COUNTIFS(App_Company,$A234,App_Stage,"&gt;=1"))</f>
        <v/>
      </c>
      <c r="N234" s="90">
        <f>IF($A234="","",COUNTIFS(App_Company,$A234,App_ActiveKey,"&gt;0"))</f>
        <v/>
      </c>
      <c r="O234" s="90">
        <f>IF($A234="","",COUNTIF(Ct_Company,$A234))</f>
        <v/>
      </c>
    </row>
    <row r="235">
      <c r="A235" s="82" t="n"/>
      <c r="B235" s="82" t="n"/>
      <c r="C235" s="82" t="n"/>
      <c r="D235" s="84" t="n"/>
      <c r="E235" s="82" t="n"/>
      <c r="F235" s="83" t="n"/>
      <c r="G235" s="82" t="n"/>
      <c r="H235" s="83" t="n"/>
      <c r="I235" s="84" t="n"/>
      <c r="J235" s="84" t="n"/>
      <c r="K235" s="82" t="n"/>
      <c r="L235" s="86" t="n"/>
      <c r="M235" s="90">
        <f>IF($A235="","",COUNTIFS(App_Company,$A235,App_Stage,"&gt;=1"))</f>
        <v/>
      </c>
      <c r="N235" s="90">
        <f>IF($A235="","",COUNTIFS(App_Company,$A235,App_ActiveKey,"&gt;0"))</f>
        <v/>
      </c>
      <c r="O235" s="90">
        <f>IF($A235="","",COUNTIF(Ct_Company,$A235))</f>
        <v/>
      </c>
    </row>
    <row r="236">
      <c r="A236" s="82" t="n"/>
      <c r="B236" s="82" t="n"/>
      <c r="C236" s="82" t="n"/>
      <c r="D236" s="84" t="n"/>
      <c r="E236" s="82" t="n"/>
      <c r="F236" s="83" t="n"/>
      <c r="G236" s="82" t="n"/>
      <c r="H236" s="83" t="n"/>
      <c r="I236" s="84" t="n"/>
      <c r="J236" s="84" t="n"/>
      <c r="K236" s="82" t="n"/>
      <c r="L236" s="86" t="n"/>
      <c r="M236" s="90">
        <f>IF($A236="","",COUNTIFS(App_Company,$A236,App_Stage,"&gt;=1"))</f>
        <v/>
      </c>
      <c r="N236" s="90">
        <f>IF($A236="","",COUNTIFS(App_Company,$A236,App_ActiveKey,"&gt;0"))</f>
        <v/>
      </c>
      <c r="O236" s="90">
        <f>IF($A236="","",COUNTIF(Ct_Company,$A236))</f>
        <v/>
      </c>
    </row>
    <row r="237">
      <c r="A237" s="82" t="n"/>
      <c r="B237" s="82" t="n"/>
      <c r="C237" s="82" t="n"/>
      <c r="D237" s="84" t="n"/>
      <c r="E237" s="82" t="n"/>
      <c r="F237" s="83" t="n"/>
      <c r="G237" s="82" t="n"/>
      <c r="H237" s="83" t="n"/>
      <c r="I237" s="84" t="n"/>
      <c r="J237" s="84" t="n"/>
      <c r="K237" s="82" t="n"/>
      <c r="L237" s="86" t="n"/>
      <c r="M237" s="90">
        <f>IF($A237="","",COUNTIFS(App_Company,$A237,App_Stage,"&gt;=1"))</f>
        <v/>
      </c>
      <c r="N237" s="90">
        <f>IF($A237="","",COUNTIFS(App_Company,$A237,App_ActiveKey,"&gt;0"))</f>
        <v/>
      </c>
      <c r="O237" s="90">
        <f>IF($A237="","",COUNTIF(Ct_Company,$A237))</f>
        <v/>
      </c>
    </row>
    <row r="238">
      <c r="A238" s="82" t="n"/>
      <c r="B238" s="82" t="n"/>
      <c r="C238" s="82" t="n"/>
      <c r="D238" s="84" t="n"/>
      <c r="E238" s="82" t="n"/>
      <c r="F238" s="83" t="n"/>
      <c r="G238" s="82" t="n"/>
      <c r="H238" s="83" t="n"/>
      <c r="I238" s="84" t="n"/>
      <c r="J238" s="84" t="n"/>
      <c r="K238" s="82" t="n"/>
      <c r="L238" s="86" t="n"/>
      <c r="M238" s="90">
        <f>IF($A238="","",COUNTIFS(App_Company,$A238,App_Stage,"&gt;=1"))</f>
        <v/>
      </c>
      <c r="N238" s="90">
        <f>IF($A238="","",COUNTIFS(App_Company,$A238,App_ActiveKey,"&gt;0"))</f>
        <v/>
      </c>
      <c r="O238" s="90">
        <f>IF($A238="","",COUNTIF(Ct_Company,$A238))</f>
        <v/>
      </c>
    </row>
    <row r="239">
      <c r="A239" s="82" t="n"/>
      <c r="B239" s="82" t="n"/>
      <c r="C239" s="82" t="n"/>
      <c r="D239" s="84" t="n"/>
      <c r="E239" s="82" t="n"/>
      <c r="F239" s="83" t="n"/>
      <c r="G239" s="82" t="n"/>
      <c r="H239" s="83" t="n"/>
      <c r="I239" s="84" t="n"/>
      <c r="J239" s="84" t="n"/>
      <c r="K239" s="82" t="n"/>
      <c r="L239" s="86" t="n"/>
      <c r="M239" s="90">
        <f>IF($A239="","",COUNTIFS(App_Company,$A239,App_Stage,"&gt;=1"))</f>
        <v/>
      </c>
      <c r="N239" s="90">
        <f>IF($A239="","",COUNTIFS(App_Company,$A239,App_ActiveKey,"&gt;0"))</f>
        <v/>
      </c>
      <c r="O239" s="90">
        <f>IF($A239="","",COUNTIF(Ct_Company,$A239))</f>
        <v/>
      </c>
    </row>
    <row r="240">
      <c r="A240" s="82" t="n"/>
      <c r="B240" s="82" t="n"/>
      <c r="C240" s="82" t="n"/>
      <c r="D240" s="84" t="n"/>
      <c r="E240" s="82" t="n"/>
      <c r="F240" s="83" t="n"/>
      <c r="G240" s="82" t="n"/>
      <c r="H240" s="83" t="n"/>
      <c r="I240" s="84" t="n"/>
      <c r="J240" s="84" t="n"/>
      <c r="K240" s="82" t="n"/>
      <c r="L240" s="86" t="n"/>
      <c r="M240" s="90">
        <f>IF($A240="","",COUNTIFS(App_Company,$A240,App_Stage,"&gt;=1"))</f>
        <v/>
      </c>
      <c r="N240" s="90">
        <f>IF($A240="","",COUNTIFS(App_Company,$A240,App_ActiveKey,"&gt;0"))</f>
        <v/>
      </c>
      <c r="O240" s="90">
        <f>IF($A240="","",COUNTIF(Ct_Company,$A240))</f>
        <v/>
      </c>
    </row>
    <row r="241">
      <c r="A241" s="82" t="n"/>
      <c r="B241" s="82" t="n"/>
      <c r="C241" s="82" t="n"/>
      <c r="D241" s="84" t="n"/>
      <c r="E241" s="82" t="n"/>
      <c r="F241" s="83" t="n"/>
      <c r="G241" s="82" t="n"/>
      <c r="H241" s="83" t="n"/>
      <c r="I241" s="84" t="n"/>
      <c r="J241" s="84" t="n"/>
      <c r="K241" s="82" t="n"/>
      <c r="L241" s="86" t="n"/>
      <c r="M241" s="90">
        <f>IF($A241="","",COUNTIFS(App_Company,$A241,App_Stage,"&gt;=1"))</f>
        <v/>
      </c>
      <c r="N241" s="90">
        <f>IF($A241="","",COUNTIFS(App_Company,$A241,App_ActiveKey,"&gt;0"))</f>
        <v/>
      </c>
      <c r="O241" s="90">
        <f>IF($A241="","",COUNTIF(Ct_Company,$A241))</f>
        <v/>
      </c>
    </row>
    <row r="242">
      <c r="A242" s="82" t="n"/>
      <c r="B242" s="82" t="n"/>
      <c r="C242" s="82" t="n"/>
      <c r="D242" s="84" t="n"/>
      <c r="E242" s="82" t="n"/>
      <c r="F242" s="83" t="n"/>
      <c r="G242" s="82" t="n"/>
      <c r="H242" s="83" t="n"/>
      <c r="I242" s="84" t="n"/>
      <c r="J242" s="84" t="n"/>
      <c r="K242" s="82" t="n"/>
      <c r="L242" s="86" t="n"/>
      <c r="M242" s="90">
        <f>IF($A242="","",COUNTIFS(App_Company,$A242,App_Stage,"&gt;=1"))</f>
        <v/>
      </c>
      <c r="N242" s="90">
        <f>IF($A242="","",COUNTIFS(App_Company,$A242,App_ActiveKey,"&gt;0"))</f>
        <v/>
      </c>
      <c r="O242" s="90">
        <f>IF($A242="","",COUNTIF(Ct_Company,$A242))</f>
        <v/>
      </c>
    </row>
    <row r="243">
      <c r="A243" s="82" t="n"/>
      <c r="B243" s="82" t="n"/>
      <c r="C243" s="82" t="n"/>
      <c r="D243" s="84" t="n"/>
      <c r="E243" s="82" t="n"/>
      <c r="F243" s="83" t="n"/>
      <c r="G243" s="82" t="n"/>
      <c r="H243" s="83" t="n"/>
      <c r="I243" s="84" t="n"/>
      <c r="J243" s="84" t="n"/>
      <c r="K243" s="82" t="n"/>
      <c r="L243" s="86" t="n"/>
      <c r="M243" s="90">
        <f>IF($A243="","",COUNTIFS(App_Company,$A243,App_Stage,"&gt;=1"))</f>
        <v/>
      </c>
      <c r="N243" s="90">
        <f>IF($A243="","",COUNTIFS(App_Company,$A243,App_ActiveKey,"&gt;0"))</f>
        <v/>
      </c>
      <c r="O243" s="90">
        <f>IF($A243="","",COUNTIF(Ct_Company,$A243))</f>
        <v/>
      </c>
    </row>
    <row r="244">
      <c r="A244" s="82" t="n"/>
      <c r="B244" s="82" t="n"/>
      <c r="C244" s="82" t="n"/>
      <c r="D244" s="84" t="n"/>
      <c r="E244" s="82" t="n"/>
      <c r="F244" s="83" t="n"/>
      <c r="G244" s="82" t="n"/>
      <c r="H244" s="83" t="n"/>
      <c r="I244" s="84" t="n"/>
      <c r="J244" s="84" t="n"/>
      <c r="K244" s="82" t="n"/>
      <c r="L244" s="86" t="n"/>
      <c r="M244" s="90">
        <f>IF($A244="","",COUNTIFS(App_Company,$A244,App_Stage,"&gt;=1"))</f>
        <v/>
      </c>
      <c r="N244" s="90">
        <f>IF($A244="","",COUNTIFS(App_Company,$A244,App_ActiveKey,"&gt;0"))</f>
        <v/>
      </c>
      <c r="O244" s="90">
        <f>IF($A244="","",COUNTIF(Ct_Company,$A244))</f>
        <v/>
      </c>
    </row>
    <row r="245">
      <c r="A245" s="82" t="n"/>
      <c r="B245" s="82" t="n"/>
      <c r="C245" s="82" t="n"/>
      <c r="D245" s="84" t="n"/>
      <c r="E245" s="82" t="n"/>
      <c r="F245" s="83" t="n"/>
      <c r="G245" s="82" t="n"/>
      <c r="H245" s="83" t="n"/>
      <c r="I245" s="84" t="n"/>
      <c r="J245" s="84" t="n"/>
      <c r="K245" s="82" t="n"/>
      <c r="L245" s="86" t="n"/>
      <c r="M245" s="90">
        <f>IF($A245="","",COUNTIFS(App_Company,$A245,App_Stage,"&gt;=1"))</f>
        <v/>
      </c>
      <c r="N245" s="90">
        <f>IF($A245="","",COUNTIFS(App_Company,$A245,App_ActiveKey,"&gt;0"))</f>
        <v/>
      </c>
      <c r="O245" s="90">
        <f>IF($A245="","",COUNTIF(Ct_Company,$A245))</f>
        <v/>
      </c>
    </row>
    <row r="246">
      <c r="A246" s="82" t="n"/>
      <c r="B246" s="82" t="n"/>
      <c r="C246" s="82" t="n"/>
      <c r="D246" s="84" t="n"/>
      <c r="E246" s="82" t="n"/>
      <c r="F246" s="83" t="n"/>
      <c r="G246" s="82" t="n"/>
      <c r="H246" s="83" t="n"/>
      <c r="I246" s="84" t="n"/>
      <c r="J246" s="84" t="n"/>
      <c r="K246" s="82" t="n"/>
      <c r="L246" s="86" t="n"/>
      <c r="M246" s="90">
        <f>IF($A246="","",COUNTIFS(App_Company,$A246,App_Stage,"&gt;=1"))</f>
        <v/>
      </c>
      <c r="N246" s="90">
        <f>IF($A246="","",COUNTIFS(App_Company,$A246,App_ActiveKey,"&gt;0"))</f>
        <v/>
      </c>
      <c r="O246" s="90">
        <f>IF($A246="","",COUNTIF(Ct_Company,$A246))</f>
        <v/>
      </c>
    </row>
    <row r="247">
      <c r="A247" s="82" t="n"/>
      <c r="B247" s="82" t="n"/>
      <c r="C247" s="82" t="n"/>
      <c r="D247" s="84" t="n"/>
      <c r="E247" s="82" t="n"/>
      <c r="F247" s="83" t="n"/>
      <c r="G247" s="82" t="n"/>
      <c r="H247" s="83" t="n"/>
      <c r="I247" s="84" t="n"/>
      <c r="J247" s="84" t="n"/>
      <c r="K247" s="82" t="n"/>
      <c r="L247" s="86" t="n"/>
      <c r="M247" s="90">
        <f>IF($A247="","",COUNTIFS(App_Company,$A247,App_Stage,"&gt;=1"))</f>
        <v/>
      </c>
      <c r="N247" s="90">
        <f>IF($A247="","",COUNTIFS(App_Company,$A247,App_ActiveKey,"&gt;0"))</f>
        <v/>
      </c>
      <c r="O247" s="90">
        <f>IF($A247="","",COUNTIF(Ct_Company,$A247))</f>
        <v/>
      </c>
    </row>
    <row r="248">
      <c r="A248" s="82" t="n"/>
      <c r="B248" s="82" t="n"/>
      <c r="C248" s="82" t="n"/>
      <c r="D248" s="84" t="n"/>
      <c r="E248" s="82" t="n"/>
      <c r="F248" s="83" t="n"/>
      <c r="G248" s="82" t="n"/>
      <c r="H248" s="83" t="n"/>
      <c r="I248" s="84" t="n"/>
      <c r="J248" s="84" t="n"/>
      <c r="K248" s="82" t="n"/>
      <c r="L248" s="86" t="n"/>
      <c r="M248" s="90">
        <f>IF($A248="","",COUNTIFS(App_Company,$A248,App_Stage,"&gt;=1"))</f>
        <v/>
      </c>
      <c r="N248" s="90">
        <f>IF($A248="","",COUNTIFS(App_Company,$A248,App_ActiveKey,"&gt;0"))</f>
        <v/>
      </c>
      <c r="O248" s="90">
        <f>IF($A248="","",COUNTIF(Ct_Company,$A248))</f>
        <v/>
      </c>
    </row>
    <row r="249">
      <c r="A249" s="82" t="n"/>
      <c r="B249" s="82" t="n"/>
      <c r="C249" s="82" t="n"/>
      <c r="D249" s="84" t="n"/>
      <c r="E249" s="82" t="n"/>
      <c r="F249" s="83" t="n"/>
      <c r="G249" s="82" t="n"/>
      <c r="H249" s="83" t="n"/>
      <c r="I249" s="84" t="n"/>
      <c r="J249" s="84" t="n"/>
      <c r="K249" s="82" t="n"/>
      <c r="L249" s="86" t="n"/>
      <c r="M249" s="90">
        <f>IF($A249="","",COUNTIFS(App_Company,$A249,App_Stage,"&gt;=1"))</f>
        <v/>
      </c>
      <c r="N249" s="90">
        <f>IF($A249="","",COUNTIFS(App_Company,$A249,App_ActiveKey,"&gt;0"))</f>
        <v/>
      </c>
      <c r="O249" s="90">
        <f>IF($A249="","",COUNTIF(Ct_Company,$A249))</f>
        <v/>
      </c>
    </row>
    <row r="250">
      <c r="A250" s="82" t="n"/>
      <c r="B250" s="82" t="n"/>
      <c r="C250" s="82" t="n"/>
      <c r="D250" s="84" t="n"/>
      <c r="E250" s="82" t="n"/>
      <c r="F250" s="83" t="n"/>
      <c r="G250" s="82" t="n"/>
      <c r="H250" s="83" t="n"/>
      <c r="I250" s="84" t="n"/>
      <c r="J250" s="84" t="n"/>
      <c r="K250" s="82" t="n"/>
      <c r="L250" s="86" t="n"/>
      <c r="M250" s="90">
        <f>IF($A250="","",COUNTIFS(App_Company,$A250,App_Stage,"&gt;=1"))</f>
        <v/>
      </c>
      <c r="N250" s="90">
        <f>IF($A250="","",COUNTIFS(App_Company,$A250,App_ActiveKey,"&gt;0"))</f>
        <v/>
      </c>
      <c r="O250" s="90">
        <f>IF($A250="","",COUNTIF(Ct_Company,$A250))</f>
        <v/>
      </c>
    </row>
    <row r="251">
      <c r="A251" s="82" t="n"/>
      <c r="B251" s="82" t="n"/>
      <c r="C251" s="82" t="n"/>
      <c r="D251" s="84" t="n"/>
      <c r="E251" s="82" t="n"/>
      <c r="F251" s="83" t="n"/>
      <c r="G251" s="82" t="n"/>
      <c r="H251" s="83" t="n"/>
      <c r="I251" s="84" t="n"/>
      <c r="J251" s="84" t="n"/>
      <c r="K251" s="82" t="n"/>
      <c r="L251" s="86" t="n"/>
      <c r="M251" s="90">
        <f>IF($A251="","",COUNTIFS(App_Company,$A251,App_Stage,"&gt;=1"))</f>
        <v/>
      </c>
      <c r="N251" s="90">
        <f>IF($A251="","",COUNTIFS(App_Company,$A251,App_ActiveKey,"&gt;0"))</f>
        <v/>
      </c>
      <c r="O251" s="90">
        <f>IF($A251="","",COUNTIF(Ct_Company,$A251))</f>
        <v/>
      </c>
    </row>
    <row r="252">
      <c r="A252" s="82" t="n"/>
      <c r="B252" s="82" t="n"/>
      <c r="C252" s="82" t="n"/>
      <c r="D252" s="84" t="n"/>
      <c r="E252" s="82" t="n"/>
      <c r="F252" s="83" t="n"/>
      <c r="G252" s="82" t="n"/>
      <c r="H252" s="83" t="n"/>
      <c r="I252" s="84" t="n"/>
      <c r="J252" s="84" t="n"/>
      <c r="K252" s="82" t="n"/>
      <c r="L252" s="86" t="n"/>
      <c r="M252" s="90">
        <f>IF($A252="","",COUNTIFS(App_Company,$A252,App_Stage,"&gt;=1"))</f>
        <v/>
      </c>
      <c r="N252" s="90">
        <f>IF($A252="","",COUNTIFS(App_Company,$A252,App_ActiveKey,"&gt;0"))</f>
        <v/>
      </c>
      <c r="O252" s="90">
        <f>IF($A252="","",COUNTIF(Ct_Company,$A252))</f>
        <v/>
      </c>
    </row>
    <row r="253">
      <c r="A253" s="82" t="n"/>
      <c r="B253" s="82" t="n"/>
      <c r="C253" s="82" t="n"/>
      <c r="D253" s="84" t="n"/>
      <c r="E253" s="82" t="n"/>
      <c r="F253" s="83" t="n"/>
      <c r="G253" s="82" t="n"/>
      <c r="H253" s="83" t="n"/>
      <c r="I253" s="84" t="n"/>
      <c r="J253" s="84" t="n"/>
      <c r="K253" s="82" t="n"/>
      <c r="L253" s="86" t="n"/>
      <c r="M253" s="90">
        <f>IF($A253="","",COUNTIFS(App_Company,$A253,App_Stage,"&gt;=1"))</f>
        <v/>
      </c>
      <c r="N253" s="90">
        <f>IF($A253="","",COUNTIFS(App_Company,$A253,App_ActiveKey,"&gt;0"))</f>
        <v/>
      </c>
      <c r="O253" s="90">
        <f>IF($A253="","",COUNTIF(Ct_Company,$A253))</f>
        <v/>
      </c>
    </row>
    <row r="254">
      <c r="A254" s="82" t="n"/>
      <c r="B254" s="82" t="n"/>
      <c r="C254" s="82" t="n"/>
      <c r="D254" s="84" t="n"/>
      <c r="E254" s="82" t="n"/>
      <c r="F254" s="83" t="n"/>
      <c r="G254" s="82" t="n"/>
      <c r="H254" s="83" t="n"/>
      <c r="I254" s="84" t="n"/>
      <c r="J254" s="84" t="n"/>
      <c r="K254" s="82" t="n"/>
      <c r="L254" s="86" t="n"/>
      <c r="M254" s="90">
        <f>IF($A254="","",COUNTIFS(App_Company,$A254,App_Stage,"&gt;=1"))</f>
        <v/>
      </c>
      <c r="N254" s="90">
        <f>IF($A254="","",COUNTIFS(App_Company,$A254,App_ActiveKey,"&gt;0"))</f>
        <v/>
      </c>
      <c r="O254" s="90">
        <f>IF($A254="","",COUNTIF(Ct_Company,$A254))</f>
        <v/>
      </c>
    </row>
    <row r="255">
      <c r="A255" s="82" t="n"/>
      <c r="B255" s="82" t="n"/>
      <c r="C255" s="82" t="n"/>
      <c r="D255" s="84" t="n"/>
      <c r="E255" s="82" t="n"/>
      <c r="F255" s="83" t="n"/>
      <c r="G255" s="82" t="n"/>
      <c r="H255" s="83" t="n"/>
      <c r="I255" s="84" t="n"/>
      <c r="J255" s="84" t="n"/>
      <c r="K255" s="82" t="n"/>
      <c r="L255" s="86" t="n"/>
      <c r="M255" s="90">
        <f>IF($A255="","",COUNTIFS(App_Company,$A255,App_Stage,"&gt;=1"))</f>
        <v/>
      </c>
      <c r="N255" s="90">
        <f>IF($A255="","",COUNTIFS(App_Company,$A255,App_ActiveKey,"&gt;0"))</f>
        <v/>
      </c>
      <c r="O255" s="90">
        <f>IF($A255="","",COUNTIF(Ct_Company,$A255))</f>
        <v/>
      </c>
    </row>
    <row r="256">
      <c r="A256" s="82" t="n"/>
      <c r="B256" s="82" t="n"/>
      <c r="C256" s="82" t="n"/>
      <c r="D256" s="84" t="n"/>
      <c r="E256" s="82" t="n"/>
      <c r="F256" s="83" t="n"/>
      <c r="G256" s="82" t="n"/>
      <c r="H256" s="83" t="n"/>
      <c r="I256" s="84" t="n"/>
      <c r="J256" s="84" t="n"/>
      <c r="K256" s="82" t="n"/>
      <c r="L256" s="86" t="n"/>
      <c r="M256" s="90">
        <f>IF($A256="","",COUNTIFS(App_Company,$A256,App_Stage,"&gt;=1"))</f>
        <v/>
      </c>
      <c r="N256" s="90">
        <f>IF($A256="","",COUNTIFS(App_Company,$A256,App_ActiveKey,"&gt;0"))</f>
        <v/>
      </c>
      <c r="O256" s="90">
        <f>IF($A256="","",COUNTIF(Ct_Company,$A256))</f>
        <v/>
      </c>
    </row>
    <row r="257">
      <c r="A257" s="82" t="n"/>
      <c r="B257" s="82" t="n"/>
      <c r="C257" s="82" t="n"/>
      <c r="D257" s="84" t="n"/>
      <c r="E257" s="82" t="n"/>
      <c r="F257" s="83" t="n"/>
      <c r="G257" s="82" t="n"/>
      <c r="H257" s="83" t="n"/>
      <c r="I257" s="84" t="n"/>
      <c r="J257" s="84" t="n"/>
      <c r="K257" s="82" t="n"/>
      <c r="L257" s="86" t="n"/>
      <c r="M257" s="90">
        <f>IF($A257="","",COUNTIFS(App_Company,$A257,App_Stage,"&gt;=1"))</f>
        <v/>
      </c>
      <c r="N257" s="90">
        <f>IF($A257="","",COUNTIFS(App_Company,$A257,App_ActiveKey,"&gt;0"))</f>
        <v/>
      </c>
      <c r="O257" s="90">
        <f>IF($A257="","",COUNTIF(Ct_Company,$A257))</f>
        <v/>
      </c>
    </row>
    <row r="258">
      <c r="A258" s="82" t="n"/>
      <c r="B258" s="82" t="n"/>
      <c r="C258" s="82" t="n"/>
      <c r="D258" s="84" t="n"/>
      <c r="E258" s="82" t="n"/>
      <c r="F258" s="83" t="n"/>
      <c r="G258" s="82" t="n"/>
      <c r="H258" s="83" t="n"/>
      <c r="I258" s="84" t="n"/>
      <c r="J258" s="84" t="n"/>
      <c r="K258" s="82" t="n"/>
      <c r="L258" s="86" t="n"/>
      <c r="M258" s="90">
        <f>IF($A258="","",COUNTIFS(App_Company,$A258,App_Stage,"&gt;=1"))</f>
        <v/>
      </c>
      <c r="N258" s="90">
        <f>IF($A258="","",COUNTIFS(App_Company,$A258,App_ActiveKey,"&gt;0"))</f>
        <v/>
      </c>
      <c r="O258" s="90">
        <f>IF($A258="","",COUNTIF(Ct_Company,$A258))</f>
        <v/>
      </c>
    </row>
    <row r="259">
      <c r="A259" s="82" t="n"/>
      <c r="B259" s="82" t="n"/>
      <c r="C259" s="82" t="n"/>
      <c r="D259" s="84" t="n"/>
      <c r="E259" s="82" t="n"/>
      <c r="F259" s="83" t="n"/>
      <c r="G259" s="82" t="n"/>
      <c r="H259" s="83" t="n"/>
      <c r="I259" s="84" t="n"/>
      <c r="J259" s="84" t="n"/>
      <c r="K259" s="82" t="n"/>
      <c r="L259" s="86" t="n"/>
      <c r="M259" s="90">
        <f>IF($A259="","",COUNTIFS(App_Company,$A259,App_Stage,"&gt;=1"))</f>
        <v/>
      </c>
      <c r="N259" s="90">
        <f>IF($A259="","",COUNTIFS(App_Company,$A259,App_ActiveKey,"&gt;0"))</f>
        <v/>
      </c>
      <c r="O259" s="90">
        <f>IF($A259="","",COUNTIF(Ct_Company,$A259))</f>
        <v/>
      </c>
    </row>
    <row r="260">
      <c r="A260" s="82" t="n"/>
      <c r="B260" s="82" t="n"/>
      <c r="C260" s="82" t="n"/>
      <c r="D260" s="84" t="n"/>
      <c r="E260" s="82" t="n"/>
      <c r="F260" s="83" t="n"/>
      <c r="G260" s="82" t="n"/>
      <c r="H260" s="83" t="n"/>
      <c r="I260" s="84" t="n"/>
      <c r="J260" s="84" t="n"/>
      <c r="K260" s="82" t="n"/>
      <c r="L260" s="86" t="n"/>
      <c r="M260" s="90">
        <f>IF($A260="","",COUNTIFS(App_Company,$A260,App_Stage,"&gt;=1"))</f>
        <v/>
      </c>
      <c r="N260" s="90">
        <f>IF($A260="","",COUNTIFS(App_Company,$A260,App_ActiveKey,"&gt;0"))</f>
        <v/>
      </c>
      <c r="O260" s="90">
        <f>IF($A260="","",COUNTIF(Ct_Company,$A260))</f>
        <v/>
      </c>
    </row>
    <row r="261">
      <c r="A261" s="82" t="n"/>
      <c r="B261" s="82" t="n"/>
      <c r="C261" s="82" t="n"/>
      <c r="D261" s="84" t="n"/>
      <c r="E261" s="82" t="n"/>
      <c r="F261" s="83" t="n"/>
      <c r="G261" s="82" t="n"/>
      <c r="H261" s="83" t="n"/>
      <c r="I261" s="84" t="n"/>
      <c r="J261" s="84" t="n"/>
      <c r="K261" s="82" t="n"/>
      <c r="L261" s="86" t="n"/>
      <c r="M261" s="90">
        <f>IF($A261="","",COUNTIFS(App_Company,$A261,App_Stage,"&gt;=1"))</f>
        <v/>
      </c>
      <c r="N261" s="90">
        <f>IF($A261="","",COUNTIFS(App_Company,$A261,App_ActiveKey,"&gt;0"))</f>
        <v/>
      </c>
      <c r="O261" s="90">
        <f>IF($A261="","",COUNTIF(Ct_Company,$A261))</f>
        <v/>
      </c>
    </row>
    <row r="262">
      <c r="A262" s="82" t="n"/>
      <c r="B262" s="82" t="n"/>
      <c r="C262" s="82" t="n"/>
      <c r="D262" s="84" t="n"/>
      <c r="E262" s="82" t="n"/>
      <c r="F262" s="83" t="n"/>
      <c r="G262" s="82" t="n"/>
      <c r="H262" s="83" t="n"/>
      <c r="I262" s="84" t="n"/>
      <c r="J262" s="84" t="n"/>
      <c r="K262" s="82" t="n"/>
      <c r="L262" s="86" t="n"/>
      <c r="M262" s="90">
        <f>IF($A262="","",COUNTIFS(App_Company,$A262,App_Stage,"&gt;=1"))</f>
        <v/>
      </c>
      <c r="N262" s="90">
        <f>IF($A262="","",COUNTIFS(App_Company,$A262,App_ActiveKey,"&gt;0"))</f>
        <v/>
      </c>
      <c r="O262" s="90">
        <f>IF($A262="","",COUNTIF(Ct_Company,$A262))</f>
        <v/>
      </c>
    </row>
    <row r="263">
      <c r="A263" s="82" t="n"/>
      <c r="B263" s="82" t="n"/>
      <c r="C263" s="82" t="n"/>
      <c r="D263" s="84" t="n"/>
      <c r="E263" s="82" t="n"/>
      <c r="F263" s="83" t="n"/>
      <c r="G263" s="82" t="n"/>
      <c r="H263" s="83" t="n"/>
      <c r="I263" s="84" t="n"/>
      <c r="J263" s="84" t="n"/>
      <c r="K263" s="82" t="n"/>
      <c r="L263" s="86" t="n"/>
      <c r="M263" s="90">
        <f>IF($A263="","",COUNTIFS(App_Company,$A263,App_Stage,"&gt;=1"))</f>
        <v/>
      </c>
      <c r="N263" s="90">
        <f>IF($A263="","",COUNTIFS(App_Company,$A263,App_ActiveKey,"&gt;0"))</f>
        <v/>
      </c>
      <c r="O263" s="90">
        <f>IF($A263="","",COUNTIF(Ct_Company,$A263))</f>
        <v/>
      </c>
    </row>
    <row r="264">
      <c r="A264" s="82" t="n"/>
      <c r="B264" s="82" t="n"/>
      <c r="C264" s="82" t="n"/>
      <c r="D264" s="84" t="n"/>
      <c r="E264" s="82" t="n"/>
      <c r="F264" s="83" t="n"/>
      <c r="G264" s="82" t="n"/>
      <c r="H264" s="83" t="n"/>
      <c r="I264" s="84" t="n"/>
      <c r="J264" s="84" t="n"/>
      <c r="K264" s="82" t="n"/>
      <c r="L264" s="86" t="n"/>
      <c r="M264" s="90">
        <f>IF($A264="","",COUNTIFS(App_Company,$A264,App_Stage,"&gt;=1"))</f>
        <v/>
      </c>
      <c r="N264" s="90">
        <f>IF($A264="","",COUNTIFS(App_Company,$A264,App_ActiveKey,"&gt;0"))</f>
        <v/>
      </c>
      <c r="O264" s="90">
        <f>IF($A264="","",COUNTIF(Ct_Company,$A264))</f>
        <v/>
      </c>
    </row>
    <row r="265">
      <c r="A265" s="82" t="n"/>
      <c r="B265" s="82" t="n"/>
      <c r="C265" s="82" t="n"/>
      <c r="D265" s="84" t="n"/>
      <c r="E265" s="82" t="n"/>
      <c r="F265" s="83" t="n"/>
      <c r="G265" s="82" t="n"/>
      <c r="H265" s="83" t="n"/>
      <c r="I265" s="84" t="n"/>
      <c r="J265" s="84" t="n"/>
      <c r="K265" s="82" t="n"/>
      <c r="L265" s="86" t="n"/>
      <c r="M265" s="90">
        <f>IF($A265="","",COUNTIFS(App_Company,$A265,App_Stage,"&gt;=1"))</f>
        <v/>
      </c>
      <c r="N265" s="90">
        <f>IF($A265="","",COUNTIFS(App_Company,$A265,App_ActiveKey,"&gt;0"))</f>
        <v/>
      </c>
      <c r="O265" s="90">
        <f>IF($A265="","",COUNTIF(Ct_Company,$A265))</f>
        <v/>
      </c>
    </row>
    <row r="266">
      <c r="A266" s="82" t="n"/>
      <c r="B266" s="82" t="n"/>
      <c r="C266" s="82" t="n"/>
      <c r="D266" s="84" t="n"/>
      <c r="E266" s="82" t="n"/>
      <c r="F266" s="83" t="n"/>
      <c r="G266" s="82" t="n"/>
      <c r="H266" s="83" t="n"/>
      <c r="I266" s="84" t="n"/>
      <c r="J266" s="84" t="n"/>
      <c r="K266" s="82" t="n"/>
      <c r="L266" s="86" t="n"/>
      <c r="M266" s="90">
        <f>IF($A266="","",COUNTIFS(App_Company,$A266,App_Stage,"&gt;=1"))</f>
        <v/>
      </c>
      <c r="N266" s="90">
        <f>IF($A266="","",COUNTIFS(App_Company,$A266,App_ActiveKey,"&gt;0"))</f>
        <v/>
      </c>
      <c r="O266" s="90">
        <f>IF($A266="","",COUNTIF(Ct_Company,$A266))</f>
        <v/>
      </c>
    </row>
    <row r="267">
      <c r="A267" s="82" t="n"/>
      <c r="B267" s="82" t="n"/>
      <c r="C267" s="82" t="n"/>
      <c r="D267" s="84" t="n"/>
      <c r="E267" s="82" t="n"/>
      <c r="F267" s="83" t="n"/>
      <c r="G267" s="82" t="n"/>
      <c r="H267" s="83" t="n"/>
      <c r="I267" s="84" t="n"/>
      <c r="J267" s="84" t="n"/>
      <c r="K267" s="82" t="n"/>
      <c r="L267" s="86" t="n"/>
      <c r="M267" s="90">
        <f>IF($A267="","",COUNTIFS(App_Company,$A267,App_Stage,"&gt;=1"))</f>
        <v/>
      </c>
      <c r="N267" s="90">
        <f>IF($A267="","",COUNTIFS(App_Company,$A267,App_ActiveKey,"&gt;0"))</f>
        <v/>
      </c>
      <c r="O267" s="90">
        <f>IF($A267="","",COUNTIF(Ct_Company,$A267))</f>
        <v/>
      </c>
    </row>
    <row r="268">
      <c r="A268" s="82" t="n"/>
      <c r="B268" s="82" t="n"/>
      <c r="C268" s="82" t="n"/>
      <c r="D268" s="84" t="n"/>
      <c r="E268" s="82" t="n"/>
      <c r="F268" s="83" t="n"/>
      <c r="G268" s="82" t="n"/>
      <c r="H268" s="83" t="n"/>
      <c r="I268" s="84" t="n"/>
      <c r="J268" s="84" t="n"/>
      <c r="K268" s="82" t="n"/>
      <c r="L268" s="86" t="n"/>
      <c r="M268" s="90">
        <f>IF($A268="","",COUNTIFS(App_Company,$A268,App_Stage,"&gt;=1"))</f>
        <v/>
      </c>
      <c r="N268" s="90">
        <f>IF($A268="","",COUNTIFS(App_Company,$A268,App_ActiveKey,"&gt;0"))</f>
        <v/>
      </c>
      <c r="O268" s="90">
        <f>IF($A268="","",COUNTIF(Ct_Company,$A268))</f>
        <v/>
      </c>
    </row>
    <row r="269">
      <c r="A269" s="82" t="n"/>
      <c r="B269" s="82" t="n"/>
      <c r="C269" s="82" t="n"/>
      <c r="D269" s="84" t="n"/>
      <c r="E269" s="82" t="n"/>
      <c r="F269" s="83" t="n"/>
      <c r="G269" s="82" t="n"/>
      <c r="H269" s="83" t="n"/>
      <c r="I269" s="84" t="n"/>
      <c r="J269" s="84" t="n"/>
      <c r="K269" s="82" t="n"/>
      <c r="L269" s="86" t="n"/>
      <c r="M269" s="90">
        <f>IF($A269="","",COUNTIFS(App_Company,$A269,App_Stage,"&gt;=1"))</f>
        <v/>
      </c>
      <c r="N269" s="90">
        <f>IF($A269="","",COUNTIFS(App_Company,$A269,App_ActiveKey,"&gt;0"))</f>
        <v/>
      </c>
      <c r="O269" s="90">
        <f>IF($A269="","",COUNTIF(Ct_Company,$A269))</f>
        <v/>
      </c>
    </row>
    <row r="270">
      <c r="A270" s="82" t="n"/>
      <c r="B270" s="82" t="n"/>
      <c r="C270" s="82" t="n"/>
      <c r="D270" s="84" t="n"/>
      <c r="E270" s="82" t="n"/>
      <c r="F270" s="83" t="n"/>
      <c r="G270" s="82" t="n"/>
      <c r="H270" s="83" t="n"/>
      <c r="I270" s="84" t="n"/>
      <c r="J270" s="84" t="n"/>
      <c r="K270" s="82" t="n"/>
      <c r="L270" s="86" t="n"/>
      <c r="M270" s="90">
        <f>IF($A270="","",COUNTIFS(App_Company,$A270,App_Stage,"&gt;=1"))</f>
        <v/>
      </c>
      <c r="N270" s="90">
        <f>IF($A270="","",COUNTIFS(App_Company,$A270,App_ActiveKey,"&gt;0"))</f>
        <v/>
      </c>
      <c r="O270" s="90">
        <f>IF($A270="","",COUNTIF(Ct_Company,$A270))</f>
        <v/>
      </c>
    </row>
    <row r="271">
      <c r="A271" s="82" t="n"/>
      <c r="B271" s="82" t="n"/>
      <c r="C271" s="82" t="n"/>
      <c r="D271" s="84" t="n"/>
      <c r="E271" s="82" t="n"/>
      <c r="F271" s="83" t="n"/>
      <c r="G271" s="82" t="n"/>
      <c r="H271" s="83" t="n"/>
      <c r="I271" s="84" t="n"/>
      <c r="J271" s="84" t="n"/>
      <c r="K271" s="82" t="n"/>
      <c r="L271" s="86" t="n"/>
      <c r="M271" s="90">
        <f>IF($A271="","",COUNTIFS(App_Company,$A271,App_Stage,"&gt;=1"))</f>
        <v/>
      </c>
      <c r="N271" s="90">
        <f>IF($A271="","",COUNTIFS(App_Company,$A271,App_ActiveKey,"&gt;0"))</f>
        <v/>
      </c>
      <c r="O271" s="90">
        <f>IF($A271="","",COUNTIF(Ct_Company,$A271))</f>
        <v/>
      </c>
    </row>
    <row r="272">
      <c r="A272" s="82" t="n"/>
      <c r="B272" s="82" t="n"/>
      <c r="C272" s="82" t="n"/>
      <c r="D272" s="84" t="n"/>
      <c r="E272" s="82" t="n"/>
      <c r="F272" s="83" t="n"/>
      <c r="G272" s="82" t="n"/>
      <c r="H272" s="83" t="n"/>
      <c r="I272" s="84" t="n"/>
      <c r="J272" s="84" t="n"/>
      <c r="K272" s="82" t="n"/>
      <c r="L272" s="86" t="n"/>
      <c r="M272" s="90">
        <f>IF($A272="","",COUNTIFS(App_Company,$A272,App_Stage,"&gt;=1"))</f>
        <v/>
      </c>
      <c r="N272" s="90">
        <f>IF($A272="","",COUNTIFS(App_Company,$A272,App_ActiveKey,"&gt;0"))</f>
        <v/>
      </c>
      <c r="O272" s="90">
        <f>IF($A272="","",COUNTIF(Ct_Company,$A272))</f>
        <v/>
      </c>
    </row>
    <row r="273">
      <c r="A273" s="82" t="n"/>
      <c r="B273" s="82" t="n"/>
      <c r="C273" s="82" t="n"/>
      <c r="D273" s="84" t="n"/>
      <c r="E273" s="82" t="n"/>
      <c r="F273" s="83" t="n"/>
      <c r="G273" s="82" t="n"/>
      <c r="H273" s="83" t="n"/>
      <c r="I273" s="84" t="n"/>
      <c r="J273" s="84" t="n"/>
      <c r="K273" s="82" t="n"/>
      <c r="L273" s="86" t="n"/>
      <c r="M273" s="90">
        <f>IF($A273="","",COUNTIFS(App_Company,$A273,App_Stage,"&gt;=1"))</f>
        <v/>
      </c>
      <c r="N273" s="90">
        <f>IF($A273="","",COUNTIFS(App_Company,$A273,App_ActiveKey,"&gt;0"))</f>
        <v/>
      </c>
      <c r="O273" s="90">
        <f>IF($A273="","",COUNTIF(Ct_Company,$A273))</f>
        <v/>
      </c>
    </row>
    <row r="274">
      <c r="A274" s="82" t="n"/>
      <c r="B274" s="82" t="n"/>
      <c r="C274" s="82" t="n"/>
      <c r="D274" s="84" t="n"/>
      <c r="E274" s="82" t="n"/>
      <c r="F274" s="83" t="n"/>
      <c r="G274" s="82" t="n"/>
      <c r="H274" s="83" t="n"/>
      <c r="I274" s="84" t="n"/>
      <c r="J274" s="84" t="n"/>
      <c r="K274" s="82" t="n"/>
      <c r="L274" s="86" t="n"/>
      <c r="M274" s="90">
        <f>IF($A274="","",COUNTIFS(App_Company,$A274,App_Stage,"&gt;=1"))</f>
        <v/>
      </c>
      <c r="N274" s="90">
        <f>IF($A274="","",COUNTIFS(App_Company,$A274,App_ActiveKey,"&gt;0"))</f>
        <v/>
      </c>
      <c r="O274" s="90">
        <f>IF($A274="","",COUNTIF(Ct_Company,$A274))</f>
        <v/>
      </c>
    </row>
    <row r="275">
      <c r="A275" s="82" t="n"/>
      <c r="B275" s="82" t="n"/>
      <c r="C275" s="82" t="n"/>
      <c r="D275" s="84" t="n"/>
      <c r="E275" s="82" t="n"/>
      <c r="F275" s="83" t="n"/>
      <c r="G275" s="82" t="n"/>
      <c r="H275" s="83" t="n"/>
      <c r="I275" s="84" t="n"/>
      <c r="J275" s="84" t="n"/>
      <c r="K275" s="82" t="n"/>
      <c r="L275" s="86" t="n"/>
      <c r="M275" s="90">
        <f>IF($A275="","",COUNTIFS(App_Company,$A275,App_Stage,"&gt;=1"))</f>
        <v/>
      </c>
      <c r="N275" s="90">
        <f>IF($A275="","",COUNTIFS(App_Company,$A275,App_ActiveKey,"&gt;0"))</f>
        <v/>
      </c>
      <c r="O275" s="90">
        <f>IF($A275="","",COUNTIF(Ct_Company,$A275))</f>
        <v/>
      </c>
    </row>
    <row r="276">
      <c r="A276" s="82" t="n"/>
      <c r="B276" s="82" t="n"/>
      <c r="C276" s="82" t="n"/>
      <c r="D276" s="84" t="n"/>
      <c r="E276" s="82" t="n"/>
      <c r="F276" s="83" t="n"/>
      <c r="G276" s="82" t="n"/>
      <c r="H276" s="83" t="n"/>
      <c r="I276" s="84" t="n"/>
      <c r="J276" s="84" t="n"/>
      <c r="K276" s="82" t="n"/>
      <c r="L276" s="86" t="n"/>
      <c r="M276" s="90">
        <f>IF($A276="","",COUNTIFS(App_Company,$A276,App_Stage,"&gt;=1"))</f>
        <v/>
      </c>
      <c r="N276" s="90">
        <f>IF($A276="","",COUNTIFS(App_Company,$A276,App_ActiveKey,"&gt;0"))</f>
        <v/>
      </c>
      <c r="O276" s="90">
        <f>IF($A276="","",COUNTIF(Ct_Company,$A276))</f>
        <v/>
      </c>
    </row>
    <row r="277">
      <c r="A277" s="82" t="n"/>
      <c r="B277" s="82" t="n"/>
      <c r="C277" s="82" t="n"/>
      <c r="D277" s="84" t="n"/>
      <c r="E277" s="82" t="n"/>
      <c r="F277" s="83" t="n"/>
      <c r="G277" s="82" t="n"/>
      <c r="H277" s="83" t="n"/>
      <c r="I277" s="84" t="n"/>
      <c r="J277" s="84" t="n"/>
      <c r="K277" s="82" t="n"/>
      <c r="L277" s="86" t="n"/>
      <c r="M277" s="90">
        <f>IF($A277="","",COUNTIFS(App_Company,$A277,App_Stage,"&gt;=1"))</f>
        <v/>
      </c>
      <c r="N277" s="90">
        <f>IF($A277="","",COUNTIFS(App_Company,$A277,App_ActiveKey,"&gt;0"))</f>
        <v/>
      </c>
      <c r="O277" s="90">
        <f>IF($A277="","",COUNTIF(Ct_Company,$A277))</f>
        <v/>
      </c>
    </row>
    <row r="278">
      <c r="A278" s="82" t="n"/>
      <c r="B278" s="82" t="n"/>
      <c r="C278" s="82" t="n"/>
      <c r="D278" s="84" t="n"/>
      <c r="E278" s="82" t="n"/>
      <c r="F278" s="83" t="n"/>
      <c r="G278" s="82" t="n"/>
      <c r="H278" s="83" t="n"/>
      <c r="I278" s="84" t="n"/>
      <c r="J278" s="84" t="n"/>
      <c r="K278" s="82" t="n"/>
      <c r="L278" s="86" t="n"/>
      <c r="M278" s="90">
        <f>IF($A278="","",COUNTIFS(App_Company,$A278,App_Stage,"&gt;=1"))</f>
        <v/>
      </c>
      <c r="N278" s="90">
        <f>IF($A278="","",COUNTIFS(App_Company,$A278,App_ActiveKey,"&gt;0"))</f>
        <v/>
      </c>
      <c r="O278" s="90">
        <f>IF($A278="","",COUNTIF(Ct_Company,$A278))</f>
        <v/>
      </c>
    </row>
    <row r="279">
      <c r="A279" s="82" t="n"/>
      <c r="B279" s="82" t="n"/>
      <c r="C279" s="82" t="n"/>
      <c r="D279" s="84" t="n"/>
      <c r="E279" s="82" t="n"/>
      <c r="F279" s="83" t="n"/>
      <c r="G279" s="82" t="n"/>
      <c r="H279" s="83" t="n"/>
      <c r="I279" s="84" t="n"/>
      <c r="J279" s="84" t="n"/>
      <c r="K279" s="82" t="n"/>
      <c r="L279" s="86" t="n"/>
      <c r="M279" s="90">
        <f>IF($A279="","",COUNTIFS(App_Company,$A279,App_Stage,"&gt;=1"))</f>
        <v/>
      </c>
      <c r="N279" s="90">
        <f>IF($A279="","",COUNTIFS(App_Company,$A279,App_ActiveKey,"&gt;0"))</f>
        <v/>
      </c>
      <c r="O279" s="90">
        <f>IF($A279="","",COUNTIF(Ct_Company,$A279))</f>
        <v/>
      </c>
    </row>
    <row r="280">
      <c r="A280" s="82" t="n"/>
      <c r="B280" s="82" t="n"/>
      <c r="C280" s="82" t="n"/>
      <c r="D280" s="84" t="n"/>
      <c r="E280" s="82" t="n"/>
      <c r="F280" s="83" t="n"/>
      <c r="G280" s="82" t="n"/>
      <c r="H280" s="83" t="n"/>
      <c r="I280" s="84" t="n"/>
      <c r="J280" s="84" t="n"/>
      <c r="K280" s="82" t="n"/>
      <c r="L280" s="86" t="n"/>
      <c r="M280" s="90">
        <f>IF($A280="","",COUNTIFS(App_Company,$A280,App_Stage,"&gt;=1"))</f>
        <v/>
      </c>
      <c r="N280" s="90">
        <f>IF($A280="","",COUNTIFS(App_Company,$A280,App_ActiveKey,"&gt;0"))</f>
        <v/>
      </c>
      <c r="O280" s="90">
        <f>IF($A280="","",COUNTIF(Ct_Company,$A280))</f>
        <v/>
      </c>
    </row>
    <row r="281">
      <c r="A281" s="82" t="n"/>
      <c r="B281" s="82" t="n"/>
      <c r="C281" s="82" t="n"/>
      <c r="D281" s="84" t="n"/>
      <c r="E281" s="82" t="n"/>
      <c r="F281" s="83" t="n"/>
      <c r="G281" s="82" t="n"/>
      <c r="H281" s="83" t="n"/>
      <c r="I281" s="84" t="n"/>
      <c r="J281" s="84" t="n"/>
      <c r="K281" s="82" t="n"/>
      <c r="L281" s="86" t="n"/>
      <c r="M281" s="90">
        <f>IF($A281="","",COUNTIFS(App_Company,$A281,App_Stage,"&gt;=1"))</f>
        <v/>
      </c>
      <c r="N281" s="90">
        <f>IF($A281="","",COUNTIFS(App_Company,$A281,App_ActiveKey,"&gt;0"))</f>
        <v/>
      </c>
      <c r="O281" s="90">
        <f>IF($A281="","",COUNTIF(Ct_Company,$A281))</f>
        <v/>
      </c>
    </row>
    <row r="282">
      <c r="A282" s="82" t="n"/>
      <c r="B282" s="82" t="n"/>
      <c r="C282" s="82" t="n"/>
      <c r="D282" s="84" t="n"/>
      <c r="E282" s="82" t="n"/>
      <c r="F282" s="83" t="n"/>
      <c r="G282" s="82" t="n"/>
      <c r="H282" s="83" t="n"/>
      <c r="I282" s="84" t="n"/>
      <c r="J282" s="84" t="n"/>
      <c r="K282" s="82" t="n"/>
      <c r="L282" s="86" t="n"/>
      <c r="M282" s="90">
        <f>IF($A282="","",COUNTIFS(App_Company,$A282,App_Stage,"&gt;=1"))</f>
        <v/>
      </c>
      <c r="N282" s="90">
        <f>IF($A282="","",COUNTIFS(App_Company,$A282,App_ActiveKey,"&gt;0"))</f>
        <v/>
      </c>
      <c r="O282" s="90">
        <f>IF($A282="","",COUNTIF(Ct_Company,$A282))</f>
        <v/>
      </c>
    </row>
    <row r="283">
      <c r="A283" s="82" t="n"/>
      <c r="B283" s="82" t="n"/>
      <c r="C283" s="82" t="n"/>
      <c r="D283" s="84" t="n"/>
      <c r="E283" s="82" t="n"/>
      <c r="F283" s="83" t="n"/>
      <c r="G283" s="82" t="n"/>
      <c r="H283" s="83" t="n"/>
      <c r="I283" s="84" t="n"/>
      <c r="J283" s="84" t="n"/>
      <c r="K283" s="82" t="n"/>
      <c r="L283" s="86" t="n"/>
      <c r="M283" s="90">
        <f>IF($A283="","",COUNTIFS(App_Company,$A283,App_Stage,"&gt;=1"))</f>
        <v/>
      </c>
      <c r="N283" s="90">
        <f>IF($A283="","",COUNTIFS(App_Company,$A283,App_ActiveKey,"&gt;0"))</f>
        <v/>
      </c>
      <c r="O283" s="90">
        <f>IF($A283="","",COUNTIF(Ct_Company,$A283))</f>
        <v/>
      </c>
    </row>
    <row r="284">
      <c r="A284" s="82" t="n"/>
      <c r="B284" s="82" t="n"/>
      <c r="C284" s="82" t="n"/>
      <c r="D284" s="84" t="n"/>
      <c r="E284" s="82" t="n"/>
      <c r="F284" s="83" t="n"/>
      <c r="G284" s="82" t="n"/>
      <c r="H284" s="83" t="n"/>
      <c r="I284" s="84" t="n"/>
      <c r="J284" s="84" t="n"/>
      <c r="K284" s="82" t="n"/>
      <c r="L284" s="86" t="n"/>
      <c r="M284" s="90">
        <f>IF($A284="","",COUNTIFS(App_Company,$A284,App_Stage,"&gt;=1"))</f>
        <v/>
      </c>
      <c r="N284" s="90">
        <f>IF($A284="","",COUNTIFS(App_Company,$A284,App_ActiveKey,"&gt;0"))</f>
        <v/>
      </c>
      <c r="O284" s="90">
        <f>IF($A284="","",COUNTIF(Ct_Company,$A284))</f>
        <v/>
      </c>
    </row>
    <row r="285">
      <c r="A285" s="82" t="n"/>
      <c r="B285" s="82" t="n"/>
      <c r="C285" s="82" t="n"/>
      <c r="D285" s="84" t="n"/>
      <c r="E285" s="82" t="n"/>
      <c r="F285" s="83" t="n"/>
      <c r="G285" s="82" t="n"/>
      <c r="H285" s="83" t="n"/>
      <c r="I285" s="84" t="n"/>
      <c r="J285" s="84" t="n"/>
      <c r="K285" s="82" t="n"/>
      <c r="L285" s="86" t="n"/>
      <c r="M285" s="90">
        <f>IF($A285="","",COUNTIFS(App_Company,$A285,App_Stage,"&gt;=1"))</f>
        <v/>
      </c>
      <c r="N285" s="90">
        <f>IF($A285="","",COUNTIFS(App_Company,$A285,App_ActiveKey,"&gt;0"))</f>
        <v/>
      </c>
      <c r="O285" s="90">
        <f>IF($A285="","",COUNTIF(Ct_Company,$A285))</f>
        <v/>
      </c>
    </row>
    <row r="286">
      <c r="A286" s="82" t="n"/>
      <c r="B286" s="82" t="n"/>
      <c r="C286" s="82" t="n"/>
      <c r="D286" s="84" t="n"/>
      <c r="E286" s="82" t="n"/>
      <c r="F286" s="83" t="n"/>
      <c r="G286" s="82" t="n"/>
      <c r="H286" s="83" t="n"/>
      <c r="I286" s="84" t="n"/>
      <c r="J286" s="84" t="n"/>
      <c r="K286" s="82" t="n"/>
      <c r="L286" s="86" t="n"/>
      <c r="M286" s="90">
        <f>IF($A286="","",COUNTIFS(App_Company,$A286,App_Stage,"&gt;=1"))</f>
        <v/>
      </c>
      <c r="N286" s="90">
        <f>IF($A286="","",COUNTIFS(App_Company,$A286,App_ActiveKey,"&gt;0"))</f>
        <v/>
      </c>
      <c r="O286" s="90">
        <f>IF($A286="","",COUNTIF(Ct_Company,$A286))</f>
        <v/>
      </c>
    </row>
    <row r="287">
      <c r="A287" s="82" t="n"/>
      <c r="B287" s="82" t="n"/>
      <c r="C287" s="82" t="n"/>
      <c r="D287" s="84" t="n"/>
      <c r="E287" s="82" t="n"/>
      <c r="F287" s="83" t="n"/>
      <c r="G287" s="82" t="n"/>
      <c r="H287" s="83" t="n"/>
      <c r="I287" s="84" t="n"/>
      <c r="J287" s="84" t="n"/>
      <c r="K287" s="82" t="n"/>
      <c r="L287" s="86" t="n"/>
      <c r="M287" s="90">
        <f>IF($A287="","",COUNTIFS(App_Company,$A287,App_Stage,"&gt;=1"))</f>
        <v/>
      </c>
      <c r="N287" s="90">
        <f>IF($A287="","",COUNTIFS(App_Company,$A287,App_ActiveKey,"&gt;0"))</f>
        <v/>
      </c>
      <c r="O287" s="90">
        <f>IF($A287="","",COUNTIF(Ct_Company,$A287))</f>
        <v/>
      </c>
    </row>
    <row r="288">
      <c r="A288" s="82" t="n"/>
      <c r="B288" s="82" t="n"/>
      <c r="C288" s="82" t="n"/>
      <c r="D288" s="84" t="n"/>
      <c r="E288" s="82" t="n"/>
      <c r="F288" s="83" t="n"/>
      <c r="G288" s="82" t="n"/>
      <c r="H288" s="83" t="n"/>
      <c r="I288" s="84" t="n"/>
      <c r="J288" s="84" t="n"/>
      <c r="K288" s="82" t="n"/>
      <c r="L288" s="86" t="n"/>
      <c r="M288" s="90">
        <f>IF($A288="","",COUNTIFS(App_Company,$A288,App_Stage,"&gt;=1"))</f>
        <v/>
      </c>
      <c r="N288" s="90">
        <f>IF($A288="","",COUNTIFS(App_Company,$A288,App_ActiveKey,"&gt;0"))</f>
        <v/>
      </c>
      <c r="O288" s="90">
        <f>IF($A288="","",COUNTIF(Ct_Company,$A288))</f>
        <v/>
      </c>
    </row>
    <row r="289">
      <c r="A289" s="82" t="n"/>
      <c r="B289" s="82" t="n"/>
      <c r="C289" s="82" t="n"/>
      <c r="D289" s="84" t="n"/>
      <c r="E289" s="82" t="n"/>
      <c r="F289" s="83" t="n"/>
      <c r="G289" s="82" t="n"/>
      <c r="H289" s="83" t="n"/>
      <c r="I289" s="84" t="n"/>
      <c r="J289" s="84" t="n"/>
      <c r="K289" s="82" t="n"/>
      <c r="L289" s="86" t="n"/>
      <c r="M289" s="90">
        <f>IF($A289="","",COUNTIFS(App_Company,$A289,App_Stage,"&gt;=1"))</f>
        <v/>
      </c>
      <c r="N289" s="90">
        <f>IF($A289="","",COUNTIFS(App_Company,$A289,App_ActiveKey,"&gt;0"))</f>
        <v/>
      </c>
      <c r="O289" s="90">
        <f>IF($A289="","",COUNTIF(Ct_Company,$A289))</f>
        <v/>
      </c>
    </row>
    <row r="290">
      <c r="A290" s="82" t="n"/>
      <c r="B290" s="82" t="n"/>
      <c r="C290" s="82" t="n"/>
      <c r="D290" s="84" t="n"/>
      <c r="E290" s="82" t="n"/>
      <c r="F290" s="83" t="n"/>
      <c r="G290" s="82" t="n"/>
      <c r="H290" s="83" t="n"/>
      <c r="I290" s="84" t="n"/>
      <c r="J290" s="84" t="n"/>
      <c r="K290" s="82" t="n"/>
      <c r="L290" s="86" t="n"/>
      <c r="M290" s="90">
        <f>IF($A290="","",COUNTIFS(App_Company,$A290,App_Stage,"&gt;=1"))</f>
        <v/>
      </c>
      <c r="N290" s="90">
        <f>IF($A290="","",COUNTIFS(App_Company,$A290,App_ActiveKey,"&gt;0"))</f>
        <v/>
      </c>
      <c r="O290" s="90">
        <f>IF($A290="","",COUNTIF(Ct_Company,$A290))</f>
        <v/>
      </c>
    </row>
    <row r="291">
      <c r="A291" s="82" t="n"/>
      <c r="B291" s="82" t="n"/>
      <c r="C291" s="82" t="n"/>
      <c r="D291" s="84" t="n"/>
      <c r="E291" s="82" t="n"/>
      <c r="F291" s="83" t="n"/>
      <c r="G291" s="82" t="n"/>
      <c r="H291" s="83" t="n"/>
      <c r="I291" s="84" t="n"/>
      <c r="J291" s="84" t="n"/>
      <c r="K291" s="82" t="n"/>
      <c r="L291" s="86" t="n"/>
      <c r="M291" s="90">
        <f>IF($A291="","",COUNTIFS(App_Company,$A291,App_Stage,"&gt;=1"))</f>
        <v/>
      </c>
      <c r="N291" s="90">
        <f>IF($A291="","",COUNTIFS(App_Company,$A291,App_ActiveKey,"&gt;0"))</f>
        <v/>
      </c>
      <c r="O291" s="90">
        <f>IF($A291="","",COUNTIF(Ct_Company,$A291))</f>
        <v/>
      </c>
    </row>
    <row r="292">
      <c r="A292" s="82" t="n"/>
      <c r="B292" s="82" t="n"/>
      <c r="C292" s="82" t="n"/>
      <c r="D292" s="84" t="n"/>
      <c r="E292" s="82" t="n"/>
      <c r="F292" s="83" t="n"/>
      <c r="G292" s="82" t="n"/>
      <c r="H292" s="83" t="n"/>
      <c r="I292" s="84" t="n"/>
      <c r="J292" s="84" t="n"/>
      <c r="K292" s="82" t="n"/>
      <c r="L292" s="86" t="n"/>
      <c r="M292" s="90">
        <f>IF($A292="","",COUNTIFS(App_Company,$A292,App_Stage,"&gt;=1"))</f>
        <v/>
      </c>
      <c r="N292" s="90">
        <f>IF($A292="","",COUNTIFS(App_Company,$A292,App_ActiveKey,"&gt;0"))</f>
        <v/>
      </c>
      <c r="O292" s="90">
        <f>IF($A292="","",COUNTIF(Ct_Company,$A292))</f>
        <v/>
      </c>
    </row>
    <row r="293">
      <c r="A293" s="82" t="n"/>
      <c r="B293" s="82" t="n"/>
      <c r="C293" s="82" t="n"/>
      <c r="D293" s="84" t="n"/>
      <c r="E293" s="82" t="n"/>
      <c r="F293" s="83" t="n"/>
      <c r="G293" s="82" t="n"/>
      <c r="H293" s="83" t="n"/>
      <c r="I293" s="84" t="n"/>
      <c r="J293" s="84" t="n"/>
      <c r="K293" s="82" t="n"/>
      <c r="L293" s="86" t="n"/>
      <c r="M293" s="90">
        <f>IF($A293="","",COUNTIFS(App_Company,$A293,App_Stage,"&gt;=1"))</f>
        <v/>
      </c>
      <c r="N293" s="90">
        <f>IF($A293="","",COUNTIFS(App_Company,$A293,App_ActiveKey,"&gt;0"))</f>
        <v/>
      </c>
      <c r="O293" s="90">
        <f>IF($A293="","",COUNTIF(Ct_Company,$A293))</f>
        <v/>
      </c>
    </row>
    <row r="294">
      <c r="A294" s="82" t="n"/>
      <c r="B294" s="82" t="n"/>
      <c r="C294" s="82" t="n"/>
      <c r="D294" s="84" t="n"/>
      <c r="E294" s="82" t="n"/>
      <c r="F294" s="83" t="n"/>
      <c r="G294" s="82" t="n"/>
      <c r="H294" s="83" t="n"/>
      <c r="I294" s="84" t="n"/>
      <c r="J294" s="84" t="n"/>
      <c r="K294" s="82" t="n"/>
      <c r="L294" s="86" t="n"/>
      <c r="M294" s="90">
        <f>IF($A294="","",COUNTIFS(App_Company,$A294,App_Stage,"&gt;=1"))</f>
        <v/>
      </c>
      <c r="N294" s="90">
        <f>IF($A294="","",COUNTIFS(App_Company,$A294,App_ActiveKey,"&gt;0"))</f>
        <v/>
      </c>
      <c r="O294" s="90">
        <f>IF($A294="","",COUNTIF(Ct_Company,$A294))</f>
        <v/>
      </c>
    </row>
    <row r="295">
      <c r="A295" s="82" t="n"/>
      <c r="B295" s="82" t="n"/>
      <c r="C295" s="82" t="n"/>
      <c r="D295" s="84" t="n"/>
      <c r="E295" s="82" t="n"/>
      <c r="F295" s="83" t="n"/>
      <c r="G295" s="82" t="n"/>
      <c r="H295" s="83" t="n"/>
      <c r="I295" s="84" t="n"/>
      <c r="J295" s="84" t="n"/>
      <c r="K295" s="82" t="n"/>
      <c r="L295" s="86" t="n"/>
      <c r="M295" s="90">
        <f>IF($A295="","",COUNTIFS(App_Company,$A295,App_Stage,"&gt;=1"))</f>
        <v/>
      </c>
      <c r="N295" s="90">
        <f>IF($A295="","",COUNTIFS(App_Company,$A295,App_ActiveKey,"&gt;0"))</f>
        <v/>
      </c>
      <c r="O295" s="90">
        <f>IF($A295="","",COUNTIF(Ct_Company,$A295))</f>
        <v/>
      </c>
    </row>
    <row r="296">
      <c r="A296" s="82" t="n"/>
      <c r="B296" s="82" t="n"/>
      <c r="C296" s="82" t="n"/>
      <c r="D296" s="84" t="n"/>
      <c r="E296" s="82" t="n"/>
      <c r="F296" s="83" t="n"/>
      <c r="G296" s="82" t="n"/>
      <c r="H296" s="83" t="n"/>
      <c r="I296" s="84" t="n"/>
      <c r="J296" s="84" t="n"/>
      <c r="K296" s="82" t="n"/>
      <c r="L296" s="86" t="n"/>
      <c r="M296" s="90">
        <f>IF($A296="","",COUNTIFS(App_Company,$A296,App_Stage,"&gt;=1"))</f>
        <v/>
      </c>
      <c r="N296" s="90">
        <f>IF($A296="","",COUNTIFS(App_Company,$A296,App_ActiveKey,"&gt;0"))</f>
        <v/>
      </c>
      <c r="O296" s="90">
        <f>IF($A296="","",COUNTIF(Ct_Company,$A296))</f>
        <v/>
      </c>
    </row>
    <row r="297">
      <c r="A297" s="82" t="n"/>
      <c r="B297" s="82" t="n"/>
      <c r="C297" s="82" t="n"/>
      <c r="D297" s="84" t="n"/>
      <c r="E297" s="82" t="n"/>
      <c r="F297" s="83" t="n"/>
      <c r="G297" s="82" t="n"/>
      <c r="H297" s="83" t="n"/>
      <c r="I297" s="84" t="n"/>
      <c r="J297" s="84" t="n"/>
      <c r="K297" s="82" t="n"/>
      <c r="L297" s="86" t="n"/>
      <c r="M297" s="90">
        <f>IF($A297="","",COUNTIFS(App_Company,$A297,App_Stage,"&gt;=1"))</f>
        <v/>
      </c>
      <c r="N297" s="90">
        <f>IF($A297="","",COUNTIFS(App_Company,$A297,App_ActiveKey,"&gt;0"))</f>
        <v/>
      </c>
      <c r="O297" s="90">
        <f>IF($A297="","",COUNTIF(Ct_Company,$A297))</f>
        <v/>
      </c>
    </row>
    <row r="298">
      <c r="A298" s="82" t="n"/>
      <c r="B298" s="82" t="n"/>
      <c r="C298" s="82" t="n"/>
      <c r="D298" s="84" t="n"/>
      <c r="E298" s="82" t="n"/>
      <c r="F298" s="83" t="n"/>
      <c r="G298" s="82" t="n"/>
      <c r="H298" s="83" t="n"/>
      <c r="I298" s="84" t="n"/>
      <c r="J298" s="84" t="n"/>
      <c r="K298" s="82" t="n"/>
      <c r="L298" s="86" t="n"/>
      <c r="M298" s="90">
        <f>IF($A298="","",COUNTIFS(App_Company,$A298,App_Stage,"&gt;=1"))</f>
        <v/>
      </c>
      <c r="N298" s="90">
        <f>IF($A298="","",COUNTIFS(App_Company,$A298,App_ActiveKey,"&gt;0"))</f>
        <v/>
      </c>
      <c r="O298" s="90">
        <f>IF($A298="","",COUNTIF(Ct_Company,$A298))</f>
        <v/>
      </c>
    </row>
    <row r="299">
      <c r="A299" s="82" t="n"/>
      <c r="B299" s="82" t="n"/>
      <c r="C299" s="82" t="n"/>
      <c r="D299" s="84" t="n"/>
      <c r="E299" s="82" t="n"/>
      <c r="F299" s="83" t="n"/>
      <c r="G299" s="82" t="n"/>
      <c r="H299" s="83" t="n"/>
      <c r="I299" s="84" t="n"/>
      <c r="J299" s="84" t="n"/>
      <c r="K299" s="82" t="n"/>
      <c r="L299" s="86" t="n"/>
      <c r="M299" s="90">
        <f>IF($A299="","",COUNTIFS(App_Company,$A299,App_Stage,"&gt;=1"))</f>
        <v/>
      </c>
      <c r="N299" s="90">
        <f>IF($A299="","",COUNTIFS(App_Company,$A299,App_ActiveKey,"&gt;0"))</f>
        <v/>
      </c>
      <c r="O299" s="90">
        <f>IF($A299="","",COUNTIF(Ct_Company,$A299))</f>
        <v/>
      </c>
    </row>
    <row r="300">
      <c r="A300" s="82" t="n"/>
      <c r="B300" s="82" t="n"/>
      <c r="C300" s="82" t="n"/>
      <c r="D300" s="84" t="n"/>
      <c r="E300" s="82" t="n"/>
      <c r="F300" s="83" t="n"/>
      <c r="G300" s="82" t="n"/>
      <c r="H300" s="83" t="n"/>
      <c r="I300" s="84" t="n"/>
      <c r="J300" s="84" t="n"/>
      <c r="K300" s="82" t="n"/>
      <c r="L300" s="86" t="n"/>
      <c r="M300" s="90">
        <f>IF($A300="","",COUNTIFS(App_Company,$A300,App_Stage,"&gt;=1"))</f>
        <v/>
      </c>
      <c r="N300" s="90">
        <f>IF($A300="","",COUNTIFS(App_Company,$A300,App_ActiveKey,"&gt;0"))</f>
        <v/>
      </c>
      <c r="O300" s="90">
        <f>IF($A300="","",COUNTIF(Ct_Company,$A300))</f>
        <v/>
      </c>
    </row>
    <row r="301">
      <c r="A301" s="82" t="n"/>
      <c r="B301" s="82" t="n"/>
      <c r="C301" s="82" t="n"/>
      <c r="D301" s="84" t="n"/>
      <c r="E301" s="82" t="n"/>
      <c r="F301" s="83" t="n"/>
      <c r="G301" s="82" t="n"/>
      <c r="H301" s="83" t="n"/>
      <c r="I301" s="84" t="n"/>
      <c r="J301" s="84" t="n"/>
      <c r="K301" s="82" t="n"/>
      <c r="L301" s="86" t="n"/>
      <c r="M301" s="90">
        <f>IF($A301="","",COUNTIFS(App_Company,$A301,App_Stage,"&gt;=1"))</f>
        <v/>
      </c>
      <c r="N301" s="90">
        <f>IF($A301="","",COUNTIFS(App_Company,$A301,App_ActiveKey,"&gt;0"))</f>
        <v/>
      </c>
      <c r="O301" s="90">
        <f>IF($A301="","",COUNTIF(Ct_Company,$A301))</f>
        <v/>
      </c>
    </row>
    <row r="302">
      <c r="A302" s="82" t="n"/>
      <c r="B302" s="82" t="n"/>
      <c r="C302" s="82" t="n"/>
      <c r="D302" s="84" t="n"/>
      <c r="E302" s="82" t="n"/>
      <c r="F302" s="83" t="n"/>
      <c r="G302" s="82" t="n"/>
      <c r="H302" s="83" t="n"/>
      <c r="I302" s="84" t="n"/>
      <c r="J302" s="84" t="n"/>
      <c r="K302" s="82" t="n"/>
      <c r="L302" s="86" t="n"/>
      <c r="M302" s="90">
        <f>IF($A302="","",COUNTIFS(App_Company,$A302,App_Stage,"&gt;=1"))</f>
        <v/>
      </c>
      <c r="N302" s="90">
        <f>IF($A302="","",COUNTIFS(App_Company,$A302,App_ActiveKey,"&gt;0"))</f>
        <v/>
      </c>
      <c r="O302" s="90">
        <f>IF($A302="","",COUNTIF(Ct_Company,$A302))</f>
        <v/>
      </c>
    </row>
    <row r="303">
      <c r="A303" s="82" t="n"/>
      <c r="B303" s="82" t="n"/>
      <c r="C303" s="82" t="n"/>
      <c r="D303" s="84" t="n"/>
      <c r="E303" s="82" t="n"/>
      <c r="F303" s="83" t="n"/>
      <c r="G303" s="82" t="n"/>
      <c r="H303" s="83" t="n"/>
      <c r="I303" s="84" t="n"/>
      <c r="J303" s="84" t="n"/>
      <c r="K303" s="82" t="n"/>
      <c r="L303" s="86" t="n"/>
      <c r="M303" s="90">
        <f>IF($A303="","",COUNTIFS(App_Company,$A303,App_Stage,"&gt;=1"))</f>
        <v/>
      </c>
      <c r="N303" s="90">
        <f>IF($A303="","",COUNTIFS(App_Company,$A303,App_ActiveKey,"&gt;0"))</f>
        <v/>
      </c>
      <c r="O303" s="90">
        <f>IF($A303="","",COUNTIF(Ct_Company,$A303))</f>
        <v/>
      </c>
    </row>
    <row r="304">
      <c r="A304" s="82" t="n"/>
      <c r="B304" s="82" t="n"/>
      <c r="C304" s="82" t="n"/>
      <c r="D304" s="84" t="n"/>
      <c r="E304" s="82" t="n"/>
      <c r="F304" s="83" t="n"/>
      <c r="G304" s="82" t="n"/>
      <c r="H304" s="83" t="n"/>
      <c r="I304" s="84" t="n"/>
      <c r="J304" s="84" t="n"/>
      <c r="K304" s="82" t="n"/>
      <c r="L304" s="86" t="n"/>
      <c r="M304" s="90">
        <f>IF($A304="","",COUNTIFS(App_Company,$A304,App_Stage,"&gt;=1"))</f>
        <v/>
      </c>
      <c r="N304" s="90">
        <f>IF($A304="","",COUNTIFS(App_Company,$A304,App_ActiveKey,"&gt;0"))</f>
        <v/>
      </c>
      <c r="O304" s="90">
        <f>IF($A304="","",COUNTIF(Ct_Company,$A304))</f>
        <v/>
      </c>
    </row>
  </sheetData>
  <autoFilter ref="A4:O304"/>
  <conditionalFormatting sqref="J5:J304">
    <cfRule type="expression" priority="1" dxfId="21" stopIfTrue="1">
      <formula>$J5="High"</formula>
    </cfRule>
    <cfRule type="expression" priority="2" dxfId="5" stopIfTrue="1">
      <formula>$J5="Medium"</formula>
    </cfRule>
    <cfRule type="expression" priority="3" dxfId="22" stopIfTrue="1">
      <formula>$J5="Low"</formula>
    </cfRule>
  </conditionalFormatting>
  <conditionalFormatting sqref="D5:D304">
    <cfRule type="expression" priority="4" dxfId="32" stopIfTrue="1">
      <formula>$D5="High"</formula>
    </cfRule>
    <cfRule type="expression" priority="5" dxfId="33" stopIfTrue="1">
      <formula>$D5="Medium"</formula>
    </cfRule>
    <cfRule type="expression" priority="6" dxfId="22" stopIfTrue="1">
      <formula>$D5="Low"</formula>
    </cfRule>
  </conditionalFormatting>
  <conditionalFormatting sqref="K5:K304">
    <cfRule type="expression" priority="7" dxfId="12" stopIfTrue="1">
      <formula>$K5="Applied"</formula>
    </cfRule>
    <cfRule type="expression" priority="8" dxfId="14" stopIfTrue="1">
      <formula>$K5="Interviewing"</formula>
    </cfRule>
    <cfRule type="expression" priority="9" dxfId="34" stopIfTrue="1">
      <formula>$K5="Offer"</formula>
    </cfRule>
    <cfRule type="expression" priority="10" dxfId="19" stopIfTrue="1">
      <formula>$K5="Not a Fit"</formula>
    </cfRule>
  </conditionalFormatting>
  <conditionalFormatting sqref="N5:N304">
    <cfRule type="expression" priority="11" dxfId="35" stopIfTrue="1">
      <formula>AND(ISNUMBER($N5),$N5&gt;0)</formula>
    </cfRule>
  </conditionalFormatting>
  <conditionalFormatting sqref="A5:L304">
    <cfRule type="expression" priority="12" dxfId="27" stopIfTrue="0">
      <formula>AND($A5&lt;&gt;"",MOD(ROW(),2)=0)</formula>
    </cfRule>
  </conditionalFormatting>
  <dataValidations count="6">
    <dataValidation sqref="B5:B304" showDropDown="0" showInputMessage="0" showErrorMessage="1" allowBlank="1" errorTitle="Pick from the list" error="Choose a value from the dropdown (list: Settings → Industry)." type="list" errorStyle="stop">
      <formula1>Settings!$L$13:$L$24</formula1>
    </dataValidation>
    <dataValidation sqref="D5:D304" showDropDown="0" showInputMessage="1" showErrorMessage="1" allowBlank="1" errorTitle="Pick from the list" error="Choose a value from the dropdown (list: Settings → AI Relevance)." promptTitle="AI Relevance" prompt="How central AI is to this company: High = AI is the product / core team; Medium = growing AI initiatives; Low = little AI work today." type="list" errorStyle="stop">
      <formula1>Settings!$M$13:$M$15</formula1>
    </dataValidation>
    <dataValidation sqref="E5:E304" showDropDown="0" showInputMessage="0" showErrorMessage="1" allowBlank="1" errorTitle="Pick from the list" error="Choose a value from the dropdown (list: Settings → Role Category)." type="list" errorStyle="stop">
      <formula1>Settings!$J$13:$J$23</formula1>
    </dataValidation>
    <dataValidation sqref="I5:I304" showDropDown="0" showInputMessage="0" showErrorMessage="1" allowBlank="1" errorTitle="Pick from the list" error="Choose a value from the dropdown (list: Settings → Yes / No)." type="list" errorStyle="stop">
      <formula1>Settings!$H$13:$H$14</formula1>
    </dataValidation>
    <dataValidation sqref="J5:J304" showDropDown="0" showInputMessage="0" showErrorMessage="1" allowBlank="1" errorTitle="Pick from the list" error="Choose a value from the dropdown (list: Settings → Priority)." type="list" errorStyle="stop">
      <formula1>Settings!$E$13:$E$15</formula1>
    </dataValidation>
    <dataValidation sqref="K5:K304" showDropDown="0" showInputMessage="0" showErrorMessage="1" allowBlank="1" errorTitle="Pick from the list" error="Choose a value from the dropdown (list: Settings → Company Status)." type="list" errorStyle="stop">
      <formula1>Settings!$N$13:$N$20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6" customWidth="1" min="4" max="4"/>
    <col width="12" customWidth="1" min="5" max="5"/>
    <col width="17" customWidth="1" min="6" max="6"/>
    <col width="11" customWidth="1" min="7" max="7"/>
    <col width="12" customWidth="1" min="8" max="8"/>
    <col width="13" customWidth="1" min="9" max="9"/>
    <col width="12" customWidth="1" min="10" max="10"/>
    <col width="12" customWidth="1" min="11" max="11"/>
    <col width="44" customWidth="1" min="12" max="12"/>
    <col hidden="1" width="8" customWidth="1" min="13" max="13"/>
  </cols>
  <sheetData>
    <row r="1" ht="26" customHeight="1">
      <c r="A1" s="73" t="inlineStr">
        <is>
          <t>Contacts</t>
        </is>
      </c>
      <c r="M1" s="74" t="inlineStr">
        <is>
          <t>Due-soon days</t>
        </is>
      </c>
    </row>
    <row r="2">
      <c r="A2" s="4" t="inlineStr">
        <is>
          <t>Networking: recruiters, hiring managers, alumni and referrers.</t>
        </is>
      </c>
      <c r="M2">
        <f>Set_DueSoonDays</f>
        <v/>
      </c>
    </row>
    <row r="3">
      <c r="A3" s="63" t="inlineStr">
        <is>
          <t>Set a Follow-up Date for anyone you want to ping — due and overdue ones appear on Follow-Ups.</t>
        </is>
      </c>
    </row>
    <row r="4" ht="34" customHeight="1">
      <c r="A4" s="78" t="inlineStr">
        <is>
          <t>Name</t>
        </is>
      </c>
      <c r="B4" s="78" t="inlineStr">
        <is>
          <t>Company</t>
        </is>
      </c>
      <c r="C4" s="78" t="inlineStr">
        <is>
          <t>Job Title</t>
        </is>
      </c>
      <c r="D4" s="78" t="inlineStr">
        <is>
          <t>LinkedIn</t>
        </is>
      </c>
      <c r="E4" s="78" t="inlineStr">
        <is>
          <t>Connection Date</t>
        </is>
      </c>
      <c r="F4" s="78" t="inlineStr">
        <is>
          <t>Relationship</t>
        </is>
      </c>
      <c r="G4" s="78" t="inlineStr">
        <is>
          <t>Contacted?</t>
        </is>
      </c>
      <c r="H4" s="78" t="inlineStr">
        <is>
          <t>Message Sent</t>
        </is>
      </c>
      <c r="I4" s="78" t="inlineStr">
        <is>
          <t>Response</t>
        </is>
      </c>
      <c r="J4" s="78" t="inlineStr">
        <is>
          <t>Follow-up Date</t>
        </is>
      </c>
      <c r="K4" s="78" t="inlineStr">
        <is>
          <t>Referral Potential</t>
        </is>
      </c>
      <c r="L4" s="78" t="inlineStr">
        <is>
          <t>Notes</t>
        </is>
      </c>
      <c r="M4" s="79" t="inlineStr">
        <is>
          <t>Follow-up Key (helper)</t>
        </is>
      </c>
    </row>
    <row r="5">
      <c r="A5" s="82" t="n"/>
      <c r="B5" s="82" t="n"/>
      <c r="C5" s="82" t="n"/>
      <c r="D5" s="83" t="n"/>
      <c r="E5" s="81" t="n"/>
      <c r="F5" s="82" t="n"/>
      <c r="G5" s="84" t="n"/>
      <c r="H5" s="81" t="n"/>
      <c r="I5" s="82" t="n"/>
      <c r="J5" s="81" t="n"/>
      <c r="K5" s="84" t="n"/>
      <c r="L5" s="86" t="n"/>
      <c r="M5" s="87">
        <f>IF(AND($A5&lt;&gt;"",ISNUMBER($J5)),IF(INT($J5)-TODAY()&lt;=Set_DueSoonDays,INT($J5)+ROW()/10000,""),"")</f>
        <v/>
      </c>
    </row>
    <row r="6">
      <c r="A6" s="82" t="n"/>
      <c r="B6" s="82" t="n"/>
      <c r="C6" s="82" t="n"/>
      <c r="D6" s="83" t="n"/>
      <c r="E6" s="81" t="n"/>
      <c r="F6" s="82" t="n"/>
      <c r="G6" s="84" t="n"/>
      <c r="H6" s="81" t="n"/>
      <c r="I6" s="82" t="n"/>
      <c r="J6" s="81" t="n"/>
      <c r="K6" s="84" t="n"/>
      <c r="L6" s="86" t="n"/>
      <c r="M6" s="87">
        <f>IF(AND($A6&lt;&gt;"",ISNUMBER($J6)),IF(INT($J6)-TODAY()&lt;=Set_DueSoonDays,INT($J6)+ROW()/10000,""),"")</f>
        <v/>
      </c>
    </row>
    <row r="7">
      <c r="A7" s="82" t="n"/>
      <c r="B7" s="82" t="n"/>
      <c r="C7" s="82" t="n"/>
      <c r="D7" s="83" t="n"/>
      <c r="E7" s="81" t="n"/>
      <c r="F7" s="82" t="n"/>
      <c r="G7" s="84" t="n"/>
      <c r="H7" s="81" t="n"/>
      <c r="I7" s="82" t="n"/>
      <c r="J7" s="81" t="n"/>
      <c r="K7" s="84" t="n"/>
      <c r="L7" s="86" t="n"/>
      <c r="M7" s="87">
        <f>IF(AND($A7&lt;&gt;"",ISNUMBER($J7)),IF(INT($J7)-TODAY()&lt;=Set_DueSoonDays,INT($J7)+ROW()/10000,""),"")</f>
        <v/>
      </c>
    </row>
    <row r="8">
      <c r="A8" s="82" t="n"/>
      <c r="B8" s="82" t="n"/>
      <c r="C8" s="82" t="n"/>
      <c r="D8" s="83" t="n"/>
      <c r="E8" s="81" t="n"/>
      <c r="F8" s="82" t="n"/>
      <c r="G8" s="84" t="n"/>
      <c r="H8" s="81" t="n"/>
      <c r="I8" s="82" t="n"/>
      <c r="J8" s="81" t="n"/>
      <c r="K8" s="84" t="n"/>
      <c r="L8" s="86" t="n"/>
      <c r="M8" s="87">
        <f>IF(AND($A8&lt;&gt;"",ISNUMBER($J8)),IF(INT($J8)-TODAY()&lt;=Set_DueSoonDays,INT($J8)+ROW()/10000,""),"")</f>
        <v/>
      </c>
    </row>
    <row r="9">
      <c r="A9" s="82" t="n"/>
      <c r="B9" s="82" t="n"/>
      <c r="C9" s="82" t="n"/>
      <c r="D9" s="83" t="n"/>
      <c r="E9" s="81" t="n"/>
      <c r="F9" s="82" t="n"/>
      <c r="G9" s="84" t="n"/>
      <c r="H9" s="81" t="n"/>
      <c r="I9" s="82" t="n"/>
      <c r="J9" s="81" t="n"/>
      <c r="K9" s="84" t="n"/>
      <c r="L9" s="86" t="n"/>
      <c r="M9" s="87">
        <f>IF(AND($A9&lt;&gt;"",ISNUMBER($J9)),IF(INT($J9)-TODAY()&lt;=Set_DueSoonDays,INT($J9)+ROW()/10000,""),"")</f>
        <v/>
      </c>
    </row>
    <row r="10">
      <c r="A10" s="82" t="n"/>
      <c r="B10" s="82" t="n"/>
      <c r="C10" s="82" t="n"/>
      <c r="D10" s="83" t="n"/>
      <c r="E10" s="81" t="n"/>
      <c r="F10" s="82" t="n"/>
      <c r="G10" s="84" t="n"/>
      <c r="H10" s="81" t="n"/>
      <c r="I10" s="82" t="n"/>
      <c r="J10" s="81" t="n"/>
      <c r="K10" s="84" t="n"/>
      <c r="L10" s="86" t="n"/>
      <c r="M10" s="87">
        <f>IF(AND($A10&lt;&gt;"",ISNUMBER($J10)),IF(INT($J10)-TODAY()&lt;=Set_DueSoonDays,INT($J10)+ROW()/10000,""),"")</f>
        <v/>
      </c>
    </row>
    <row r="11">
      <c r="A11" s="82" t="n"/>
      <c r="B11" s="82" t="n"/>
      <c r="C11" s="82" t="n"/>
      <c r="D11" s="83" t="n"/>
      <c r="E11" s="81" t="n"/>
      <c r="F11" s="82" t="n"/>
      <c r="G11" s="84" t="n"/>
      <c r="H11" s="81" t="n"/>
      <c r="I11" s="82" t="n"/>
      <c r="J11" s="81" t="n"/>
      <c r="K11" s="84" t="n"/>
      <c r="L11" s="86" t="n"/>
      <c r="M11" s="87">
        <f>IF(AND($A11&lt;&gt;"",ISNUMBER($J11)),IF(INT($J11)-TODAY()&lt;=Set_DueSoonDays,INT($J11)+ROW()/10000,""),"")</f>
        <v/>
      </c>
    </row>
    <row r="12">
      <c r="A12" s="82" t="n"/>
      <c r="B12" s="82" t="n"/>
      <c r="C12" s="82" t="n"/>
      <c r="D12" s="83" t="n"/>
      <c r="E12" s="81" t="n"/>
      <c r="F12" s="82" t="n"/>
      <c r="G12" s="84" t="n"/>
      <c r="H12" s="81" t="n"/>
      <c r="I12" s="82" t="n"/>
      <c r="J12" s="81" t="n"/>
      <c r="K12" s="84" t="n"/>
      <c r="L12" s="86" t="n"/>
      <c r="M12" s="87">
        <f>IF(AND($A12&lt;&gt;"",ISNUMBER($J12)),IF(INT($J12)-TODAY()&lt;=Set_DueSoonDays,INT($J12)+ROW()/10000,""),"")</f>
        <v/>
      </c>
    </row>
    <row r="13">
      <c r="A13" s="82" t="n"/>
      <c r="B13" s="82" t="n"/>
      <c r="C13" s="82" t="n"/>
      <c r="D13" s="83" t="n"/>
      <c r="E13" s="81" t="n"/>
      <c r="F13" s="82" t="n"/>
      <c r="G13" s="84" t="n"/>
      <c r="H13" s="81" t="n"/>
      <c r="I13" s="82" t="n"/>
      <c r="J13" s="81" t="n"/>
      <c r="K13" s="84" t="n"/>
      <c r="L13" s="86" t="n"/>
      <c r="M13" s="87">
        <f>IF(AND($A13&lt;&gt;"",ISNUMBER($J13)),IF(INT($J13)-TODAY()&lt;=Set_DueSoonDays,INT($J13)+ROW()/10000,""),"")</f>
        <v/>
      </c>
    </row>
    <row r="14">
      <c r="A14" s="82" t="n"/>
      <c r="B14" s="82" t="n"/>
      <c r="C14" s="82" t="n"/>
      <c r="D14" s="83" t="n"/>
      <c r="E14" s="81" t="n"/>
      <c r="F14" s="82" t="n"/>
      <c r="G14" s="84" t="n"/>
      <c r="H14" s="81" t="n"/>
      <c r="I14" s="82" t="n"/>
      <c r="J14" s="81" t="n"/>
      <c r="K14" s="84" t="n"/>
      <c r="L14" s="86" t="n"/>
      <c r="M14" s="87">
        <f>IF(AND($A14&lt;&gt;"",ISNUMBER($J14)),IF(INT($J14)-TODAY()&lt;=Set_DueSoonDays,INT($J14)+ROW()/10000,""),"")</f>
        <v/>
      </c>
    </row>
    <row r="15">
      <c r="A15" s="82" t="n"/>
      <c r="B15" s="82" t="n"/>
      <c r="C15" s="82" t="n"/>
      <c r="D15" s="83" t="n"/>
      <c r="E15" s="81" t="n"/>
      <c r="F15" s="82" t="n"/>
      <c r="G15" s="84" t="n"/>
      <c r="H15" s="81" t="n"/>
      <c r="I15" s="82" t="n"/>
      <c r="J15" s="81" t="n"/>
      <c r="K15" s="84" t="n"/>
      <c r="L15" s="86" t="n"/>
      <c r="M15" s="87">
        <f>IF(AND($A15&lt;&gt;"",ISNUMBER($J15)),IF(INT($J15)-TODAY()&lt;=Set_DueSoonDays,INT($J15)+ROW()/10000,""),"")</f>
        <v/>
      </c>
    </row>
    <row r="16">
      <c r="A16" s="82" t="n"/>
      <c r="B16" s="82" t="n"/>
      <c r="C16" s="82" t="n"/>
      <c r="D16" s="83" t="n"/>
      <c r="E16" s="81" t="n"/>
      <c r="F16" s="82" t="n"/>
      <c r="G16" s="84" t="n"/>
      <c r="H16" s="81" t="n"/>
      <c r="I16" s="82" t="n"/>
      <c r="J16" s="81" t="n"/>
      <c r="K16" s="84" t="n"/>
      <c r="L16" s="86" t="n"/>
      <c r="M16" s="87">
        <f>IF(AND($A16&lt;&gt;"",ISNUMBER($J16)),IF(INT($J16)-TODAY()&lt;=Set_DueSoonDays,INT($J16)+ROW()/10000,""),"")</f>
        <v/>
      </c>
    </row>
    <row r="17">
      <c r="A17" s="82" t="n"/>
      <c r="B17" s="82" t="n"/>
      <c r="C17" s="82" t="n"/>
      <c r="D17" s="83" t="n"/>
      <c r="E17" s="81" t="n"/>
      <c r="F17" s="82" t="n"/>
      <c r="G17" s="84" t="n"/>
      <c r="H17" s="81" t="n"/>
      <c r="I17" s="82" t="n"/>
      <c r="J17" s="81" t="n"/>
      <c r="K17" s="84" t="n"/>
      <c r="L17" s="86" t="n"/>
      <c r="M17" s="87">
        <f>IF(AND($A17&lt;&gt;"",ISNUMBER($J17)),IF(INT($J17)-TODAY()&lt;=Set_DueSoonDays,INT($J17)+ROW()/10000,""),"")</f>
        <v/>
      </c>
    </row>
    <row r="18">
      <c r="A18" s="82" t="n"/>
      <c r="B18" s="82" t="n"/>
      <c r="C18" s="82" t="n"/>
      <c r="D18" s="83" t="n"/>
      <c r="E18" s="81" t="n"/>
      <c r="F18" s="82" t="n"/>
      <c r="G18" s="84" t="n"/>
      <c r="H18" s="81" t="n"/>
      <c r="I18" s="82" t="n"/>
      <c r="J18" s="81" t="n"/>
      <c r="K18" s="84" t="n"/>
      <c r="L18" s="86" t="n"/>
      <c r="M18" s="87">
        <f>IF(AND($A18&lt;&gt;"",ISNUMBER($J18)),IF(INT($J18)-TODAY()&lt;=Set_DueSoonDays,INT($J18)+ROW()/10000,""),"")</f>
        <v/>
      </c>
    </row>
    <row r="19">
      <c r="A19" s="82" t="n"/>
      <c r="B19" s="82" t="n"/>
      <c r="C19" s="82" t="n"/>
      <c r="D19" s="83" t="n"/>
      <c r="E19" s="81" t="n"/>
      <c r="F19" s="82" t="n"/>
      <c r="G19" s="84" t="n"/>
      <c r="H19" s="81" t="n"/>
      <c r="I19" s="82" t="n"/>
      <c r="J19" s="81" t="n"/>
      <c r="K19" s="84" t="n"/>
      <c r="L19" s="86" t="n"/>
      <c r="M19" s="87">
        <f>IF(AND($A19&lt;&gt;"",ISNUMBER($J19)),IF(INT($J19)-TODAY()&lt;=Set_DueSoonDays,INT($J19)+ROW()/10000,""),"")</f>
        <v/>
      </c>
    </row>
    <row r="20">
      <c r="A20" s="82" t="n"/>
      <c r="B20" s="82" t="n"/>
      <c r="C20" s="82" t="n"/>
      <c r="D20" s="83" t="n"/>
      <c r="E20" s="81" t="n"/>
      <c r="F20" s="82" t="n"/>
      <c r="G20" s="84" t="n"/>
      <c r="H20" s="81" t="n"/>
      <c r="I20" s="82" t="n"/>
      <c r="J20" s="81" t="n"/>
      <c r="K20" s="84" t="n"/>
      <c r="L20" s="86" t="n"/>
      <c r="M20" s="87">
        <f>IF(AND($A20&lt;&gt;"",ISNUMBER($J20)),IF(INT($J20)-TODAY()&lt;=Set_DueSoonDays,INT($J20)+ROW()/10000,""),"")</f>
        <v/>
      </c>
    </row>
    <row r="21">
      <c r="A21" s="82" t="n"/>
      <c r="B21" s="82" t="n"/>
      <c r="C21" s="82" t="n"/>
      <c r="D21" s="83" t="n"/>
      <c r="E21" s="81" t="n"/>
      <c r="F21" s="82" t="n"/>
      <c r="G21" s="84" t="n"/>
      <c r="H21" s="81" t="n"/>
      <c r="I21" s="82" t="n"/>
      <c r="J21" s="81" t="n"/>
      <c r="K21" s="84" t="n"/>
      <c r="L21" s="86" t="n"/>
      <c r="M21" s="87">
        <f>IF(AND($A21&lt;&gt;"",ISNUMBER($J21)),IF(INT($J21)-TODAY()&lt;=Set_DueSoonDays,INT($J21)+ROW()/10000,""),"")</f>
        <v/>
      </c>
    </row>
    <row r="22">
      <c r="A22" s="82" t="n"/>
      <c r="B22" s="82" t="n"/>
      <c r="C22" s="82" t="n"/>
      <c r="D22" s="83" t="n"/>
      <c r="E22" s="81" t="n"/>
      <c r="F22" s="82" t="n"/>
      <c r="G22" s="84" t="n"/>
      <c r="H22" s="81" t="n"/>
      <c r="I22" s="82" t="n"/>
      <c r="J22" s="81" t="n"/>
      <c r="K22" s="84" t="n"/>
      <c r="L22" s="86" t="n"/>
      <c r="M22" s="87">
        <f>IF(AND($A22&lt;&gt;"",ISNUMBER($J22)),IF(INT($J22)-TODAY()&lt;=Set_DueSoonDays,INT($J22)+ROW()/10000,""),"")</f>
        <v/>
      </c>
    </row>
    <row r="23">
      <c r="A23" s="82" t="n"/>
      <c r="B23" s="82" t="n"/>
      <c r="C23" s="82" t="n"/>
      <c r="D23" s="83" t="n"/>
      <c r="E23" s="81" t="n"/>
      <c r="F23" s="82" t="n"/>
      <c r="G23" s="84" t="n"/>
      <c r="H23" s="81" t="n"/>
      <c r="I23" s="82" t="n"/>
      <c r="J23" s="81" t="n"/>
      <c r="K23" s="84" t="n"/>
      <c r="L23" s="86" t="n"/>
      <c r="M23" s="87">
        <f>IF(AND($A23&lt;&gt;"",ISNUMBER($J23)),IF(INT($J23)-TODAY()&lt;=Set_DueSoonDays,INT($J23)+ROW()/10000,""),"")</f>
        <v/>
      </c>
    </row>
    <row r="24">
      <c r="A24" s="82" t="n"/>
      <c r="B24" s="82" t="n"/>
      <c r="C24" s="82" t="n"/>
      <c r="D24" s="83" t="n"/>
      <c r="E24" s="81" t="n"/>
      <c r="F24" s="82" t="n"/>
      <c r="G24" s="84" t="n"/>
      <c r="H24" s="81" t="n"/>
      <c r="I24" s="82" t="n"/>
      <c r="J24" s="81" t="n"/>
      <c r="K24" s="84" t="n"/>
      <c r="L24" s="86" t="n"/>
      <c r="M24" s="87">
        <f>IF(AND($A24&lt;&gt;"",ISNUMBER($J24)),IF(INT($J24)-TODAY()&lt;=Set_DueSoonDays,INT($J24)+ROW()/10000,""),"")</f>
        <v/>
      </c>
    </row>
    <row r="25">
      <c r="A25" s="82" t="n"/>
      <c r="B25" s="82" t="n"/>
      <c r="C25" s="82" t="n"/>
      <c r="D25" s="83" t="n"/>
      <c r="E25" s="81" t="n"/>
      <c r="F25" s="82" t="n"/>
      <c r="G25" s="84" t="n"/>
      <c r="H25" s="81" t="n"/>
      <c r="I25" s="82" t="n"/>
      <c r="J25" s="81" t="n"/>
      <c r="K25" s="84" t="n"/>
      <c r="L25" s="86" t="n"/>
      <c r="M25" s="87">
        <f>IF(AND($A25&lt;&gt;"",ISNUMBER($J25)),IF(INT($J25)-TODAY()&lt;=Set_DueSoonDays,INT($J25)+ROW()/10000,""),"")</f>
        <v/>
      </c>
    </row>
    <row r="26">
      <c r="A26" s="82" t="n"/>
      <c r="B26" s="82" t="n"/>
      <c r="C26" s="82" t="n"/>
      <c r="D26" s="83" t="n"/>
      <c r="E26" s="81" t="n"/>
      <c r="F26" s="82" t="n"/>
      <c r="G26" s="84" t="n"/>
      <c r="H26" s="81" t="n"/>
      <c r="I26" s="82" t="n"/>
      <c r="J26" s="81" t="n"/>
      <c r="K26" s="84" t="n"/>
      <c r="L26" s="86" t="n"/>
      <c r="M26" s="87">
        <f>IF(AND($A26&lt;&gt;"",ISNUMBER($J26)),IF(INT($J26)-TODAY()&lt;=Set_DueSoonDays,INT($J26)+ROW()/10000,""),"")</f>
        <v/>
      </c>
    </row>
    <row r="27">
      <c r="A27" s="82" t="n"/>
      <c r="B27" s="82" t="n"/>
      <c r="C27" s="82" t="n"/>
      <c r="D27" s="83" t="n"/>
      <c r="E27" s="81" t="n"/>
      <c r="F27" s="82" t="n"/>
      <c r="G27" s="84" t="n"/>
      <c r="H27" s="81" t="n"/>
      <c r="I27" s="82" t="n"/>
      <c r="J27" s="81" t="n"/>
      <c r="K27" s="84" t="n"/>
      <c r="L27" s="86" t="n"/>
      <c r="M27" s="87">
        <f>IF(AND($A27&lt;&gt;"",ISNUMBER($J27)),IF(INT($J27)-TODAY()&lt;=Set_DueSoonDays,INT($J27)+ROW()/10000,""),"")</f>
        <v/>
      </c>
    </row>
    <row r="28">
      <c r="A28" s="82" t="n"/>
      <c r="B28" s="82" t="n"/>
      <c r="C28" s="82" t="n"/>
      <c r="D28" s="83" t="n"/>
      <c r="E28" s="81" t="n"/>
      <c r="F28" s="82" t="n"/>
      <c r="G28" s="84" t="n"/>
      <c r="H28" s="81" t="n"/>
      <c r="I28" s="82" t="n"/>
      <c r="J28" s="81" t="n"/>
      <c r="K28" s="84" t="n"/>
      <c r="L28" s="86" t="n"/>
      <c r="M28" s="87">
        <f>IF(AND($A28&lt;&gt;"",ISNUMBER($J28)),IF(INT($J28)-TODAY()&lt;=Set_DueSoonDays,INT($J28)+ROW()/10000,""),"")</f>
        <v/>
      </c>
    </row>
    <row r="29">
      <c r="A29" s="82" t="n"/>
      <c r="B29" s="82" t="n"/>
      <c r="C29" s="82" t="n"/>
      <c r="D29" s="83" t="n"/>
      <c r="E29" s="81" t="n"/>
      <c r="F29" s="82" t="n"/>
      <c r="G29" s="84" t="n"/>
      <c r="H29" s="81" t="n"/>
      <c r="I29" s="82" t="n"/>
      <c r="J29" s="81" t="n"/>
      <c r="K29" s="84" t="n"/>
      <c r="L29" s="86" t="n"/>
      <c r="M29" s="87">
        <f>IF(AND($A29&lt;&gt;"",ISNUMBER($J29)),IF(INT($J29)-TODAY()&lt;=Set_DueSoonDays,INT($J29)+ROW()/10000,""),"")</f>
        <v/>
      </c>
    </row>
    <row r="30">
      <c r="A30" s="82" t="n"/>
      <c r="B30" s="82" t="n"/>
      <c r="C30" s="82" t="n"/>
      <c r="D30" s="83" t="n"/>
      <c r="E30" s="81" t="n"/>
      <c r="F30" s="82" t="n"/>
      <c r="G30" s="84" t="n"/>
      <c r="H30" s="81" t="n"/>
      <c r="I30" s="82" t="n"/>
      <c r="J30" s="81" t="n"/>
      <c r="K30" s="84" t="n"/>
      <c r="L30" s="86" t="n"/>
      <c r="M30" s="87">
        <f>IF(AND($A30&lt;&gt;"",ISNUMBER($J30)),IF(INT($J30)-TODAY()&lt;=Set_DueSoonDays,INT($J30)+ROW()/10000,""),"")</f>
        <v/>
      </c>
    </row>
    <row r="31">
      <c r="A31" s="82" t="n"/>
      <c r="B31" s="82" t="n"/>
      <c r="C31" s="82" t="n"/>
      <c r="D31" s="83" t="n"/>
      <c r="E31" s="81" t="n"/>
      <c r="F31" s="82" t="n"/>
      <c r="G31" s="84" t="n"/>
      <c r="H31" s="81" t="n"/>
      <c r="I31" s="82" t="n"/>
      <c r="J31" s="81" t="n"/>
      <c r="K31" s="84" t="n"/>
      <c r="L31" s="86" t="n"/>
      <c r="M31" s="87">
        <f>IF(AND($A31&lt;&gt;"",ISNUMBER($J31)),IF(INT($J31)-TODAY()&lt;=Set_DueSoonDays,INT($J31)+ROW()/10000,""),"")</f>
        <v/>
      </c>
    </row>
    <row r="32">
      <c r="A32" s="82" t="n"/>
      <c r="B32" s="82" t="n"/>
      <c r="C32" s="82" t="n"/>
      <c r="D32" s="83" t="n"/>
      <c r="E32" s="81" t="n"/>
      <c r="F32" s="82" t="n"/>
      <c r="G32" s="84" t="n"/>
      <c r="H32" s="81" t="n"/>
      <c r="I32" s="82" t="n"/>
      <c r="J32" s="81" t="n"/>
      <c r="K32" s="84" t="n"/>
      <c r="L32" s="86" t="n"/>
      <c r="M32" s="87">
        <f>IF(AND($A32&lt;&gt;"",ISNUMBER($J32)),IF(INT($J32)-TODAY()&lt;=Set_DueSoonDays,INT($J32)+ROW()/10000,""),"")</f>
        <v/>
      </c>
    </row>
    <row r="33">
      <c r="A33" s="82" t="n"/>
      <c r="B33" s="82" t="n"/>
      <c r="C33" s="82" t="n"/>
      <c r="D33" s="83" t="n"/>
      <c r="E33" s="81" t="n"/>
      <c r="F33" s="82" t="n"/>
      <c r="G33" s="84" t="n"/>
      <c r="H33" s="81" t="n"/>
      <c r="I33" s="82" t="n"/>
      <c r="J33" s="81" t="n"/>
      <c r="K33" s="84" t="n"/>
      <c r="L33" s="86" t="n"/>
      <c r="M33" s="87">
        <f>IF(AND($A33&lt;&gt;"",ISNUMBER($J33)),IF(INT($J33)-TODAY()&lt;=Set_DueSoonDays,INT($J33)+ROW()/10000,""),"")</f>
        <v/>
      </c>
    </row>
    <row r="34">
      <c r="A34" s="82" t="n"/>
      <c r="B34" s="82" t="n"/>
      <c r="C34" s="82" t="n"/>
      <c r="D34" s="83" t="n"/>
      <c r="E34" s="81" t="n"/>
      <c r="F34" s="82" t="n"/>
      <c r="G34" s="84" t="n"/>
      <c r="H34" s="81" t="n"/>
      <c r="I34" s="82" t="n"/>
      <c r="J34" s="81" t="n"/>
      <c r="K34" s="84" t="n"/>
      <c r="L34" s="86" t="n"/>
      <c r="M34" s="87">
        <f>IF(AND($A34&lt;&gt;"",ISNUMBER($J34)),IF(INT($J34)-TODAY()&lt;=Set_DueSoonDays,INT($J34)+ROW()/10000,""),"")</f>
        <v/>
      </c>
    </row>
    <row r="35">
      <c r="A35" s="82" t="n"/>
      <c r="B35" s="82" t="n"/>
      <c r="C35" s="82" t="n"/>
      <c r="D35" s="83" t="n"/>
      <c r="E35" s="81" t="n"/>
      <c r="F35" s="82" t="n"/>
      <c r="G35" s="84" t="n"/>
      <c r="H35" s="81" t="n"/>
      <c r="I35" s="82" t="n"/>
      <c r="J35" s="81" t="n"/>
      <c r="K35" s="84" t="n"/>
      <c r="L35" s="86" t="n"/>
      <c r="M35" s="87">
        <f>IF(AND($A35&lt;&gt;"",ISNUMBER($J35)),IF(INT($J35)-TODAY()&lt;=Set_DueSoonDays,INT($J35)+ROW()/10000,""),"")</f>
        <v/>
      </c>
    </row>
    <row r="36">
      <c r="A36" s="82" t="n"/>
      <c r="B36" s="82" t="n"/>
      <c r="C36" s="82" t="n"/>
      <c r="D36" s="83" t="n"/>
      <c r="E36" s="81" t="n"/>
      <c r="F36" s="82" t="n"/>
      <c r="G36" s="84" t="n"/>
      <c r="H36" s="81" t="n"/>
      <c r="I36" s="82" t="n"/>
      <c r="J36" s="81" t="n"/>
      <c r="K36" s="84" t="n"/>
      <c r="L36" s="86" t="n"/>
      <c r="M36" s="87">
        <f>IF(AND($A36&lt;&gt;"",ISNUMBER($J36)),IF(INT($J36)-TODAY()&lt;=Set_DueSoonDays,INT($J36)+ROW()/10000,""),"")</f>
        <v/>
      </c>
    </row>
    <row r="37">
      <c r="A37" s="82" t="n"/>
      <c r="B37" s="82" t="n"/>
      <c r="C37" s="82" t="n"/>
      <c r="D37" s="83" t="n"/>
      <c r="E37" s="81" t="n"/>
      <c r="F37" s="82" t="n"/>
      <c r="G37" s="84" t="n"/>
      <c r="H37" s="81" t="n"/>
      <c r="I37" s="82" t="n"/>
      <c r="J37" s="81" t="n"/>
      <c r="K37" s="84" t="n"/>
      <c r="L37" s="86" t="n"/>
      <c r="M37" s="87">
        <f>IF(AND($A37&lt;&gt;"",ISNUMBER($J37)),IF(INT($J37)-TODAY()&lt;=Set_DueSoonDays,INT($J37)+ROW()/10000,""),"")</f>
        <v/>
      </c>
    </row>
    <row r="38">
      <c r="A38" s="82" t="n"/>
      <c r="B38" s="82" t="n"/>
      <c r="C38" s="82" t="n"/>
      <c r="D38" s="83" t="n"/>
      <c r="E38" s="81" t="n"/>
      <c r="F38" s="82" t="n"/>
      <c r="G38" s="84" t="n"/>
      <c r="H38" s="81" t="n"/>
      <c r="I38" s="82" t="n"/>
      <c r="J38" s="81" t="n"/>
      <c r="K38" s="84" t="n"/>
      <c r="L38" s="86" t="n"/>
      <c r="M38" s="87">
        <f>IF(AND($A38&lt;&gt;"",ISNUMBER($J38)),IF(INT($J38)-TODAY()&lt;=Set_DueSoonDays,INT($J38)+ROW()/10000,""),"")</f>
        <v/>
      </c>
    </row>
    <row r="39">
      <c r="A39" s="82" t="n"/>
      <c r="B39" s="82" t="n"/>
      <c r="C39" s="82" t="n"/>
      <c r="D39" s="83" t="n"/>
      <c r="E39" s="81" t="n"/>
      <c r="F39" s="82" t="n"/>
      <c r="G39" s="84" t="n"/>
      <c r="H39" s="81" t="n"/>
      <c r="I39" s="82" t="n"/>
      <c r="J39" s="81" t="n"/>
      <c r="K39" s="84" t="n"/>
      <c r="L39" s="86" t="n"/>
      <c r="M39" s="87">
        <f>IF(AND($A39&lt;&gt;"",ISNUMBER($J39)),IF(INT($J39)-TODAY()&lt;=Set_DueSoonDays,INT($J39)+ROW()/10000,""),"")</f>
        <v/>
      </c>
    </row>
    <row r="40">
      <c r="A40" s="82" t="n"/>
      <c r="B40" s="82" t="n"/>
      <c r="C40" s="82" t="n"/>
      <c r="D40" s="83" t="n"/>
      <c r="E40" s="81" t="n"/>
      <c r="F40" s="82" t="n"/>
      <c r="G40" s="84" t="n"/>
      <c r="H40" s="81" t="n"/>
      <c r="I40" s="82" t="n"/>
      <c r="J40" s="81" t="n"/>
      <c r="K40" s="84" t="n"/>
      <c r="L40" s="86" t="n"/>
      <c r="M40" s="87">
        <f>IF(AND($A40&lt;&gt;"",ISNUMBER($J40)),IF(INT($J40)-TODAY()&lt;=Set_DueSoonDays,INT($J40)+ROW()/10000,""),"")</f>
        <v/>
      </c>
    </row>
    <row r="41">
      <c r="A41" s="82" t="n"/>
      <c r="B41" s="82" t="n"/>
      <c r="C41" s="82" t="n"/>
      <c r="D41" s="83" t="n"/>
      <c r="E41" s="81" t="n"/>
      <c r="F41" s="82" t="n"/>
      <c r="G41" s="84" t="n"/>
      <c r="H41" s="81" t="n"/>
      <c r="I41" s="82" t="n"/>
      <c r="J41" s="81" t="n"/>
      <c r="K41" s="84" t="n"/>
      <c r="L41" s="86" t="n"/>
      <c r="M41" s="87">
        <f>IF(AND($A41&lt;&gt;"",ISNUMBER($J41)),IF(INT($J41)-TODAY()&lt;=Set_DueSoonDays,INT($J41)+ROW()/10000,""),"")</f>
        <v/>
      </c>
    </row>
    <row r="42">
      <c r="A42" s="82" t="n"/>
      <c r="B42" s="82" t="n"/>
      <c r="C42" s="82" t="n"/>
      <c r="D42" s="83" t="n"/>
      <c r="E42" s="81" t="n"/>
      <c r="F42" s="82" t="n"/>
      <c r="G42" s="84" t="n"/>
      <c r="H42" s="81" t="n"/>
      <c r="I42" s="82" t="n"/>
      <c r="J42" s="81" t="n"/>
      <c r="K42" s="84" t="n"/>
      <c r="L42" s="86" t="n"/>
      <c r="M42" s="87">
        <f>IF(AND($A42&lt;&gt;"",ISNUMBER($J42)),IF(INT($J42)-TODAY()&lt;=Set_DueSoonDays,INT($J42)+ROW()/10000,""),"")</f>
        <v/>
      </c>
    </row>
    <row r="43">
      <c r="A43" s="82" t="n"/>
      <c r="B43" s="82" t="n"/>
      <c r="C43" s="82" t="n"/>
      <c r="D43" s="83" t="n"/>
      <c r="E43" s="81" t="n"/>
      <c r="F43" s="82" t="n"/>
      <c r="G43" s="84" t="n"/>
      <c r="H43" s="81" t="n"/>
      <c r="I43" s="82" t="n"/>
      <c r="J43" s="81" t="n"/>
      <c r="K43" s="84" t="n"/>
      <c r="L43" s="86" t="n"/>
      <c r="M43" s="87">
        <f>IF(AND($A43&lt;&gt;"",ISNUMBER($J43)),IF(INT($J43)-TODAY()&lt;=Set_DueSoonDays,INT($J43)+ROW()/10000,""),"")</f>
        <v/>
      </c>
    </row>
    <row r="44">
      <c r="A44" s="82" t="n"/>
      <c r="B44" s="82" t="n"/>
      <c r="C44" s="82" t="n"/>
      <c r="D44" s="83" t="n"/>
      <c r="E44" s="81" t="n"/>
      <c r="F44" s="82" t="n"/>
      <c r="G44" s="84" t="n"/>
      <c r="H44" s="81" t="n"/>
      <c r="I44" s="82" t="n"/>
      <c r="J44" s="81" t="n"/>
      <c r="K44" s="84" t="n"/>
      <c r="L44" s="86" t="n"/>
      <c r="M44" s="87">
        <f>IF(AND($A44&lt;&gt;"",ISNUMBER($J44)),IF(INT($J44)-TODAY()&lt;=Set_DueSoonDays,INT($J44)+ROW()/10000,""),"")</f>
        <v/>
      </c>
    </row>
    <row r="45">
      <c r="A45" s="82" t="n"/>
      <c r="B45" s="82" t="n"/>
      <c r="C45" s="82" t="n"/>
      <c r="D45" s="83" t="n"/>
      <c r="E45" s="81" t="n"/>
      <c r="F45" s="82" t="n"/>
      <c r="G45" s="84" t="n"/>
      <c r="H45" s="81" t="n"/>
      <c r="I45" s="82" t="n"/>
      <c r="J45" s="81" t="n"/>
      <c r="K45" s="84" t="n"/>
      <c r="L45" s="86" t="n"/>
      <c r="M45" s="87">
        <f>IF(AND($A45&lt;&gt;"",ISNUMBER($J45)),IF(INT($J45)-TODAY()&lt;=Set_DueSoonDays,INT($J45)+ROW()/10000,""),"")</f>
        <v/>
      </c>
    </row>
    <row r="46">
      <c r="A46" s="82" t="n"/>
      <c r="B46" s="82" t="n"/>
      <c r="C46" s="82" t="n"/>
      <c r="D46" s="83" t="n"/>
      <c r="E46" s="81" t="n"/>
      <c r="F46" s="82" t="n"/>
      <c r="G46" s="84" t="n"/>
      <c r="H46" s="81" t="n"/>
      <c r="I46" s="82" t="n"/>
      <c r="J46" s="81" t="n"/>
      <c r="K46" s="84" t="n"/>
      <c r="L46" s="86" t="n"/>
      <c r="M46" s="87">
        <f>IF(AND($A46&lt;&gt;"",ISNUMBER($J46)),IF(INT($J46)-TODAY()&lt;=Set_DueSoonDays,INT($J46)+ROW()/10000,""),"")</f>
        <v/>
      </c>
    </row>
    <row r="47">
      <c r="A47" s="82" t="n"/>
      <c r="B47" s="82" t="n"/>
      <c r="C47" s="82" t="n"/>
      <c r="D47" s="83" t="n"/>
      <c r="E47" s="81" t="n"/>
      <c r="F47" s="82" t="n"/>
      <c r="G47" s="84" t="n"/>
      <c r="H47" s="81" t="n"/>
      <c r="I47" s="82" t="n"/>
      <c r="J47" s="81" t="n"/>
      <c r="K47" s="84" t="n"/>
      <c r="L47" s="86" t="n"/>
      <c r="M47" s="87">
        <f>IF(AND($A47&lt;&gt;"",ISNUMBER($J47)),IF(INT($J47)-TODAY()&lt;=Set_DueSoonDays,INT($J47)+ROW()/10000,""),"")</f>
        <v/>
      </c>
    </row>
    <row r="48">
      <c r="A48" s="82" t="n"/>
      <c r="B48" s="82" t="n"/>
      <c r="C48" s="82" t="n"/>
      <c r="D48" s="83" t="n"/>
      <c r="E48" s="81" t="n"/>
      <c r="F48" s="82" t="n"/>
      <c r="G48" s="84" t="n"/>
      <c r="H48" s="81" t="n"/>
      <c r="I48" s="82" t="n"/>
      <c r="J48" s="81" t="n"/>
      <c r="K48" s="84" t="n"/>
      <c r="L48" s="86" t="n"/>
      <c r="M48" s="87">
        <f>IF(AND($A48&lt;&gt;"",ISNUMBER($J48)),IF(INT($J48)-TODAY()&lt;=Set_DueSoonDays,INT($J48)+ROW()/10000,""),"")</f>
        <v/>
      </c>
    </row>
    <row r="49">
      <c r="A49" s="82" t="n"/>
      <c r="B49" s="82" t="n"/>
      <c r="C49" s="82" t="n"/>
      <c r="D49" s="83" t="n"/>
      <c r="E49" s="81" t="n"/>
      <c r="F49" s="82" t="n"/>
      <c r="G49" s="84" t="n"/>
      <c r="H49" s="81" t="n"/>
      <c r="I49" s="82" t="n"/>
      <c r="J49" s="81" t="n"/>
      <c r="K49" s="84" t="n"/>
      <c r="L49" s="86" t="n"/>
      <c r="M49" s="87">
        <f>IF(AND($A49&lt;&gt;"",ISNUMBER($J49)),IF(INT($J49)-TODAY()&lt;=Set_DueSoonDays,INT($J49)+ROW()/10000,""),"")</f>
        <v/>
      </c>
    </row>
    <row r="50">
      <c r="A50" s="82" t="n"/>
      <c r="B50" s="82" t="n"/>
      <c r="C50" s="82" t="n"/>
      <c r="D50" s="83" t="n"/>
      <c r="E50" s="81" t="n"/>
      <c r="F50" s="82" t="n"/>
      <c r="G50" s="84" t="n"/>
      <c r="H50" s="81" t="n"/>
      <c r="I50" s="82" t="n"/>
      <c r="J50" s="81" t="n"/>
      <c r="K50" s="84" t="n"/>
      <c r="L50" s="86" t="n"/>
      <c r="M50" s="87">
        <f>IF(AND($A50&lt;&gt;"",ISNUMBER($J50)),IF(INT($J50)-TODAY()&lt;=Set_DueSoonDays,INT($J50)+ROW()/10000,""),"")</f>
        <v/>
      </c>
    </row>
    <row r="51">
      <c r="A51" s="82" t="n"/>
      <c r="B51" s="82" t="n"/>
      <c r="C51" s="82" t="n"/>
      <c r="D51" s="83" t="n"/>
      <c r="E51" s="81" t="n"/>
      <c r="F51" s="82" t="n"/>
      <c r="G51" s="84" t="n"/>
      <c r="H51" s="81" t="n"/>
      <c r="I51" s="82" t="n"/>
      <c r="J51" s="81" t="n"/>
      <c r="K51" s="84" t="n"/>
      <c r="L51" s="86" t="n"/>
      <c r="M51" s="87">
        <f>IF(AND($A51&lt;&gt;"",ISNUMBER($J51)),IF(INT($J51)-TODAY()&lt;=Set_DueSoonDays,INT($J51)+ROW()/10000,""),"")</f>
        <v/>
      </c>
    </row>
    <row r="52">
      <c r="A52" s="82" t="n"/>
      <c r="B52" s="82" t="n"/>
      <c r="C52" s="82" t="n"/>
      <c r="D52" s="83" t="n"/>
      <c r="E52" s="81" t="n"/>
      <c r="F52" s="82" t="n"/>
      <c r="G52" s="84" t="n"/>
      <c r="H52" s="81" t="n"/>
      <c r="I52" s="82" t="n"/>
      <c r="J52" s="81" t="n"/>
      <c r="K52" s="84" t="n"/>
      <c r="L52" s="86" t="n"/>
      <c r="M52" s="87">
        <f>IF(AND($A52&lt;&gt;"",ISNUMBER($J52)),IF(INT($J52)-TODAY()&lt;=Set_DueSoonDays,INT($J52)+ROW()/10000,""),"")</f>
        <v/>
      </c>
    </row>
    <row r="53">
      <c r="A53" s="82" t="n"/>
      <c r="B53" s="82" t="n"/>
      <c r="C53" s="82" t="n"/>
      <c r="D53" s="83" t="n"/>
      <c r="E53" s="81" t="n"/>
      <c r="F53" s="82" t="n"/>
      <c r="G53" s="84" t="n"/>
      <c r="H53" s="81" t="n"/>
      <c r="I53" s="82" t="n"/>
      <c r="J53" s="81" t="n"/>
      <c r="K53" s="84" t="n"/>
      <c r="L53" s="86" t="n"/>
      <c r="M53" s="87">
        <f>IF(AND($A53&lt;&gt;"",ISNUMBER($J53)),IF(INT($J53)-TODAY()&lt;=Set_DueSoonDays,INT($J53)+ROW()/10000,""),"")</f>
        <v/>
      </c>
    </row>
    <row r="54">
      <c r="A54" s="82" t="n"/>
      <c r="B54" s="82" t="n"/>
      <c r="C54" s="82" t="n"/>
      <c r="D54" s="83" t="n"/>
      <c r="E54" s="81" t="n"/>
      <c r="F54" s="82" t="n"/>
      <c r="G54" s="84" t="n"/>
      <c r="H54" s="81" t="n"/>
      <c r="I54" s="82" t="n"/>
      <c r="J54" s="81" t="n"/>
      <c r="K54" s="84" t="n"/>
      <c r="L54" s="86" t="n"/>
      <c r="M54" s="87">
        <f>IF(AND($A54&lt;&gt;"",ISNUMBER($J54)),IF(INT($J54)-TODAY()&lt;=Set_DueSoonDays,INT($J54)+ROW()/10000,""),"")</f>
        <v/>
      </c>
    </row>
    <row r="55">
      <c r="A55" s="82" t="n"/>
      <c r="B55" s="82" t="n"/>
      <c r="C55" s="82" t="n"/>
      <c r="D55" s="83" t="n"/>
      <c r="E55" s="81" t="n"/>
      <c r="F55" s="82" t="n"/>
      <c r="G55" s="84" t="n"/>
      <c r="H55" s="81" t="n"/>
      <c r="I55" s="82" t="n"/>
      <c r="J55" s="81" t="n"/>
      <c r="K55" s="84" t="n"/>
      <c r="L55" s="86" t="n"/>
      <c r="M55" s="87">
        <f>IF(AND($A55&lt;&gt;"",ISNUMBER($J55)),IF(INT($J55)-TODAY()&lt;=Set_DueSoonDays,INT($J55)+ROW()/10000,""),"")</f>
        <v/>
      </c>
    </row>
    <row r="56">
      <c r="A56" s="82" t="n"/>
      <c r="B56" s="82" t="n"/>
      <c r="C56" s="82" t="n"/>
      <c r="D56" s="83" t="n"/>
      <c r="E56" s="81" t="n"/>
      <c r="F56" s="82" t="n"/>
      <c r="G56" s="84" t="n"/>
      <c r="H56" s="81" t="n"/>
      <c r="I56" s="82" t="n"/>
      <c r="J56" s="81" t="n"/>
      <c r="K56" s="84" t="n"/>
      <c r="L56" s="86" t="n"/>
      <c r="M56" s="87">
        <f>IF(AND($A56&lt;&gt;"",ISNUMBER($J56)),IF(INT($J56)-TODAY()&lt;=Set_DueSoonDays,INT($J56)+ROW()/10000,""),"")</f>
        <v/>
      </c>
    </row>
    <row r="57">
      <c r="A57" s="82" t="n"/>
      <c r="B57" s="82" t="n"/>
      <c r="C57" s="82" t="n"/>
      <c r="D57" s="83" t="n"/>
      <c r="E57" s="81" t="n"/>
      <c r="F57" s="82" t="n"/>
      <c r="G57" s="84" t="n"/>
      <c r="H57" s="81" t="n"/>
      <c r="I57" s="82" t="n"/>
      <c r="J57" s="81" t="n"/>
      <c r="K57" s="84" t="n"/>
      <c r="L57" s="86" t="n"/>
      <c r="M57" s="87">
        <f>IF(AND($A57&lt;&gt;"",ISNUMBER($J57)),IF(INT($J57)-TODAY()&lt;=Set_DueSoonDays,INT($J57)+ROW()/10000,""),"")</f>
        <v/>
      </c>
    </row>
    <row r="58">
      <c r="A58" s="82" t="n"/>
      <c r="B58" s="82" t="n"/>
      <c r="C58" s="82" t="n"/>
      <c r="D58" s="83" t="n"/>
      <c r="E58" s="81" t="n"/>
      <c r="F58" s="82" t="n"/>
      <c r="G58" s="84" t="n"/>
      <c r="H58" s="81" t="n"/>
      <c r="I58" s="82" t="n"/>
      <c r="J58" s="81" t="n"/>
      <c r="K58" s="84" t="n"/>
      <c r="L58" s="86" t="n"/>
      <c r="M58" s="87">
        <f>IF(AND($A58&lt;&gt;"",ISNUMBER($J58)),IF(INT($J58)-TODAY()&lt;=Set_DueSoonDays,INT($J58)+ROW()/10000,""),"")</f>
        <v/>
      </c>
    </row>
    <row r="59">
      <c r="A59" s="82" t="n"/>
      <c r="B59" s="82" t="n"/>
      <c r="C59" s="82" t="n"/>
      <c r="D59" s="83" t="n"/>
      <c r="E59" s="81" t="n"/>
      <c r="F59" s="82" t="n"/>
      <c r="G59" s="84" t="n"/>
      <c r="H59" s="81" t="n"/>
      <c r="I59" s="82" t="n"/>
      <c r="J59" s="81" t="n"/>
      <c r="K59" s="84" t="n"/>
      <c r="L59" s="86" t="n"/>
      <c r="M59" s="87">
        <f>IF(AND($A59&lt;&gt;"",ISNUMBER($J59)),IF(INT($J59)-TODAY()&lt;=Set_DueSoonDays,INT($J59)+ROW()/10000,""),"")</f>
        <v/>
      </c>
    </row>
    <row r="60">
      <c r="A60" s="82" t="n"/>
      <c r="B60" s="82" t="n"/>
      <c r="C60" s="82" t="n"/>
      <c r="D60" s="83" t="n"/>
      <c r="E60" s="81" t="n"/>
      <c r="F60" s="82" t="n"/>
      <c r="G60" s="84" t="n"/>
      <c r="H60" s="81" t="n"/>
      <c r="I60" s="82" t="n"/>
      <c r="J60" s="81" t="n"/>
      <c r="K60" s="84" t="n"/>
      <c r="L60" s="86" t="n"/>
      <c r="M60" s="87">
        <f>IF(AND($A60&lt;&gt;"",ISNUMBER($J60)),IF(INT($J60)-TODAY()&lt;=Set_DueSoonDays,INT($J60)+ROW()/10000,""),"")</f>
        <v/>
      </c>
    </row>
    <row r="61">
      <c r="A61" s="82" t="n"/>
      <c r="B61" s="82" t="n"/>
      <c r="C61" s="82" t="n"/>
      <c r="D61" s="83" t="n"/>
      <c r="E61" s="81" t="n"/>
      <c r="F61" s="82" t="n"/>
      <c r="G61" s="84" t="n"/>
      <c r="H61" s="81" t="n"/>
      <c r="I61" s="82" t="n"/>
      <c r="J61" s="81" t="n"/>
      <c r="K61" s="84" t="n"/>
      <c r="L61" s="86" t="n"/>
      <c r="M61" s="87">
        <f>IF(AND($A61&lt;&gt;"",ISNUMBER($J61)),IF(INT($J61)-TODAY()&lt;=Set_DueSoonDays,INT($J61)+ROW()/10000,""),"")</f>
        <v/>
      </c>
    </row>
    <row r="62">
      <c r="A62" s="82" t="n"/>
      <c r="B62" s="82" t="n"/>
      <c r="C62" s="82" t="n"/>
      <c r="D62" s="83" t="n"/>
      <c r="E62" s="81" t="n"/>
      <c r="F62" s="82" t="n"/>
      <c r="G62" s="84" t="n"/>
      <c r="H62" s="81" t="n"/>
      <c r="I62" s="82" t="n"/>
      <c r="J62" s="81" t="n"/>
      <c r="K62" s="84" t="n"/>
      <c r="L62" s="86" t="n"/>
      <c r="M62" s="87">
        <f>IF(AND($A62&lt;&gt;"",ISNUMBER($J62)),IF(INT($J62)-TODAY()&lt;=Set_DueSoonDays,INT($J62)+ROW()/10000,""),"")</f>
        <v/>
      </c>
    </row>
    <row r="63">
      <c r="A63" s="82" t="n"/>
      <c r="B63" s="82" t="n"/>
      <c r="C63" s="82" t="n"/>
      <c r="D63" s="83" t="n"/>
      <c r="E63" s="81" t="n"/>
      <c r="F63" s="82" t="n"/>
      <c r="G63" s="84" t="n"/>
      <c r="H63" s="81" t="n"/>
      <c r="I63" s="82" t="n"/>
      <c r="J63" s="81" t="n"/>
      <c r="K63" s="84" t="n"/>
      <c r="L63" s="86" t="n"/>
      <c r="M63" s="87">
        <f>IF(AND($A63&lt;&gt;"",ISNUMBER($J63)),IF(INT($J63)-TODAY()&lt;=Set_DueSoonDays,INT($J63)+ROW()/10000,""),"")</f>
        <v/>
      </c>
    </row>
    <row r="64">
      <c r="A64" s="82" t="n"/>
      <c r="B64" s="82" t="n"/>
      <c r="C64" s="82" t="n"/>
      <c r="D64" s="83" t="n"/>
      <c r="E64" s="81" t="n"/>
      <c r="F64" s="82" t="n"/>
      <c r="G64" s="84" t="n"/>
      <c r="H64" s="81" t="n"/>
      <c r="I64" s="82" t="n"/>
      <c r="J64" s="81" t="n"/>
      <c r="K64" s="84" t="n"/>
      <c r="L64" s="86" t="n"/>
      <c r="M64" s="87">
        <f>IF(AND($A64&lt;&gt;"",ISNUMBER($J64)),IF(INT($J64)-TODAY()&lt;=Set_DueSoonDays,INT($J64)+ROW()/10000,""),"")</f>
        <v/>
      </c>
    </row>
    <row r="65">
      <c r="A65" s="82" t="n"/>
      <c r="B65" s="82" t="n"/>
      <c r="C65" s="82" t="n"/>
      <c r="D65" s="83" t="n"/>
      <c r="E65" s="81" t="n"/>
      <c r="F65" s="82" t="n"/>
      <c r="G65" s="84" t="n"/>
      <c r="H65" s="81" t="n"/>
      <c r="I65" s="82" t="n"/>
      <c r="J65" s="81" t="n"/>
      <c r="K65" s="84" t="n"/>
      <c r="L65" s="86" t="n"/>
      <c r="M65" s="87">
        <f>IF(AND($A65&lt;&gt;"",ISNUMBER($J65)),IF(INT($J65)-TODAY()&lt;=Set_DueSoonDays,INT($J65)+ROW()/10000,""),"")</f>
        <v/>
      </c>
    </row>
    <row r="66">
      <c r="A66" s="82" t="n"/>
      <c r="B66" s="82" t="n"/>
      <c r="C66" s="82" t="n"/>
      <c r="D66" s="83" t="n"/>
      <c r="E66" s="81" t="n"/>
      <c r="F66" s="82" t="n"/>
      <c r="G66" s="84" t="n"/>
      <c r="H66" s="81" t="n"/>
      <c r="I66" s="82" t="n"/>
      <c r="J66" s="81" t="n"/>
      <c r="K66" s="84" t="n"/>
      <c r="L66" s="86" t="n"/>
      <c r="M66" s="87">
        <f>IF(AND($A66&lt;&gt;"",ISNUMBER($J66)),IF(INT($J66)-TODAY()&lt;=Set_DueSoonDays,INT($J66)+ROW()/10000,""),"")</f>
        <v/>
      </c>
    </row>
    <row r="67">
      <c r="A67" s="82" t="n"/>
      <c r="B67" s="82" t="n"/>
      <c r="C67" s="82" t="n"/>
      <c r="D67" s="83" t="n"/>
      <c r="E67" s="81" t="n"/>
      <c r="F67" s="82" t="n"/>
      <c r="G67" s="84" t="n"/>
      <c r="H67" s="81" t="n"/>
      <c r="I67" s="82" t="n"/>
      <c r="J67" s="81" t="n"/>
      <c r="K67" s="84" t="n"/>
      <c r="L67" s="86" t="n"/>
      <c r="M67" s="87">
        <f>IF(AND($A67&lt;&gt;"",ISNUMBER($J67)),IF(INT($J67)-TODAY()&lt;=Set_DueSoonDays,INT($J67)+ROW()/10000,""),"")</f>
        <v/>
      </c>
    </row>
    <row r="68">
      <c r="A68" s="82" t="n"/>
      <c r="B68" s="82" t="n"/>
      <c r="C68" s="82" t="n"/>
      <c r="D68" s="83" t="n"/>
      <c r="E68" s="81" t="n"/>
      <c r="F68" s="82" t="n"/>
      <c r="G68" s="84" t="n"/>
      <c r="H68" s="81" t="n"/>
      <c r="I68" s="82" t="n"/>
      <c r="J68" s="81" t="n"/>
      <c r="K68" s="84" t="n"/>
      <c r="L68" s="86" t="n"/>
      <c r="M68" s="87">
        <f>IF(AND($A68&lt;&gt;"",ISNUMBER($J68)),IF(INT($J68)-TODAY()&lt;=Set_DueSoonDays,INT($J68)+ROW()/10000,""),"")</f>
        <v/>
      </c>
    </row>
    <row r="69">
      <c r="A69" s="82" t="n"/>
      <c r="B69" s="82" t="n"/>
      <c r="C69" s="82" t="n"/>
      <c r="D69" s="83" t="n"/>
      <c r="E69" s="81" t="n"/>
      <c r="F69" s="82" t="n"/>
      <c r="G69" s="84" t="n"/>
      <c r="H69" s="81" t="n"/>
      <c r="I69" s="82" t="n"/>
      <c r="J69" s="81" t="n"/>
      <c r="K69" s="84" t="n"/>
      <c r="L69" s="86" t="n"/>
      <c r="M69" s="87">
        <f>IF(AND($A69&lt;&gt;"",ISNUMBER($J69)),IF(INT($J69)-TODAY()&lt;=Set_DueSoonDays,INT($J69)+ROW()/10000,""),"")</f>
        <v/>
      </c>
    </row>
    <row r="70">
      <c r="A70" s="82" t="n"/>
      <c r="B70" s="82" t="n"/>
      <c r="C70" s="82" t="n"/>
      <c r="D70" s="83" t="n"/>
      <c r="E70" s="81" t="n"/>
      <c r="F70" s="82" t="n"/>
      <c r="G70" s="84" t="n"/>
      <c r="H70" s="81" t="n"/>
      <c r="I70" s="82" t="n"/>
      <c r="J70" s="81" t="n"/>
      <c r="K70" s="84" t="n"/>
      <c r="L70" s="86" t="n"/>
      <c r="M70" s="87">
        <f>IF(AND($A70&lt;&gt;"",ISNUMBER($J70)),IF(INT($J70)-TODAY()&lt;=Set_DueSoonDays,INT($J70)+ROW()/10000,""),"")</f>
        <v/>
      </c>
    </row>
    <row r="71">
      <c r="A71" s="82" t="n"/>
      <c r="B71" s="82" t="n"/>
      <c r="C71" s="82" t="n"/>
      <c r="D71" s="83" t="n"/>
      <c r="E71" s="81" t="n"/>
      <c r="F71" s="82" t="n"/>
      <c r="G71" s="84" t="n"/>
      <c r="H71" s="81" t="n"/>
      <c r="I71" s="82" t="n"/>
      <c r="J71" s="81" t="n"/>
      <c r="K71" s="84" t="n"/>
      <c r="L71" s="86" t="n"/>
      <c r="M71" s="87">
        <f>IF(AND($A71&lt;&gt;"",ISNUMBER($J71)),IF(INT($J71)-TODAY()&lt;=Set_DueSoonDays,INT($J71)+ROW()/10000,""),"")</f>
        <v/>
      </c>
    </row>
    <row r="72">
      <c r="A72" s="82" t="n"/>
      <c r="B72" s="82" t="n"/>
      <c r="C72" s="82" t="n"/>
      <c r="D72" s="83" t="n"/>
      <c r="E72" s="81" t="n"/>
      <c r="F72" s="82" t="n"/>
      <c r="G72" s="84" t="n"/>
      <c r="H72" s="81" t="n"/>
      <c r="I72" s="82" t="n"/>
      <c r="J72" s="81" t="n"/>
      <c r="K72" s="84" t="n"/>
      <c r="L72" s="86" t="n"/>
      <c r="M72" s="87">
        <f>IF(AND($A72&lt;&gt;"",ISNUMBER($J72)),IF(INT($J72)-TODAY()&lt;=Set_DueSoonDays,INT($J72)+ROW()/10000,""),"")</f>
        <v/>
      </c>
    </row>
    <row r="73">
      <c r="A73" s="82" t="n"/>
      <c r="B73" s="82" t="n"/>
      <c r="C73" s="82" t="n"/>
      <c r="D73" s="83" t="n"/>
      <c r="E73" s="81" t="n"/>
      <c r="F73" s="82" t="n"/>
      <c r="G73" s="84" t="n"/>
      <c r="H73" s="81" t="n"/>
      <c r="I73" s="82" t="n"/>
      <c r="J73" s="81" t="n"/>
      <c r="K73" s="84" t="n"/>
      <c r="L73" s="86" t="n"/>
      <c r="M73" s="87">
        <f>IF(AND($A73&lt;&gt;"",ISNUMBER($J73)),IF(INT($J73)-TODAY()&lt;=Set_DueSoonDays,INT($J73)+ROW()/10000,""),"")</f>
        <v/>
      </c>
    </row>
    <row r="74">
      <c r="A74" s="82" t="n"/>
      <c r="B74" s="82" t="n"/>
      <c r="C74" s="82" t="n"/>
      <c r="D74" s="83" t="n"/>
      <c r="E74" s="81" t="n"/>
      <c r="F74" s="82" t="n"/>
      <c r="G74" s="84" t="n"/>
      <c r="H74" s="81" t="n"/>
      <c r="I74" s="82" t="n"/>
      <c r="J74" s="81" t="n"/>
      <c r="K74" s="84" t="n"/>
      <c r="L74" s="86" t="n"/>
      <c r="M74" s="87">
        <f>IF(AND($A74&lt;&gt;"",ISNUMBER($J74)),IF(INT($J74)-TODAY()&lt;=Set_DueSoonDays,INT($J74)+ROW()/10000,""),"")</f>
        <v/>
      </c>
    </row>
    <row r="75">
      <c r="A75" s="82" t="n"/>
      <c r="B75" s="82" t="n"/>
      <c r="C75" s="82" t="n"/>
      <c r="D75" s="83" t="n"/>
      <c r="E75" s="81" t="n"/>
      <c r="F75" s="82" t="n"/>
      <c r="G75" s="84" t="n"/>
      <c r="H75" s="81" t="n"/>
      <c r="I75" s="82" t="n"/>
      <c r="J75" s="81" t="n"/>
      <c r="K75" s="84" t="n"/>
      <c r="L75" s="86" t="n"/>
      <c r="M75" s="87">
        <f>IF(AND($A75&lt;&gt;"",ISNUMBER($J75)),IF(INT($J75)-TODAY()&lt;=Set_DueSoonDays,INT($J75)+ROW()/10000,""),"")</f>
        <v/>
      </c>
    </row>
    <row r="76">
      <c r="A76" s="82" t="n"/>
      <c r="B76" s="82" t="n"/>
      <c r="C76" s="82" t="n"/>
      <c r="D76" s="83" t="n"/>
      <c r="E76" s="81" t="n"/>
      <c r="F76" s="82" t="n"/>
      <c r="G76" s="84" t="n"/>
      <c r="H76" s="81" t="n"/>
      <c r="I76" s="82" t="n"/>
      <c r="J76" s="81" t="n"/>
      <c r="K76" s="84" t="n"/>
      <c r="L76" s="86" t="n"/>
      <c r="M76" s="87">
        <f>IF(AND($A76&lt;&gt;"",ISNUMBER($J76)),IF(INT($J76)-TODAY()&lt;=Set_DueSoonDays,INT($J76)+ROW()/10000,""),"")</f>
        <v/>
      </c>
    </row>
    <row r="77">
      <c r="A77" s="82" t="n"/>
      <c r="B77" s="82" t="n"/>
      <c r="C77" s="82" t="n"/>
      <c r="D77" s="83" t="n"/>
      <c r="E77" s="81" t="n"/>
      <c r="F77" s="82" t="n"/>
      <c r="G77" s="84" t="n"/>
      <c r="H77" s="81" t="n"/>
      <c r="I77" s="82" t="n"/>
      <c r="J77" s="81" t="n"/>
      <c r="K77" s="84" t="n"/>
      <c r="L77" s="86" t="n"/>
      <c r="M77" s="87">
        <f>IF(AND($A77&lt;&gt;"",ISNUMBER($J77)),IF(INT($J77)-TODAY()&lt;=Set_DueSoonDays,INT($J77)+ROW()/10000,""),"")</f>
        <v/>
      </c>
    </row>
    <row r="78">
      <c r="A78" s="82" t="n"/>
      <c r="B78" s="82" t="n"/>
      <c r="C78" s="82" t="n"/>
      <c r="D78" s="83" t="n"/>
      <c r="E78" s="81" t="n"/>
      <c r="F78" s="82" t="n"/>
      <c r="G78" s="84" t="n"/>
      <c r="H78" s="81" t="n"/>
      <c r="I78" s="82" t="n"/>
      <c r="J78" s="81" t="n"/>
      <c r="K78" s="84" t="n"/>
      <c r="L78" s="86" t="n"/>
      <c r="M78" s="87">
        <f>IF(AND($A78&lt;&gt;"",ISNUMBER($J78)),IF(INT($J78)-TODAY()&lt;=Set_DueSoonDays,INT($J78)+ROW()/10000,""),"")</f>
        <v/>
      </c>
    </row>
    <row r="79">
      <c r="A79" s="82" t="n"/>
      <c r="B79" s="82" t="n"/>
      <c r="C79" s="82" t="n"/>
      <c r="D79" s="83" t="n"/>
      <c r="E79" s="81" t="n"/>
      <c r="F79" s="82" t="n"/>
      <c r="G79" s="84" t="n"/>
      <c r="H79" s="81" t="n"/>
      <c r="I79" s="82" t="n"/>
      <c r="J79" s="81" t="n"/>
      <c r="K79" s="84" t="n"/>
      <c r="L79" s="86" t="n"/>
      <c r="M79" s="87">
        <f>IF(AND($A79&lt;&gt;"",ISNUMBER($J79)),IF(INT($J79)-TODAY()&lt;=Set_DueSoonDays,INT($J79)+ROW()/10000,""),"")</f>
        <v/>
      </c>
    </row>
    <row r="80">
      <c r="A80" s="82" t="n"/>
      <c r="B80" s="82" t="n"/>
      <c r="C80" s="82" t="n"/>
      <c r="D80" s="83" t="n"/>
      <c r="E80" s="81" t="n"/>
      <c r="F80" s="82" t="n"/>
      <c r="G80" s="84" t="n"/>
      <c r="H80" s="81" t="n"/>
      <c r="I80" s="82" t="n"/>
      <c r="J80" s="81" t="n"/>
      <c r="K80" s="84" t="n"/>
      <c r="L80" s="86" t="n"/>
      <c r="M80" s="87">
        <f>IF(AND($A80&lt;&gt;"",ISNUMBER($J80)),IF(INT($J80)-TODAY()&lt;=Set_DueSoonDays,INT($J80)+ROW()/10000,""),"")</f>
        <v/>
      </c>
    </row>
    <row r="81">
      <c r="A81" s="82" t="n"/>
      <c r="B81" s="82" t="n"/>
      <c r="C81" s="82" t="n"/>
      <c r="D81" s="83" t="n"/>
      <c r="E81" s="81" t="n"/>
      <c r="F81" s="82" t="n"/>
      <c r="G81" s="84" t="n"/>
      <c r="H81" s="81" t="n"/>
      <c r="I81" s="82" t="n"/>
      <c r="J81" s="81" t="n"/>
      <c r="K81" s="84" t="n"/>
      <c r="L81" s="86" t="n"/>
      <c r="M81" s="87">
        <f>IF(AND($A81&lt;&gt;"",ISNUMBER($J81)),IF(INT($J81)-TODAY()&lt;=Set_DueSoonDays,INT($J81)+ROW()/10000,""),"")</f>
        <v/>
      </c>
    </row>
    <row r="82">
      <c r="A82" s="82" t="n"/>
      <c r="B82" s="82" t="n"/>
      <c r="C82" s="82" t="n"/>
      <c r="D82" s="83" t="n"/>
      <c r="E82" s="81" t="n"/>
      <c r="F82" s="82" t="n"/>
      <c r="G82" s="84" t="n"/>
      <c r="H82" s="81" t="n"/>
      <c r="I82" s="82" t="n"/>
      <c r="J82" s="81" t="n"/>
      <c r="K82" s="84" t="n"/>
      <c r="L82" s="86" t="n"/>
      <c r="M82" s="87">
        <f>IF(AND($A82&lt;&gt;"",ISNUMBER($J82)),IF(INT($J82)-TODAY()&lt;=Set_DueSoonDays,INT($J82)+ROW()/10000,""),"")</f>
        <v/>
      </c>
    </row>
    <row r="83">
      <c r="A83" s="82" t="n"/>
      <c r="B83" s="82" t="n"/>
      <c r="C83" s="82" t="n"/>
      <c r="D83" s="83" t="n"/>
      <c r="E83" s="81" t="n"/>
      <c r="F83" s="82" t="n"/>
      <c r="G83" s="84" t="n"/>
      <c r="H83" s="81" t="n"/>
      <c r="I83" s="82" t="n"/>
      <c r="J83" s="81" t="n"/>
      <c r="K83" s="84" t="n"/>
      <c r="L83" s="86" t="n"/>
      <c r="M83" s="87">
        <f>IF(AND($A83&lt;&gt;"",ISNUMBER($J83)),IF(INT($J83)-TODAY()&lt;=Set_DueSoonDays,INT($J83)+ROW()/10000,""),"")</f>
        <v/>
      </c>
    </row>
    <row r="84">
      <c r="A84" s="82" t="n"/>
      <c r="B84" s="82" t="n"/>
      <c r="C84" s="82" t="n"/>
      <c r="D84" s="83" t="n"/>
      <c r="E84" s="81" t="n"/>
      <c r="F84" s="82" t="n"/>
      <c r="G84" s="84" t="n"/>
      <c r="H84" s="81" t="n"/>
      <c r="I84" s="82" t="n"/>
      <c r="J84" s="81" t="n"/>
      <c r="K84" s="84" t="n"/>
      <c r="L84" s="86" t="n"/>
      <c r="M84" s="87">
        <f>IF(AND($A84&lt;&gt;"",ISNUMBER($J84)),IF(INT($J84)-TODAY()&lt;=Set_DueSoonDays,INT($J84)+ROW()/10000,""),"")</f>
        <v/>
      </c>
    </row>
    <row r="85">
      <c r="A85" s="82" t="n"/>
      <c r="B85" s="82" t="n"/>
      <c r="C85" s="82" t="n"/>
      <c r="D85" s="83" t="n"/>
      <c r="E85" s="81" t="n"/>
      <c r="F85" s="82" t="n"/>
      <c r="G85" s="84" t="n"/>
      <c r="H85" s="81" t="n"/>
      <c r="I85" s="82" t="n"/>
      <c r="J85" s="81" t="n"/>
      <c r="K85" s="84" t="n"/>
      <c r="L85" s="86" t="n"/>
      <c r="M85" s="87">
        <f>IF(AND($A85&lt;&gt;"",ISNUMBER($J85)),IF(INT($J85)-TODAY()&lt;=Set_DueSoonDays,INT($J85)+ROW()/10000,""),"")</f>
        <v/>
      </c>
    </row>
    <row r="86">
      <c r="A86" s="82" t="n"/>
      <c r="B86" s="82" t="n"/>
      <c r="C86" s="82" t="n"/>
      <c r="D86" s="83" t="n"/>
      <c r="E86" s="81" t="n"/>
      <c r="F86" s="82" t="n"/>
      <c r="G86" s="84" t="n"/>
      <c r="H86" s="81" t="n"/>
      <c r="I86" s="82" t="n"/>
      <c r="J86" s="81" t="n"/>
      <c r="K86" s="84" t="n"/>
      <c r="L86" s="86" t="n"/>
      <c r="M86" s="87">
        <f>IF(AND($A86&lt;&gt;"",ISNUMBER($J86)),IF(INT($J86)-TODAY()&lt;=Set_DueSoonDays,INT($J86)+ROW()/10000,""),"")</f>
        <v/>
      </c>
    </row>
    <row r="87">
      <c r="A87" s="82" t="n"/>
      <c r="B87" s="82" t="n"/>
      <c r="C87" s="82" t="n"/>
      <c r="D87" s="83" t="n"/>
      <c r="E87" s="81" t="n"/>
      <c r="F87" s="82" t="n"/>
      <c r="G87" s="84" t="n"/>
      <c r="H87" s="81" t="n"/>
      <c r="I87" s="82" t="n"/>
      <c r="J87" s="81" t="n"/>
      <c r="K87" s="84" t="n"/>
      <c r="L87" s="86" t="n"/>
      <c r="M87" s="87">
        <f>IF(AND($A87&lt;&gt;"",ISNUMBER($J87)),IF(INT($J87)-TODAY()&lt;=Set_DueSoonDays,INT($J87)+ROW()/10000,""),"")</f>
        <v/>
      </c>
    </row>
    <row r="88">
      <c r="A88" s="82" t="n"/>
      <c r="B88" s="82" t="n"/>
      <c r="C88" s="82" t="n"/>
      <c r="D88" s="83" t="n"/>
      <c r="E88" s="81" t="n"/>
      <c r="F88" s="82" t="n"/>
      <c r="G88" s="84" t="n"/>
      <c r="H88" s="81" t="n"/>
      <c r="I88" s="82" t="n"/>
      <c r="J88" s="81" t="n"/>
      <c r="K88" s="84" t="n"/>
      <c r="L88" s="86" t="n"/>
      <c r="M88" s="87">
        <f>IF(AND($A88&lt;&gt;"",ISNUMBER($J88)),IF(INT($J88)-TODAY()&lt;=Set_DueSoonDays,INT($J88)+ROW()/10000,""),"")</f>
        <v/>
      </c>
    </row>
    <row r="89">
      <c r="A89" s="82" t="n"/>
      <c r="B89" s="82" t="n"/>
      <c r="C89" s="82" t="n"/>
      <c r="D89" s="83" t="n"/>
      <c r="E89" s="81" t="n"/>
      <c r="F89" s="82" t="n"/>
      <c r="G89" s="84" t="n"/>
      <c r="H89" s="81" t="n"/>
      <c r="I89" s="82" t="n"/>
      <c r="J89" s="81" t="n"/>
      <c r="K89" s="84" t="n"/>
      <c r="L89" s="86" t="n"/>
      <c r="M89" s="87">
        <f>IF(AND($A89&lt;&gt;"",ISNUMBER($J89)),IF(INT($J89)-TODAY()&lt;=Set_DueSoonDays,INT($J89)+ROW()/10000,""),"")</f>
        <v/>
      </c>
    </row>
    <row r="90">
      <c r="A90" s="82" t="n"/>
      <c r="B90" s="82" t="n"/>
      <c r="C90" s="82" t="n"/>
      <c r="D90" s="83" t="n"/>
      <c r="E90" s="81" t="n"/>
      <c r="F90" s="82" t="n"/>
      <c r="G90" s="84" t="n"/>
      <c r="H90" s="81" t="n"/>
      <c r="I90" s="82" t="n"/>
      <c r="J90" s="81" t="n"/>
      <c r="K90" s="84" t="n"/>
      <c r="L90" s="86" t="n"/>
      <c r="M90" s="87">
        <f>IF(AND($A90&lt;&gt;"",ISNUMBER($J90)),IF(INT($J90)-TODAY()&lt;=Set_DueSoonDays,INT($J90)+ROW()/10000,""),"")</f>
        <v/>
      </c>
    </row>
    <row r="91">
      <c r="A91" s="82" t="n"/>
      <c r="B91" s="82" t="n"/>
      <c r="C91" s="82" t="n"/>
      <c r="D91" s="83" t="n"/>
      <c r="E91" s="81" t="n"/>
      <c r="F91" s="82" t="n"/>
      <c r="G91" s="84" t="n"/>
      <c r="H91" s="81" t="n"/>
      <c r="I91" s="82" t="n"/>
      <c r="J91" s="81" t="n"/>
      <c r="K91" s="84" t="n"/>
      <c r="L91" s="86" t="n"/>
      <c r="M91" s="87">
        <f>IF(AND($A91&lt;&gt;"",ISNUMBER($J91)),IF(INT($J91)-TODAY()&lt;=Set_DueSoonDays,INT($J91)+ROW()/10000,""),"")</f>
        <v/>
      </c>
    </row>
    <row r="92">
      <c r="A92" s="82" t="n"/>
      <c r="B92" s="82" t="n"/>
      <c r="C92" s="82" t="n"/>
      <c r="D92" s="83" t="n"/>
      <c r="E92" s="81" t="n"/>
      <c r="F92" s="82" t="n"/>
      <c r="G92" s="84" t="n"/>
      <c r="H92" s="81" t="n"/>
      <c r="I92" s="82" t="n"/>
      <c r="J92" s="81" t="n"/>
      <c r="K92" s="84" t="n"/>
      <c r="L92" s="86" t="n"/>
      <c r="M92" s="87">
        <f>IF(AND($A92&lt;&gt;"",ISNUMBER($J92)),IF(INT($J92)-TODAY()&lt;=Set_DueSoonDays,INT($J92)+ROW()/10000,""),"")</f>
        <v/>
      </c>
    </row>
    <row r="93">
      <c r="A93" s="82" t="n"/>
      <c r="B93" s="82" t="n"/>
      <c r="C93" s="82" t="n"/>
      <c r="D93" s="83" t="n"/>
      <c r="E93" s="81" t="n"/>
      <c r="F93" s="82" t="n"/>
      <c r="G93" s="84" t="n"/>
      <c r="H93" s="81" t="n"/>
      <c r="I93" s="82" t="n"/>
      <c r="J93" s="81" t="n"/>
      <c r="K93" s="84" t="n"/>
      <c r="L93" s="86" t="n"/>
      <c r="M93" s="87">
        <f>IF(AND($A93&lt;&gt;"",ISNUMBER($J93)),IF(INT($J93)-TODAY()&lt;=Set_DueSoonDays,INT($J93)+ROW()/10000,""),"")</f>
        <v/>
      </c>
    </row>
    <row r="94">
      <c r="A94" s="82" t="n"/>
      <c r="B94" s="82" t="n"/>
      <c r="C94" s="82" t="n"/>
      <c r="D94" s="83" t="n"/>
      <c r="E94" s="81" t="n"/>
      <c r="F94" s="82" t="n"/>
      <c r="G94" s="84" t="n"/>
      <c r="H94" s="81" t="n"/>
      <c r="I94" s="82" t="n"/>
      <c r="J94" s="81" t="n"/>
      <c r="K94" s="84" t="n"/>
      <c r="L94" s="86" t="n"/>
      <c r="M94" s="87">
        <f>IF(AND($A94&lt;&gt;"",ISNUMBER($J94)),IF(INT($J94)-TODAY()&lt;=Set_DueSoonDays,INT($J94)+ROW()/10000,""),"")</f>
        <v/>
      </c>
    </row>
    <row r="95">
      <c r="A95" s="82" t="n"/>
      <c r="B95" s="82" t="n"/>
      <c r="C95" s="82" t="n"/>
      <c r="D95" s="83" t="n"/>
      <c r="E95" s="81" t="n"/>
      <c r="F95" s="82" t="n"/>
      <c r="G95" s="84" t="n"/>
      <c r="H95" s="81" t="n"/>
      <c r="I95" s="82" t="n"/>
      <c r="J95" s="81" t="n"/>
      <c r="K95" s="84" t="n"/>
      <c r="L95" s="86" t="n"/>
      <c r="M95" s="87">
        <f>IF(AND($A95&lt;&gt;"",ISNUMBER($J95)),IF(INT($J95)-TODAY()&lt;=Set_DueSoonDays,INT($J95)+ROW()/10000,""),"")</f>
        <v/>
      </c>
    </row>
    <row r="96">
      <c r="A96" s="82" t="n"/>
      <c r="B96" s="82" t="n"/>
      <c r="C96" s="82" t="n"/>
      <c r="D96" s="83" t="n"/>
      <c r="E96" s="81" t="n"/>
      <c r="F96" s="82" t="n"/>
      <c r="G96" s="84" t="n"/>
      <c r="H96" s="81" t="n"/>
      <c r="I96" s="82" t="n"/>
      <c r="J96" s="81" t="n"/>
      <c r="K96" s="84" t="n"/>
      <c r="L96" s="86" t="n"/>
      <c r="M96" s="87">
        <f>IF(AND($A96&lt;&gt;"",ISNUMBER($J96)),IF(INT($J96)-TODAY()&lt;=Set_DueSoonDays,INT($J96)+ROW()/10000,""),"")</f>
        <v/>
      </c>
    </row>
    <row r="97">
      <c r="A97" s="82" t="n"/>
      <c r="B97" s="82" t="n"/>
      <c r="C97" s="82" t="n"/>
      <c r="D97" s="83" t="n"/>
      <c r="E97" s="81" t="n"/>
      <c r="F97" s="82" t="n"/>
      <c r="G97" s="84" t="n"/>
      <c r="H97" s="81" t="n"/>
      <c r="I97" s="82" t="n"/>
      <c r="J97" s="81" t="n"/>
      <c r="K97" s="84" t="n"/>
      <c r="L97" s="86" t="n"/>
      <c r="M97" s="87">
        <f>IF(AND($A97&lt;&gt;"",ISNUMBER($J97)),IF(INT($J97)-TODAY()&lt;=Set_DueSoonDays,INT($J97)+ROW()/10000,""),"")</f>
        <v/>
      </c>
    </row>
    <row r="98">
      <c r="A98" s="82" t="n"/>
      <c r="B98" s="82" t="n"/>
      <c r="C98" s="82" t="n"/>
      <c r="D98" s="83" t="n"/>
      <c r="E98" s="81" t="n"/>
      <c r="F98" s="82" t="n"/>
      <c r="G98" s="84" t="n"/>
      <c r="H98" s="81" t="n"/>
      <c r="I98" s="82" t="n"/>
      <c r="J98" s="81" t="n"/>
      <c r="K98" s="84" t="n"/>
      <c r="L98" s="86" t="n"/>
      <c r="M98" s="87">
        <f>IF(AND($A98&lt;&gt;"",ISNUMBER($J98)),IF(INT($J98)-TODAY()&lt;=Set_DueSoonDays,INT($J98)+ROW()/10000,""),"")</f>
        <v/>
      </c>
    </row>
    <row r="99">
      <c r="A99" s="82" t="n"/>
      <c r="B99" s="82" t="n"/>
      <c r="C99" s="82" t="n"/>
      <c r="D99" s="83" t="n"/>
      <c r="E99" s="81" t="n"/>
      <c r="F99" s="82" t="n"/>
      <c r="G99" s="84" t="n"/>
      <c r="H99" s="81" t="n"/>
      <c r="I99" s="82" t="n"/>
      <c r="J99" s="81" t="n"/>
      <c r="K99" s="84" t="n"/>
      <c r="L99" s="86" t="n"/>
      <c r="M99" s="87">
        <f>IF(AND($A99&lt;&gt;"",ISNUMBER($J99)),IF(INT($J99)-TODAY()&lt;=Set_DueSoonDays,INT($J99)+ROW()/10000,""),"")</f>
        <v/>
      </c>
    </row>
    <row r="100">
      <c r="A100" s="82" t="n"/>
      <c r="B100" s="82" t="n"/>
      <c r="C100" s="82" t="n"/>
      <c r="D100" s="83" t="n"/>
      <c r="E100" s="81" t="n"/>
      <c r="F100" s="82" t="n"/>
      <c r="G100" s="84" t="n"/>
      <c r="H100" s="81" t="n"/>
      <c r="I100" s="82" t="n"/>
      <c r="J100" s="81" t="n"/>
      <c r="K100" s="84" t="n"/>
      <c r="L100" s="86" t="n"/>
      <c r="M100" s="87">
        <f>IF(AND($A100&lt;&gt;"",ISNUMBER($J100)),IF(INT($J100)-TODAY()&lt;=Set_DueSoonDays,INT($J100)+ROW()/10000,""),"")</f>
        <v/>
      </c>
    </row>
    <row r="101">
      <c r="A101" s="82" t="n"/>
      <c r="B101" s="82" t="n"/>
      <c r="C101" s="82" t="n"/>
      <c r="D101" s="83" t="n"/>
      <c r="E101" s="81" t="n"/>
      <c r="F101" s="82" t="n"/>
      <c r="G101" s="84" t="n"/>
      <c r="H101" s="81" t="n"/>
      <c r="I101" s="82" t="n"/>
      <c r="J101" s="81" t="n"/>
      <c r="K101" s="84" t="n"/>
      <c r="L101" s="86" t="n"/>
      <c r="M101" s="87">
        <f>IF(AND($A101&lt;&gt;"",ISNUMBER($J101)),IF(INT($J101)-TODAY()&lt;=Set_DueSoonDays,INT($J101)+ROW()/10000,""),"")</f>
        <v/>
      </c>
    </row>
    <row r="102">
      <c r="A102" s="82" t="n"/>
      <c r="B102" s="82" t="n"/>
      <c r="C102" s="82" t="n"/>
      <c r="D102" s="83" t="n"/>
      <c r="E102" s="81" t="n"/>
      <c r="F102" s="82" t="n"/>
      <c r="G102" s="84" t="n"/>
      <c r="H102" s="81" t="n"/>
      <c r="I102" s="82" t="n"/>
      <c r="J102" s="81" t="n"/>
      <c r="K102" s="84" t="n"/>
      <c r="L102" s="86" t="n"/>
      <c r="M102" s="87">
        <f>IF(AND($A102&lt;&gt;"",ISNUMBER($J102)),IF(INT($J102)-TODAY()&lt;=Set_DueSoonDays,INT($J102)+ROW()/10000,""),"")</f>
        <v/>
      </c>
    </row>
    <row r="103">
      <c r="A103" s="82" t="n"/>
      <c r="B103" s="82" t="n"/>
      <c r="C103" s="82" t="n"/>
      <c r="D103" s="83" t="n"/>
      <c r="E103" s="81" t="n"/>
      <c r="F103" s="82" t="n"/>
      <c r="G103" s="84" t="n"/>
      <c r="H103" s="81" t="n"/>
      <c r="I103" s="82" t="n"/>
      <c r="J103" s="81" t="n"/>
      <c r="K103" s="84" t="n"/>
      <c r="L103" s="86" t="n"/>
      <c r="M103" s="87">
        <f>IF(AND($A103&lt;&gt;"",ISNUMBER($J103)),IF(INT($J103)-TODAY()&lt;=Set_DueSoonDays,INT($J103)+ROW()/10000,""),"")</f>
        <v/>
      </c>
    </row>
    <row r="104">
      <c r="A104" s="82" t="n"/>
      <c r="B104" s="82" t="n"/>
      <c r="C104" s="82" t="n"/>
      <c r="D104" s="83" t="n"/>
      <c r="E104" s="81" t="n"/>
      <c r="F104" s="82" t="n"/>
      <c r="G104" s="84" t="n"/>
      <c r="H104" s="81" t="n"/>
      <c r="I104" s="82" t="n"/>
      <c r="J104" s="81" t="n"/>
      <c r="K104" s="84" t="n"/>
      <c r="L104" s="86" t="n"/>
      <c r="M104" s="87">
        <f>IF(AND($A104&lt;&gt;"",ISNUMBER($J104)),IF(INT($J104)-TODAY()&lt;=Set_DueSoonDays,INT($J104)+ROW()/10000,""),"")</f>
        <v/>
      </c>
    </row>
    <row r="105">
      <c r="A105" s="82" t="n"/>
      <c r="B105" s="82" t="n"/>
      <c r="C105" s="82" t="n"/>
      <c r="D105" s="83" t="n"/>
      <c r="E105" s="81" t="n"/>
      <c r="F105" s="82" t="n"/>
      <c r="G105" s="84" t="n"/>
      <c r="H105" s="81" t="n"/>
      <c r="I105" s="82" t="n"/>
      <c r="J105" s="81" t="n"/>
      <c r="K105" s="84" t="n"/>
      <c r="L105" s="86" t="n"/>
      <c r="M105" s="87">
        <f>IF(AND($A105&lt;&gt;"",ISNUMBER($J105)),IF(INT($J105)-TODAY()&lt;=Set_DueSoonDays,INT($J105)+ROW()/10000,""),"")</f>
        <v/>
      </c>
    </row>
    <row r="106">
      <c r="A106" s="82" t="n"/>
      <c r="B106" s="82" t="n"/>
      <c r="C106" s="82" t="n"/>
      <c r="D106" s="83" t="n"/>
      <c r="E106" s="81" t="n"/>
      <c r="F106" s="82" t="n"/>
      <c r="G106" s="84" t="n"/>
      <c r="H106" s="81" t="n"/>
      <c r="I106" s="82" t="n"/>
      <c r="J106" s="81" t="n"/>
      <c r="K106" s="84" t="n"/>
      <c r="L106" s="86" t="n"/>
      <c r="M106" s="87">
        <f>IF(AND($A106&lt;&gt;"",ISNUMBER($J106)),IF(INT($J106)-TODAY()&lt;=Set_DueSoonDays,INT($J106)+ROW()/10000,""),"")</f>
        <v/>
      </c>
    </row>
    <row r="107">
      <c r="A107" s="82" t="n"/>
      <c r="B107" s="82" t="n"/>
      <c r="C107" s="82" t="n"/>
      <c r="D107" s="83" t="n"/>
      <c r="E107" s="81" t="n"/>
      <c r="F107" s="82" t="n"/>
      <c r="G107" s="84" t="n"/>
      <c r="H107" s="81" t="n"/>
      <c r="I107" s="82" t="n"/>
      <c r="J107" s="81" t="n"/>
      <c r="K107" s="84" t="n"/>
      <c r="L107" s="86" t="n"/>
      <c r="M107" s="87">
        <f>IF(AND($A107&lt;&gt;"",ISNUMBER($J107)),IF(INT($J107)-TODAY()&lt;=Set_DueSoonDays,INT($J107)+ROW()/10000,""),"")</f>
        <v/>
      </c>
    </row>
    <row r="108">
      <c r="A108" s="82" t="n"/>
      <c r="B108" s="82" t="n"/>
      <c r="C108" s="82" t="n"/>
      <c r="D108" s="83" t="n"/>
      <c r="E108" s="81" t="n"/>
      <c r="F108" s="82" t="n"/>
      <c r="G108" s="84" t="n"/>
      <c r="H108" s="81" t="n"/>
      <c r="I108" s="82" t="n"/>
      <c r="J108" s="81" t="n"/>
      <c r="K108" s="84" t="n"/>
      <c r="L108" s="86" t="n"/>
      <c r="M108" s="87">
        <f>IF(AND($A108&lt;&gt;"",ISNUMBER($J108)),IF(INT($J108)-TODAY()&lt;=Set_DueSoonDays,INT($J108)+ROW()/10000,""),"")</f>
        <v/>
      </c>
    </row>
    <row r="109">
      <c r="A109" s="82" t="n"/>
      <c r="B109" s="82" t="n"/>
      <c r="C109" s="82" t="n"/>
      <c r="D109" s="83" t="n"/>
      <c r="E109" s="81" t="n"/>
      <c r="F109" s="82" t="n"/>
      <c r="G109" s="84" t="n"/>
      <c r="H109" s="81" t="n"/>
      <c r="I109" s="82" t="n"/>
      <c r="J109" s="81" t="n"/>
      <c r="K109" s="84" t="n"/>
      <c r="L109" s="86" t="n"/>
      <c r="M109" s="87">
        <f>IF(AND($A109&lt;&gt;"",ISNUMBER($J109)),IF(INT($J109)-TODAY()&lt;=Set_DueSoonDays,INT($J109)+ROW()/10000,""),"")</f>
        <v/>
      </c>
    </row>
    <row r="110">
      <c r="A110" s="82" t="n"/>
      <c r="B110" s="82" t="n"/>
      <c r="C110" s="82" t="n"/>
      <c r="D110" s="83" t="n"/>
      <c r="E110" s="81" t="n"/>
      <c r="F110" s="82" t="n"/>
      <c r="G110" s="84" t="n"/>
      <c r="H110" s="81" t="n"/>
      <c r="I110" s="82" t="n"/>
      <c r="J110" s="81" t="n"/>
      <c r="K110" s="84" t="n"/>
      <c r="L110" s="86" t="n"/>
      <c r="M110" s="87">
        <f>IF(AND($A110&lt;&gt;"",ISNUMBER($J110)),IF(INT($J110)-TODAY()&lt;=Set_DueSoonDays,INT($J110)+ROW()/10000,""),"")</f>
        <v/>
      </c>
    </row>
    <row r="111">
      <c r="A111" s="82" t="n"/>
      <c r="B111" s="82" t="n"/>
      <c r="C111" s="82" t="n"/>
      <c r="D111" s="83" t="n"/>
      <c r="E111" s="81" t="n"/>
      <c r="F111" s="82" t="n"/>
      <c r="G111" s="84" t="n"/>
      <c r="H111" s="81" t="n"/>
      <c r="I111" s="82" t="n"/>
      <c r="J111" s="81" t="n"/>
      <c r="K111" s="84" t="n"/>
      <c r="L111" s="86" t="n"/>
      <c r="M111" s="87">
        <f>IF(AND($A111&lt;&gt;"",ISNUMBER($J111)),IF(INT($J111)-TODAY()&lt;=Set_DueSoonDays,INT($J111)+ROW()/10000,""),"")</f>
        <v/>
      </c>
    </row>
    <row r="112">
      <c r="A112" s="82" t="n"/>
      <c r="B112" s="82" t="n"/>
      <c r="C112" s="82" t="n"/>
      <c r="D112" s="83" t="n"/>
      <c r="E112" s="81" t="n"/>
      <c r="F112" s="82" t="n"/>
      <c r="G112" s="84" t="n"/>
      <c r="H112" s="81" t="n"/>
      <c r="I112" s="82" t="n"/>
      <c r="J112" s="81" t="n"/>
      <c r="K112" s="84" t="n"/>
      <c r="L112" s="86" t="n"/>
      <c r="M112" s="87">
        <f>IF(AND($A112&lt;&gt;"",ISNUMBER($J112)),IF(INT($J112)-TODAY()&lt;=Set_DueSoonDays,INT($J112)+ROW()/10000,""),"")</f>
        <v/>
      </c>
    </row>
    <row r="113">
      <c r="A113" s="82" t="n"/>
      <c r="B113" s="82" t="n"/>
      <c r="C113" s="82" t="n"/>
      <c r="D113" s="83" t="n"/>
      <c r="E113" s="81" t="n"/>
      <c r="F113" s="82" t="n"/>
      <c r="G113" s="84" t="n"/>
      <c r="H113" s="81" t="n"/>
      <c r="I113" s="82" t="n"/>
      <c r="J113" s="81" t="n"/>
      <c r="K113" s="84" t="n"/>
      <c r="L113" s="86" t="n"/>
      <c r="M113" s="87">
        <f>IF(AND($A113&lt;&gt;"",ISNUMBER($J113)),IF(INT($J113)-TODAY()&lt;=Set_DueSoonDays,INT($J113)+ROW()/10000,""),"")</f>
        <v/>
      </c>
    </row>
    <row r="114">
      <c r="A114" s="82" t="n"/>
      <c r="B114" s="82" t="n"/>
      <c r="C114" s="82" t="n"/>
      <c r="D114" s="83" t="n"/>
      <c r="E114" s="81" t="n"/>
      <c r="F114" s="82" t="n"/>
      <c r="G114" s="84" t="n"/>
      <c r="H114" s="81" t="n"/>
      <c r="I114" s="82" t="n"/>
      <c r="J114" s="81" t="n"/>
      <c r="K114" s="84" t="n"/>
      <c r="L114" s="86" t="n"/>
      <c r="M114" s="87">
        <f>IF(AND($A114&lt;&gt;"",ISNUMBER($J114)),IF(INT($J114)-TODAY()&lt;=Set_DueSoonDays,INT($J114)+ROW()/10000,""),"")</f>
        <v/>
      </c>
    </row>
    <row r="115">
      <c r="A115" s="82" t="n"/>
      <c r="B115" s="82" t="n"/>
      <c r="C115" s="82" t="n"/>
      <c r="D115" s="83" t="n"/>
      <c r="E115" s="81" t="n"/>
      <c r="F115" s="82" t="n"/>
      <c r="G115" s="84" t="n"/>
      <c r="H115" s="81" t="n"/>
      <c r="I115" s="82" t="n"/>
      <c r="J115" s="81" t="n"/>
      <c r="K115" s="84" t="n"/>
      <c r="L115" s="86" t="n"/>
      <c r="M115" s="87">
        <f>IF(AND($A115&lt;&gt;"",ISNUMBER($J115)),IF(INT($J115)-TODAY()&lt;=Set_DueSoonDays,INT($J115)+ROW()/10000,""),"")</f>
        <v/>
      </c>
    </row>
    <row r="116">
      <c r="A116" s="82" t="n"/>
      <c r="B116" s="82" t="n"/>
      <c r="C116" s="82" t="n"/>
      <c r="D116" s="83" t="n"/>
      <c r="E116" s="81" t="n"/>
      <c r="F116" s="82" t="n"/>
      <c r="G116" s="84" t="n"/>
      <c r="H116" s="81" t="n"/>
      <c r="I116" s="82" t="n"/>
      <c r="J116" s="81" t="n"/>
      <c r="K116" s="84" t="n"/>
      <c r="L116" s="86" t="n"/>
      <c r="M116" s="87">
        <f>IF(AND($A116&lt;&gt;"",ISNUMBER($J116)),IF(INT($J116)-TODAY()&lt;=Set_DueSoonDays,INT($J116)+ROW()/10000,""),"")</f>
        <v/>
      </c>
    </row>
    <row r="117">
      <c r="A117" s="82" t="n"/>
      <c r="B117" s="82" t="n"/>
      <c r="C117" s="82" t="n"/>
      <c r="D117" s="83" t="n"/>
      <c r="E117" s="81" t="n"/>
      <c r="F117" s="82" t="n"/>
      <c r="G117" s="84" t="n"/>
      <c r="H117" s="81" t="n"/>
      <c r="I117" s="82" t="n"/>
      <c r="J117" s="81" t="n"/>
      <c r="K117" s="84" t="n"/>
      <c r="L117" s="86" t="n"/>
      <c r="M117" s="87">
        <f>IF(AND($A117&lt;&gt;"",ISNUMBER($J117)),IF(INT($J117)-TODAY()&lt;=Set_DueSoonDays,INT($J117)+ROW()/10000,""),"")</f>
        <v/>
      </c>
    </row>
    <row r="118">
      <c r="A118" s="82" t="n"/>
      <c r="B118" s="82" t="n"/>
      <c r="C118" s="82" t="n"/>
      <c r="D118" s="83" t="n"/>
      <c r="E118" s="81" t="n"/>
      <c r="F118" s="82" t="n"/>
      <c r="G118" s="84" t="n"/>
      <c r="H118" s="81" t="n"/>
      <c r="I118" s="82" t="n"/>
      <c r="J118" s="81" t="n"/>
      <c r="K118" s="84" t="n"/>
      <c r="L118" s="86" t="n"/>
      <c r="M118" s="87">
        <f>IF(AND($A118&lt;&gt;"",ISNUMBER($J118)),IF(INT($J118)-TODAY()&lt;=Set_DueSoonDays,INT($J118)+ROW()/10000,""),"")</f>
        <v/>
      </c>
    </row>
    <row r="119">
      <c r="A119" s="82" t="n"/>
      <c r="B119" s="82" t="n"/>
      <c r="C119" s="82" t="n"/>
      <c r="D119" s="83" t="n"/>
      <c r="E119" s="81" t="n"/>
      <c r="F119" s="82" t="n"/>
      <c r="G119" s="84" t="n"/>
      <c r="H119" s="81" t="n"/>
      <c r="I119" s="82" t="n"/>
      <c r="J119" s="81" t="n"/>
      <c r="K119" s="84" t="n"/>
      <c r="L119" s="86" t="n"/>
      <c r="M119" s="87">
        <f>IF(AND($A119&lt;&gt;"",ISNUMBER($J119)),IF(INT($J119)-TODAY()&lt;=Set_DueSoonDays,INT($J119)+ROW()/10000,""),"")</f>
        <v/>
      </c>
    </row>
    <row r="120">
      <c r="A120" s="82" t="n"/>
      <c r="B120" s="82" t="n"/>
      <c r="C120" s="82" t="n"/>
      <c r="D120" s="83" t="n"/>
      <c r="E120" s="81" t="n"/>
      <c r="F120" s="82" t="n"/>
      <c r="G120" s="84" t="n"/>
      <c r="H120" s="81" t="n"/>
      <c r="I120" s="82" t="n"/>
      <c r="J120" s="81" t="n"/>
      <c r="K120" s="84" t="n"/>
      <c r="L120" s="86" t="n"/>
      <c r="M120" s="87">
        <f>IF(AND($A120&lt;&gt;"",ISNUMBER($J120)),IF(INT($J120)-TODAY()&lt;=Set_DueSoonDays,INT($J120)+ROW()/10000,""),"")</f>
        <v/>
      </c>
    </row>
    <row r="121">
      <c r="A121" s="82" t="n"/>
      <c r="B121" s="82" t="n"/>
      <c r="C121" s="82" t="n"/>
      <c r="D121" s="83" t="n"/>
      <c r="E121" s="81" t="n"/>
      <c r="F121" s="82" t="n"/>
      <c r="G121" s="84" t="n"/>
      <c r="H121" s="81" t="n"/>
      <c r="I121" s="82" t="n"/>
      <c r="J121" s="81" t="n"/>
      <c r="K121" s="84" t="n"/>
      <c r="L121" s="86" t="n"/>
      <c r="M121" s="87">
        <f>IF(AND($A121&lt;&gt;"",ISNUMBER($J121)),IF(INT($J121)-TODAY()&lt;=Set_DueSoonDays,INT($J121)+ROW()/10000,""),"")</f>
        <v/>
      </c>
    </row>
    <row r="122">
      <c r="A122" s="82" t="n"/>
      <c r="B122" s="82" t="n"/>
      <c r="C122" s="82" t="n"/>
      <c r="D122" s="83" t="n"/>
      <c r="E122" s="81" t="n"/>
      <c r="F122" s="82" t="n"/>
      <c r="G122" s="84" t="n"/>
      <c r="H122" s="81" t="n"/>
      <c r="I122" s="82" t="n"/>
      <c r="J122" s="81" t="n"/>
      <c r="K122" s="84" t="n"/>
      <c r="L122" s="86" t="n"/>
      <c r="M122" s="87">
        <f>IF(AND($A122&lt;&gt;"",ISNUMBER($J122)),IF(INT($J122)-TODAY()&lt;=Set_DueSoonDays,INT($J122)+ROW()/10000,""),"")</f>
        <v/>
      </c>
    </row>
    <row r="123">
      <c r="A123" s="82" t="n"/>
      <c r="B123" s="82" t="n"/>
      <c r="C123" s="82" t="n"/>
      <c r="D123" s="83" t="n"/>
      <c r="E123" s="81" t="n"/>
      <c r="F123" s="82" t="n"/>
      <c r="G123" s="84" t="n"/>
      <c r="H123" s="81" t="n"/>
      <c r="I123" s="82" t="n"/>
      <c r="J123" s="81" t="n"/>
      <c r="K123" s="84" t="n"/>
      <c r="L123" s="86" t="n"/>
      <c r="M123" s="87">
        <f>IF(AND($A123&lt;&gt;"",ISNUMBER($J123)),IF(INT($J123)-TODAY()&lt;=Set_DueSoonDays,INT($J123)+ROW()/10000,""),"")</f>
        <v/>
      </c>
    </row>
    <row r="124">
      <c r="A124" s="82" t="n"/>
      <c r="B124" s="82" t="n"/>
      <c r="C124" s="82" t="n"/>
      <c r="D124" s="83" t="n"/>
      <c r="E124" s="81" t="n"/>
      <c r="F124" s="82" t="n"/>
      <c r="G124" s="84" t="n"/>
      <c r="H124" s="81" t="n"/>
      <c r="I124" s="82" t="n"/>
      <c r="J124" s="81" t="n"/>
      <c r="K124" s="84" t="n"/>
      <c r="L124" s="86" t="n"/>
      <c r="M124" s="87">
        <f>IF(AND($A124&lt;&gt;"",ISNUMBER($J124)),IF(INT($J124)-TODAY()&lt;=Set_DueSoonDays,INT($J124)+ROW()/10000,""),"")</f>
        <v/>
      </c>
    </row>
    <row r="125">
      <c r="A125" s="82" t="n"/>
      <c r="B125" s="82" t="n"/>
      <c r="C125" s="82" t="n"/>
      <c r="D125" s="83" t="n"/>
      <c r="E125" s="81" t="n"/>
      <c r="F125" s="82" t="n"/>
      <c r="G125" s="84" t="n"/>
      <c r="H125" s="81" t="n"/>
      <c r="I125" s="82" t="n"/>
      <c r="J125" s="81" t="n"/>
      <c r="K125" s="84" t="n"/>
      <c r="L125" s="86" t="n"/>
      <c r="M125" s="87">
        <f>IF(AND($A125&lt;&gt;"",ISNUMBER($J125)),IF(INT($J125)-TODAY()&lt;=Set_DueSoonDays,INT($J125)+ROW()/10000,""),"")</f>
        <v/>
      </c>
    </row>
    <row r="126">
      <c r="A126" s="82" t="n"/>
      <c r="B126" s="82" t="n"/>
      <c r="C126" s="82" t="n"/>
      <c r="D126" s="83" t="n"/>
      <c r="E126" s="81" t="n"/>
      <c r="F126" s="82" t="n"/>
      <c r="G126" s="84" t="n"/>
      <c r="H126" s="81" t="n"/>
      <c r="I126" s="82" t="n"/>
      <c r="J126" s="81" t="n"/>
      <c r="K126" s="84" t="n"/>
      <c r="L126" s="86" t="n"/>
      <c r="M126" s="87">
        <f>IF(AND($A126&lt;&gt;"",ISNUMBER($J126)),IF(INT($J126)-TODAY()&lt;=Set_DueSoonDays,INT($J126)+ROW()/10000,""),"")</f>
        <v/>
      </c>
    </row>
    <row r="127">
      <c r="A127" s="82" t="n"/>
      <c r="B127" s="82" t="n"/>
      <c r="C127" s="82" t="n"/>
      <c r="D127" s="83" t="n"/>
      <c r="E127" s="81" t="n"/>
      <c r="F127" s="82" t="n"/>
      <c r="G127" s="84" t="n"/>
      <c r="H127" s="81" t="n"/>
      <c r="I127" s="82" t="n"/>
      <c r="J127" s="81" t="n"/>
      <c r="K127" s="84" t="n"/>
      <c r="L127" s="86" t="n"/>
      <c r="M127" s="87">
        <f>IF(AND($A127&lt;&gt;"",ISNUMBER($J127)),IF(INT($J127)-TODAY()&lt;=Set_DueSoonDays,INT($J127)+ROW()/10000,""),"")</f>
        <v/>
      </c>
    </row>
    <row r="128">
      <c r="A128" s="82" t="n"/>
      <c r="B128" s="82" t="n"/>
      <c r="C128" s="82" t="n"/>
      <c r="D128" s="83" t="n"/>
      <c r="E128" s="81" t="n"/>
      <c r="F128" s="82" t="n"/>
      <c r="G128" s="84" t="n"/>
      <c r="H128" s="81" t="n"/>
      <c r="I128" s="82" t="n"/>
      <c r="J128" s="81" t="n"/>
      <c r="K128" s="84" t="n"/>
      <c r="L128" s="86" t="n"/>
      <c r="M128" s="87">
        <f>IF(AND($A128&lt;&gt;"",ISNUMBER($J128)),IF(INT($J128)-TODAY()&lt;=Set_DueSoonDays,INT($J128)+ROW()/10000,""),"")</f>
        <v/>
      </c>
    </row>
    <row r="129">
      <c r="A129" s="82" t="n"/>
      <c r="B129" s="82" t="n"/>
      <c r="C129" s="82" t="n"/>
      <c r="D129" s="83" t="n"/>
      <c r="E129" s="81" t="n"/>
      <c r="F129" s="82" t="n"/>
      <c r="G129" s="84" t="n"/>
      <c r="H129" s="81" t="n"/>
      <c r="I129" s="82" t="n"/>
      <c r="J129" s="81" t="n"/>
      <c r="K129" s="84" t="n"/>
      <c r="L129" s="86" t="n"/>
      <c r="M129" s="87">
        <f>IF(AND($A129&lt;&gt;"",ISNUMBER($J129)),IF(INT($J129)-TODAY()&lt;=Set_DueSoonDays,INT($J129)+ROW()/10000,""),"")</f>
        <v/>
      </c>
    </row>
    <row r="130">
      <c r="A130" s="82" t="n"/>
      <c r="B130" s="82" t="n"/>
      <c r="C130" s="82" t="n"/>
      <c r="D130" s="83" t="n"/>
      <c r="E130" s="81" t="n"/>
      <c r="F130" s="82" t="n"/>
      <c r="G130" s="84" t="n"/>
      <c r="H130" s="81" t="n"/>
      <c r="I130" s="82" t="n"/>
      <c r="J130" s="81" t="n"/>
      <c r="K130" s="84" t="n"/>
      <c r="L130" s="86" t="n"/>
      <c r="M130" s="87">
        <f>IF(AND($A130&lt;&gt;"",ISNUMBER($J130)),IF(INT($J130)-TODAY()&lt;=Set_DueSoonDays,INT($J130)+ROW()/10000,""),"")</f>
        <v/>
      </c>
    </row>
    <row r="131">
      <c r="A131" s="82" t="n"/>
      <c r="B131" s="82" t="n"/>
      <c r="C131" s="82" t="n"/>
      <c r="D131" s="83" t="n"/>
      <c r="E131" s="81" t="n"/>
      <c r="F131" s="82" t="n"/>
      <c r="G131" s="84" t="n"/>
      <c r="H131" s="81" t="n"/>
      <c r="I131" s="82" t="n"/>
      <c r="J131" s="81" t="n"/>
      <c r="K131" s="84" t="n"/>
      <c r="L131" s="86" t="n"/>
      <c r="M131" s="87">
        <f>IF(AND($A131&lt;&gt;"",ISNUMBER($J131)),IF(INT($J131)-TODAY()&lt;=Set_DueSoonDays,INT($J131)+ROW()/10000,""),"")</f>
        <v/>
      </c>
    </row>
    <row r="132">
      <c r="A132" s="82" t="n"/>
      <c r="B132" s="82" t="n"/>
      <c r="C132" s="82" t="n"/>
      <c r="D132" s="83" t="n"/>
      <c r="E132" s="81" t="n"/>
      <c r="F132" s="82" t="n"/>
      <c r="G132" s="84" t="n"/>
      <c r="H132" s="81" t="n"/>
      <c r="I132" s="82" t="n"/>
      <c r="J132" s="81" t="n"/>
      <c r="K132" s="84" t="n"/>
      <c r="L132" s="86" t="n"/>
      <c r="M132" s="87">
        <f>IF(AND($A132&lt;&gt;"",ISNUMBER($J132)),IF(INT($J132)-TODAY()&lt;=Set_DueSoonDays,INT($J132)+ROW()/10000,""),"")</f>
        <v/>
      </c>
    </row>
    <row r="133">
      <c r="A133" s="82" t="n"/>
      <c r="B133" s="82" t="n"/>
      <c r="C133" s="82" t="n"/>
      <c r="D133" s="83" t="n"/>
      <c r="E133" s="81" t="n"/>
      <c r="F133" s="82" t="n"/>
      <c r="G133" s="84" t="n"/>
      <c r="H133" s="81" t="n"/>
      <c r="I133" s="82" t="n"/>
      <c r="J133" s="81" t="n"/>
      <c r="K133" s="84" t="n"/>
      <c r="L133" s="86" t="n"/>
      <c r="M133" s="87">
        <f>IF(AND($A133&lt;&gt;"",ISNUMBER($J133)),IF(INT($J133)-TODAY()&lt;=Set_DueSoonDays,INT($J133)+ROW()/10000,""),"")</f>
        <v/>
      </c>
    </row>
    <row r="134">
      <c r="A134" s="82" t="n"/>
      <c r="B134" s="82" t="n"/>
      <c r="C134" s="82" t="n"/>
      <c r="D134" s="83" t="n"/>
      <c r="E134" s="81" t="n"/>
      <c r="F134" s="82" t="n"/>
      <c r="G134" s="84" t="n"/>
      <c r="H134" s="81" t="n"/>
      <c r="I134" s="82" t="n"/>
      <c r="J134" s="81" t="n"/>
      <c r="K134" s="84" t="n"/>
      <c r="L134" s="86" t="n"/>
      <c r="M134" s="87">
        <f>IF(AND($A134&lt;&gt;"",ISNUMBER($J134)),IF(INT($J134)-TODAY()&lt;=Set_DueSoonDays,INT($J134)+ROW()/10000,""),"")</f>
        <v/>
      </c>
    </row>
    <row r="135">
      <c r="A135" s="82" t="n"/>
      <c r="B135" s="82" t="n"/>
      <c r="C135" s="82" t="n"/>
      <c r="D135" s="83" t="n"/>
      <c r="E135" s="81" t="n"/>
      <c r="F135" s="82" t="n"/>
      <c r="G135" s="84" t="n"/>
      <c r="H135" s="81" t="n"/>
      <c r="I135" s="82" t="n"/>
      <c r="J135" s="81" t="n"/>
      <c r="K135" s="84" t="n"/>
      <c r="L135" s="86" t="n"/>
      <c r="M135" s="87">
        <f>IF(AND($A135&lt;&gt;"",ISNUMBER($J135)),IF(INT($J135)-TODAY()&lt;=Set_DueSoonDays,INT($J135)+ROW()/10000,""),"")</f>
        <v/>
      </c>
    </row>
    <row r="136">
      <c r="A136" s="82" t="n"/>
      <c r="B136" s="82" t="n"/>
      <c r="C136" s="82" t="n"/>
      <c r="D136" s="83" t="n"/>
      <c r="E136" s="81" t="n"/>
      <c r="F136" s="82" t="n"/>
      <c r="G136" s="84" t="n"/>
      <c r="H136" s="81" t="n"/>
      <c r="I136" s="82" t="n"/>
      <c r="J136" s="81" t="n"/>
      <c r="K136" s="84" t="n"/>
      <c r="L136" s="86" t="n"/>
      <c r="M136" s="87">
        <f>IF(AND($A136&lt;&gt;"",ISNUMBER($J136)),IF(INT($J136)-TODAY()&lt;=Set_DueSoonDays,INT($J136)+ROW()/10000,""),"")</f>
        <v/>
      </c>
    </row>
    <row r="137">
      <c r="A137" s="82" t="n"/>
      <c r="B137" s="82" t="n"/>
      <c r="C137" s="82" t="n"/>
      <c r="D137" s="83" t="n"/>
      <c r="E137" s="81" t="n"/>
      <c r="F137" s="82" t="n"/>
      <c r="G137" s="84" t="n"/>
      <c r="H137" s="81" t="n"/>
      <c r="I137" s="82" t="n"/>
      <c r="J137" s="81" t="n"/>
      <c r="K137" s="84" t="n"/>
      <c r="L137" s="86" t="n"/>
      <c r="M137" s="87">
        <f>IF(AND($A137&lt;&gt;"",ISNUMBER($J137)),IF(INT($J137)-TODAY()&lt;=Set_DueSoonDays,INT($J137)+ROW()/10000,""),"")</f>
        <v/>
      </c>
    </row>
    <row r="138">
      <c r="A138" s="82" t="n"/>
      <c r="B138" s="82" t="n"/>
      <c r="C138" s="82" t="n"/>
      <c r="D138" s="83" t="n"/>
      <c r="E138" s="81" t="n"/>
      <c r="F138" s="82" t="n"/>
      <c r="G138" s="84" t="n"/>
      <c r="H138" s="81" t="n"/>
      <c r="I138" s="82" t="n"/>
      <c r="J138" s="81" t="n"/>
      <c r="K138" s="84" t="n"/>
      <c r="L138" s="86" t="n"/>
      <c r="M138" s="87">
        <f>IF(AND($A138&lt;&gt;"",ISNUMBER($J138)),IF(INT($J138)-TODAY()&lt;=Set_DueSoonDays,INT($J138)+ROW()/10000,""),"")</f>
        <v/>
      </c>
    </row>
    <row r="139">
      <c r="A139" s="82" t="n"/>
      <c r="B139" s="82" t="n"/>
      <c r="C139" s="82" t="n"/>
      <c r="D139" s="83" t="n"/>
      <c r="E139" s="81" t="n"/>
      <c r="F139" s="82" t="n"/>
      <c r="G139" s="84" t="n"/>
      <c r="H139" s="81" t="n"/>
      <c r="I139" s="82" t="n"/>
      <c r="J139" s="81" t="n"/>
      <c r="K139" s="84" t="n"/>
      <c r="L139" s="86" t="n"/>
      <c r="M139" s="87">
        <f>IF(AND($A139&lt;&gt;"",ISNUMBER($J139)),IF(INT($J139)-TODAY()&lt;=Set_DueSoonDays,INT($J139)+ROW()/10000,""),"")</f>
        <v/>
      </c>
    </row>
    <row r="140">
      <c r="A140" s="82" t="n"/>
      <c r="B140" s="82" t="n"/>
      <c r="C140" s="82" t="n"/>
      <c r="D140" s="83" t="n"/>
      <c r="E140" s="81" t="n"/>
      <c r="F140" s="82" t="n"/>
      <c r="G140" s="84" t="n"/>
      <c r="H140" s="81" t="n"/>
      <c r="I140" s="82" t="n"/>
      <c r="J140" s="81" t="n"/>
      <c r="K140" s="84" t="n"/>
      <c r="L140" s="86" t="n"/>
      <c r="M140" s="87">
        <f>IF(AND($A140&lt;&gt;"",ISNUMBER($J140)),IF(INT($J140)-TODAY()&lt;=Set_DueSoonDays,INT($J140)+ROW()/10000,""),"")</f>
        <v/>
      </c>
    </row>
    <row r="141">
      <c r="A141" s="82" t="n"/>
      <c r="B141" s="82" t="n"/>
      <c r="C141" s="82" t="n"/>
      <c r="D141" s="83" t="n"/>
      <c r="E141" s="81" t="n"/>
      <c r="F141" s="82" t="n"/>
      <c r="G141" s="84" t="n"/>
      <c r="H141" s="81" t="n"/>
      <c r="I141" s="82" t="n"/>
      <c r="J141" s="81" t="n"/>
      <c r="K141" s="84" t="n"/>
      <c r="L141" s="86" t="n"/>
      <c r="M141" s="87">
        <f>IF(AND($A141&lt;&gt;"",ISNUMBER($J141)),IF(INT($J141)-TODAY()&lt;=Set_DueSoonDays,INT($J141)+ROW()/10000,""),"")</f>
        <v/>
      </c>
    </row>
    <row r="142">
      <c r="A142" s="82" t="n"/>
      <c r="B142" s="82" t="n"/>
      <c r="C142" s="82" t="n"/>
      <c r="D142" s="83" t="n"/>
      <c r="E142" s="81" t="n"/>
      <c r="F142" s="82" t="n"/>
      <c r="G142" s="84" t="n"/>
      <c r="H142" s="81" t="n"/>
      <c r="I142" s="82" t="n"/>
      <c r="J142" s="81" t="n"/>
      <c r="K142" s="84" t="n"/>
      <c r="L142" s="86" t="n"/>
      <c r="M142" s="87">
        <f>IF(AND($A142&lt;&gt;"",ISNUMBER($J142)),IF(INT($J142)-TODAY()&lt;=Set_DueSoonDays,INT($J142)+ROW()/10000,""),"")</f>
        <v/>
      </c>
    </row>
    <row r="143">
      <c r="A143" s="82" t="n"/>
      <c r="B143" s="82" t="n"/>
      <c r="C143" s="82" t="n"/>
      <c r="D143" s="83" t="n"/>
      <c r="E143" s="81" t="n"/>
      <c r="F143" s="82" t="n"/>
      <c r="G143" s="84" t="n"/>
      <c r="H143" s="81" t="n"/>
      <c r="I143" s="82" t="n"/>
      <c r="J143" s="81" t="n"/>
      <c r="K143" s="84" t="n"/>
      <c r="L143" s="86" t="n"/>
      <c r="M143" s="87">
        <f>IF(AND($A143&lt;&gt;"",ISNUMBER($J143)),IF(INT($J143)-TODAY()&lt;=Set_DueSoonDays,INT($J143)+ROW()/10000,""),"")</f>
        <v/>
      </c>
    </row>
    <row r="144">
      <c r="A144" s="82" t="n"/>
      <c r="B144" s="82" t="n"/>
      <c r="C144" s="82" t="n"/>
      <c r="D144" s="83" t="n"/>
      <c r="E144" s="81" t="n"/>
      <c r="F144" s="82" t="n"/>
      <c r="G144" s="84" t="n"/>
      <c r="H144" s="81" t="n"/>
      <c r="I144" s="82" t="n"/>
      <c r="J144" s="81" t="n"/>
      <c r="K144" s="84" t="n"/>
      <c r="L144" s="86" t="n"/>
      <c r="M144" s="87">
        <f>IF(AND($A144&lt;&gt;"",ISNUMBER($J144)),IF(INT($J144)-TODAY()&lt;=Set_DueSoonDays,INT($J144)+ROW()/10000,""),"")</f>
        <v/>
      </c>
    </row>
    <row r="145">
      <c r="A145" s="82" t="n"/>
      <c r="B145" s="82" t="n"/>
      <c r="C145" s="82" t="n"/>
      <c r="D145" s="83" t="n"/>
      <c r="E145" s="81" t="n"/>
      <c r="F145" s="82" t="n"/>
      <c r="G145" s="84" t="n"/>
      <c r="H145" s="81" t="n"/>
      <c r="I145" s="82" t="n"/>
      <c r="J145" s="81" t="n"/>
      <c r="K145" s="84" t="n"/>
      <c r="L145" s="86" t="n"/>
      <c r="M145" s="87">
        <f>IF(AND($A145&lt;&gt;"",ISNUMBER($J145)),IF(INT($J145)-TODAY()&lt;=Set_DueSoonDays,INT($J145)+ROW()/10000,""),"")</f>
        <v/>
      </c>
    </row>
    <row r="146">
      <c r="A146" s="82" t="n"/>
      <c r="B146" s="82" t="n"/>
      <c r="C146" s="82" t="n"/>
      <c r="D146" s="83" t="n"/>
      <c r="E146" s="81" t="n"/>
      <c r="F146" s="82" t="n"/>
      <c r="G146" s="84" t="n"/>
      <c r="H146" s="81" t="n"/>
      <c r="I146" s="82" t="n"/>
      <c r="J146" s="81" t="n"/>
      <c r="K146" s="84" t="n"/>
      <c r="L146" s="86" t="n"/>
      <c r="M146" s="87">
        <f>IF(AND($A146&lt;&gt;"",ISNUMBER($J146)),IF(INT($J146)-TODAY()&lt;=Set_DueSoonDays,INT($J146)+ROW()/10000,""),"")</f>
        <v/>
      </c>
    </row>
    <row r="147">
      <c r="A147" s="82" t="n"/>
      <c r="B147" s="82" t="n"/>
      <c r="C147" s="82" t="n"/>
      <c r="D147" s="83" t="n"/>
      <c r="E147" s="81" t="n"/>
      <c r="F147" s="82" t="n"/>
      <c r="G147" s="84" t="n"/>
      <c r="H147" s="81" t="n"/>
      <c r="I147" s="82" t="n"/>
      <c r="J147" s="81" t="n"/>
      <c r="K147" s="84" t="n"/>
      <c r="L147" s="86" t="n"/>
      <c r="M147" s="87">
        <f>IF(AND($A147&lt;&gt;"",ISNUMBER($J147)),IF(INT($J147)-TODAY()&lt;=Set_DueSoonDays,INT($J147)+ROW()/10000,""),"")</f>
        <v/>
      </c>
    </row>
    <row r="148">
      <c r="A148" s="82" t="n"/>
      <c r="B148" s="82" t="n"/>
      <c r="C148" s="82" t="n"/>
      <c r="D148" s="83" t="n"/>
      <c r="E148" s="81" t="n"/>
      <c r="F148" s="82" t="n"/>
      <c r="G148" s="84" t="n"/>
      <c r="H148" s="81" t="n"/>
      <c r="I148" s="82" t="n"/>
      <c r="J148" s="81" t="n"/>
      <c r="K148" s="84" t="n"/>
      <c r="L148" s="86" t="n"/>
      <c r="M148" s="87">
        <f>IF(AND($A148&lt;&gt;"",ISNUMBER($J148)),IF(INT($J148)-TODAY()&lt;=Set_DueSoonDays,INT($J148)+ROW()/10000,""),"")</f>
        <v/>
      </c>
    </row>
    <row r="149">
      <c r="A149" s="82" t="n"/>
      <c r="B149" s="82" t="n"/>
      <c r="C149" s="82" t="n"/>
      <c r="D149" s="83" t="n"/>
      <c r="E149" s="81" t="n"/>
      <c r="F149" s="82" t="n"/>
      <c r="G149" s="84" t="n"/>
      <c r="H149" s="81" t="n"/>
      <c r="I149" s="82" t="n"/>
      <c r="J149" s="81" t="n"/>
      <c r="K149" s="84" t="n"/>
      <c r="L149" s="86" t="n"/>
      <c r="M149" s="87">
        <f>IF(AND($A149&lt;&gt;"",ISNUMBER($J149)),IF(INT($J149)-TODAY()&lt;=Set_DueSoonDays,INT($J149)+ROW()/10000,""),"")</f>
        <v/>
      </c>
    </row>
    <row r="150">
      <c r="A150" s="82" t="n"/>
      <c r="B150" s="82" t="n"/>
      <c r="C150" s="82" t="n"/>
      <c r="D150" s="83" t="n"/>
      <c r="E150" s="81" t="n"/>
      <c r="F150" s="82" t="n"/>
      <c r="G150" s="84" t="n"/>
      <c r="H150" s="81" t="n"/>
      <c r="I150" s="82" t="n"/>
      <c r="J150" s="81" t="n"/>
      <c r="K150" s="84" t="n"/>
      <c r="L150" s="86" t="n"/>
      <c r="M150" s="87">
        <f>IF(AND($A150&lt;&gt;"",ISNUMBER($J150)),IF(INT($J150)-TODAY()&lt;=Set_DueSoonDays,INT($J150)+ROW()/10000,""),"")</f>
        <v/>
      </c>
    </row>
    <row r="151">
      <c r="A151" s="82" t="n"/>
      <c r="B151" s="82" t="n"/>
      <c r="C151" s="82" t="n"/>
      <c r="D151" s="83" t="n"/>
      <c r="E151" s="81" t="n"/>
      <c r="F151" s="82" t="n"/>
      <c r="G151" s="84" t="n"/>
      <c r="H151" s="81" t="n"/>
      <c r="I151" s="82" t="n"/>
      <c r="J151" s="81" t="n"/>
      <c r="K151" s="84" t="n"/>
      <c r="L151" s="86" t="n"/>
      <c r="M151" s="87">
        <f>IF(AND($A151&lt;&gt;"",ISNUMBER($J151)),IF(INT($J151)-TODAY()&lt;=Set_DueSoonDays,INT($J151)+ROW()/10000,""),"")</f>
        <v/>
      </c>
    </row>
    <row r="152">
      <c r="A152" s="82" t="n"/>
      <c r="B152" s="82" t="n"/>
      <c r="C152" s="82" t="n"/>
      <c r="D152" s="83" t="n"/>
      <c r="E152" s="81" t="n"/>
      <c r="F152" s="82" t="n"/>
      <c r="G152" s="84" t="n"/>
      <c r="H152" s="81" t="n"/>
      <c r="I152" s="82" t="n"/>
      <c r="J152" s="81" t="n"/>
      <c r="K152" s="84" t="n"/>
      <c r="L152" s="86" t="n"/>
      <c r="M152" s="87">
        <f>IF(AND($A152&lt;&gt;"",ISNUMBER($J152)),IF(INT($J152)-TODAY()&lt;=Set_DueSoonDays,INT($J152)+ROW()/10000,""),"")</f>
        <v/>
      </c>
    </row>
    <row r="153">
      <c r="A153" s="82" t="n"/>
      <c r="B153" s="82" t="n"/>
      <c r="C153" s="82" t="n"/>
      <c r="D153" s="83" t="n"/>
      <c r="E153" s="81" t="n"/>
      <c r="F153" s="82" t="n"/>
      <c r="G153" s="84" t="n"/>
      <c r="H153" s="81" t="n"/>
      <c r="I153" s="82" t="n"/>
      <c r="J153" s="81" t="n"/>
      <c r="K153" s="84" t="n"/>
      <c r="L153" s="86" t="n"/>
      <c r="M153" s="87">
        <f>IF(AND($A153&lt;&gt;"",ISNUMBER($J153)),IF(INT($J153)-TODAY()&lt;=Set_DueSoonDays,INT($J153)+ROW()/10000,""),"")</f>
        <v/>
      </c>
    </row>
    <row r="154">
      <c r="A154" s="82" t="n"/>
      <c r="B154" s="82" t="n"/>
      <c r="C154" s="82" t="n"/>
      <c r="D154" s="83" t="n"/>
      <c r="E154" s="81" t="n"/>
      <c r="F154" s="82" t="n"/>
      <c r="G154" s="84" t="n"/>
      <c r="H154" s="81" t="n"/>
      <c r="I154" s="82" t="n"/>
      <c r="J154" s="81" t="n"/>
      <c r="K154" s="84" t="n"/>
      <c r="L154" s="86" t="n"/>
      <c r="M154" s="87">
        <f>IF(AND($A154&lt;&gt;"",ISNUMBER($J154)),IF(INT($J154)-TODAY()&lt;=Set_DueSoonDays,INT($J154)+ROW()/10000,""),"")</f>
        <v/>
      </c>
    </row>
    <row r="155">
      <c r="A155" s="82" t="n"/>
      <c r="B155" s="82" t="n"/>
      <c r="C155" s="82" t="n"/>
      <c r="D155" s="83" t="n"/>
      <c r="E155" s="81" t="n"/>
      <c r="F155" s="82" t="n"/>
      <c r="G155" s="84" t="n"/>
      <c r="H155" s="81" t="n"/>
      <c r="I155" s="82" t="n"/>
      <c r="J155" s="81" t="n"/>
      <c r="K155" s="84" t="n"/>
      <c r="L155" s="86" t="n"/>
      <c r="M155" s="87">
        <f>IF(AND($A155&lt;&gt;"",ISNUMBER($J155)),IF(INT($J155)-TODAY()&lt;=Set_DueSoonDays,INT($J155)+ROW()/10000,""),"")</f>
        <v/>
      </c>
    </row>
    <row r="156">
      <c r="A156" s="82" t="n"/>
      <c r="B156" s="82" t="n"/>
      <c r="C156" s="82" t="n"/>
      <c r="D156" s="83" t="n"/>
      <c r="E156" s="81" t="n"/>
      <c r="F156" s="82" t="n"/>
      <c r="G156" s="84" t="n"/>
      <c r="H156" s="81" t="n"/>
      <c r="I156" s="82" t="n"/>
      <c r="J156" s="81" t="n"/>
      <c r="K156" s="84" t="n"/>
      <c r="L156" s="86" t="n"/>
      <c r="M156" s="87">
        <f>IF(AND($A156&lt;&gt;"",ISNUMBER($J156)),IF(INT($J156)-TODAY()&lt;=Set_DueSoonDays,INT($J156)+ROW()/10000,""),"")</f>
        <v/>
      </c>
    </row>
    <row r="157">
      <c r="A157" s="82" t="n"/>
      <c r="B157" s="82" t="n"/>
      <c r="C157" s="82" t="n"/>
      <c r="D157" s="83" t="n"/>
      <c r="E157" s="81" t="n"/>
      <c r="F157" s="82" t="n"/>
      <c r="G157" s="84" t="n"/>
      <c r="H157" s="81" t="n"/>
      <c r="I157" s="82" t="n"/>
      <c r="J157" s="81" t="n"/>
      <c r="K157" s="84" t="n"/>
      <c r="L157" s="86" t="n"/>
      <c r="M157" s="87">
        <f>IF(AND($A157&lt;&gt;"",ISNUMBER($J157)),IF(INT($J157)-TODAY()&lt;=Set_DueSoonDays,INT($J157)+ROW()/10000,""),"")</f>
        <v/>
      </c>
    </row>
    <row r="158">
      <c r="A158" s="82" t="n"/>
      <c r="B158" s="82" t="n"/>
      <c r="C158" s="82" t="n"/>
      <c r="D158" s="83" t="n"/>
      <c r="E158" s="81" t="n"/>
      <c r="F158" s="82" t="n"/>
      <c r="G158" s="84" t="n"/>
      <c r="H158" s="81" t="n"/>
      <c r="I158" s="82" t="n"/>
      <c r="J158" s="81" t="n"/>
      <c r="K158" s="84" t="n"/>
      <c r="L158" s="86" t="n"/>
      <c r="M158" s="87">
        <f>IF(AND($A158&lt;&gt;"",ISNUMBER($J158)),IF(INT($J158)-TODAY()&lt;=Set_DueSoonDays,INT($J158)+ROW()/10000,""),"")</f>
        <v/>
      </c>
    </row>
    <row r="159">
      <c r="A159" s="82" t="n"/>
      <c r="B159" s="82" t="n"/>
      <c r="C159" s="82" t="n"/>
      <c r="D159" s="83" t="n"/>
      <c r="E159" s="81" t="n"/>
      <c r="F159" s="82" t="n"/>
      <c r="G159" s="84" t="n"/>
      <c r="H159" s="81" t="n"/>
      <c r="I159" s="82" t="n"/>
      <c r="J159" s="81" t="n"/>
      <c r="K159" s="84" t="n"/>
      <c r="L159" s="86" t="n"/>
      <c r="M159" s="87">
        <f>IF(AND($A159&lt;&gt;"",ISNUMBER($J159)),IF(INT($J159)-TODAY()&lt;=Set_DueSoonDays,INT($J159)+ROW()/10000,""),"")</f>
        <v/>
      </c>
    </row>
    <row r="160">
      <c r="A160" s="82" t="n"/>
      <c r="B160" s="82" t="n"/>
      <c r="C160" s="82" t="n"/>
      <c r="D160" s="83" t="n"/>
      <c r="E160" s="81" t="n"/>
      <c r="F160" s="82" t="n"/>
      <c r="G160" s="84" t="n"/>
      <c r="H160" s="81" t="n"/>
      <c r="I160" s="82" t="n"/>
      <c r="J160" s="81" t="n"/>
      <c r="K160" s="84" t="n"/>
      <c r="L160" s="86" t="n"/>
      <c r="M160" s="87">
        <f>IF(AND($A160&lt;&gt;"",ISNUMBER($J160)),IF(INT($J160)-TODAY()&lt;=Set_DueSoonDays,INT($J160)+ROW()/10000,""),"")</f>
        <v/>
      </c>
    </row>
    <row r="161">
      <c r="A161" s="82" t="n"/>
      <c r="B161" s="82" t="n"/>
      <c r="C161" s="82" t="n"/>
      <c r="D161" s="83" t="n"/>
      <c r="E161" s="81" t="n"/>
      <c r="F161" s="82" t="n"/>
      <c r="G161" s="84" t="n"/>
      <c r="H161" s="81" t="n"/>
      <c r="I161" s="82" t="n"/>
      <c r="J161" s="81" t="n"/>
      <c r="K161" s="84" t="n"/>
      <c r="L161" s="86" t="n"/>
      <c r="M161" s="87">
        <f>IF(AND($A161&lt;&gt;"",ISNUMBER($J161)),IF(INT($J161)-TODAY()&lt;=Set_DueSoonDays,INT($J161)+ROW()/10000,""),"")</f>
        <v/>
      </c>
    </row>
    <row r="162">
      <c r="A162" s="82" t="n"/>
      <c r="B162" s="82" t="n"/>
      <c r="C162" s="82" t="n"/>
      <c r="D162" s="83" t="n"/>
      <c r="E162" s="81" t="n"/>
      <c r="F162" s="82" t="n"/>
      <c r="G162" s="84" t="n"/>
      <c r="H162" s="81" t="n"/>
      <c r="I162" s="82" t="n"/>
      <c r="J162" s="81" t="n"/>
      <c r="K162" s="84" t="n"/>
      <c r="L162" s="86" t="n"/>
      <c r="M162" s="87">
        <f>IF(AND($A162&lt;&gt;"",ISNUMBER($J162)),IF(INT($J162)-TODAY()&lt;=Set_DueSoonDays,INT($J162)+ROW()/10000,""),"")</f>
        <v/>
      </c>
    </row>
    <row r="163">
      <c r="A163" s="82" t="n"/>
      <c r="B163" s="82" t="n"/>
      <c r="C163" s="82" t="n"/>
      <c r="D163" s="83" t="n"/>
      <c r="E163" s="81" t="n"/>
      <c r="F163" s="82" t="n"/>
      <c r="G163" s="84" t="n"/>
      <c r="H163" s="81" t="n"/>
      <c r="I163" s="82" t="n"/>
      <c r="J163" s="81" t="n"/>
      <c r="K163" s="84" t="n"/>
      <c r="L163" s="86" t="n"/>
      <c r="M163" s="87">
        <f>IF(AND($A163&lt;&gt;"",ISNUMBER($J163)),IF(INT($J163)-TODAY()&lt;=Set_DueSoonDays,INT($J163)+ROW()/10000,""),"")</f>
        <v/>
      </c>
    </row>
    <row r="164">
      <c r="A164" s="82" t="n"/>
      <c r="B164" s="82" t="n"/>
      <c r="C164" s="82" t="n"/>
      <c r="D164" s="83" t="n"/>
      <c r="E164" s="81" t="n"/>
      <c r="F164" s="82" t="n"/>
      <c r="G164" s="84" t="n"/>
      <c r="H164" s="81" t="n"/>
      <c r="I164" s="82" t="n"/>
      <c r="J164" s="81" t="n"/>
      <c r="K164" s="84" t="n"/>
      <c r="L164" s="86" t="n"/>
      <c r="M164" s="87">
        <f>IF(AND($A164&lt;&gt;"",ISNUMBER($J164)),IF(INT($J164)-TODAY()&lt;=Set_DueSoonDays,INT($J164)+ROW()/10000,""),"")</f>
        <v/>
      </c>
    </row>
    <row r="165">
      <c r="A165" s="82" t="n"/>
      <c r="B165" s="82" t="n"/>
      <c r="C165" s="82" t="n"/>
      <c r="D165" s="83" t="n"/>
      <c r="E165" s="81" t="n"/>
      <c r="F165" s="82" t="n"/>
      <c r="G165" s="84" t="n"/>
      <c r="H165" s="81" t="n"/>
      <c r="I165" s="82" t="n"/>
      <c r="J165" s="81" t="n"/>
      <c r="K165" s="84" t="n"/>
      <c r="L165" s="86" t="n"/>
      <c r="M165" s="87">
        <f>IF(AND($A165&lt;&gt;"",ISNUMBER($J165)),IF(INT($J165)-TODAY()&lt;=Set_DueSoonDays,INT($J165)+ROW()/10000,""),"")</f>
        <v/>
      </c>
    </row>
    <row r="166">
      <c r="A166" s="82" t="n"/>
      <c r="B166" s="82" t="n"/>
      <c r="C166" s="82" t="n"/>
      <c r="D166" s="83" t="n"/>
      <c r="E166" s="81" t="n"/>
      <c r="F166" s="82" t="n"/>
      <c r="G166" s="84" t="n"/>
      <c r="H166" s="81" t="n"/>
      <c r="I166" s="82" t="n"/>
      <c r="J166" s="81" t="n"/>
      <c r="K166" s="84" t="n"/>
      <c r="L166" s="86" t="n"/>
      <c r="M166" s="87">
        <f>IF(AND($A166&lt;&gt;"",ISNUMBER($J166)),IF(INT($J166)-TODAY()&lt;=Set_DueSoonDays,INT($J166)+ROW()/10000,""),"")</f>
        <v/>
      </c>
    </row>
    <row r="167">
      <c r="A167" s="82" t="n"/>
      <c r="B167" s="82" t="n"/>
      <c r="C167" s="82" t="n"/>
      <c r="D167" s="83" t="n"/>
      <c r="E167" s="81" t="n"/>
      <c r="F167" s="82" t="n"/>
      <c r="G167" s="84" t="n"/>
      <c r="H167" s="81" t="n"/>
      <c r="I167" s="82" t="n"/>
      <c r="J167" s="81" t="n"/>
      <c r="K167" s="84" t="n"/>
      <c r="L167" s="86" t="n"/>
      <c r="M167" s="87">
        <f>IF(AND($A167&lt;&gt;"",ISNUMBER($J167)),IF(INT($J167)-TODAY()&lt;=Set_DueSoonDays,INT($J167)+ROW()/10000,""),"")</f>
        <v/>
      </c>
    </row>
    <row r="168">
      <c r="A168" s="82" t="n"/>
      <c r="B168" s="82" t="n"/>
      <c r="C168" s="82" t="n"/>
      <c r="D168" s="83" t="n"/>
      <c r="E168" s="81" t="n"/>
      <c r="F168" s="82" t="n"/>
      <c r="G168" s="84" t="n"/>
      <c r="H168" s="81" t="n"/>
      <c r="I168" s="82" t="n"/>
      <c r="J168" s="81" t="n"/>
      <c r="K168" s="84" t="n"/>
      <c r="L168" s="86" t="n"/>
      <c r="M168" s="87">
        <f>IF(AND($A168&lt;&gt;"",ISNUMBER($J168)),IF(INT($J168)-TODAY()&lt;=Set_DueSoonDays,INT($J168)+ROW()/10000,""),"")</f>
        <v/>
      </c>
    </row>
    <row r="169">
      <c r="A169" s="82" t="n"/>
      <c r="B169" s="82" t="n"/>
      <c r="C169" s="82" t="n"/>
      <c r="D169" s="83" t="n"/>
      <c r="E169" s="81" t="n"/>
      <c r="F169" s="82" t="n"/>
      <c r="G169" s="84" t="n"/>
      <c r="H169" s="81" t="n"/>
      <c r="I169" s="82" t="n"/>
      <c r="J169" s="81" t="n"/>
      <c r="K169" s="84" t="n"/>
      <c r="L169" s="86" t="n"/>
      <c r="M169" s="87">
        <f>IF(AND($A169&lt;&gt;"",ISNUMBER($J169)),IF(INT($J169)-TODAY()&lt;=Set_DueSoonDays,INT($J169)+ROW()/10000,""),"")</f>
        <v/>
      </c>
    </row>
    <row r="170">
      <c r="A170" s="82" t="n"/>
      <c r="B170" s="82" t="n"/>
      <c r="C170" s="82" t="n"/>
      <c r="D170" s="83" t="n"/>
      <c r="E170" s="81" t="n"/>
      <c r="F170" s="82" t="n"/>
      <c r="G170" s="84" t="n"/>
      <c r="H170" s="81" t="n"/>
      <c r="I170" s="82" t="n"/>
      <c r="J170" s="81" t="n"/>
      <c r="K170" s="84" t="n"/>
      <c r="L170" s="86" t="n"/>
      <c r="M170" s="87">
        <f>IF(AND($A170&lt;&gt;"",ISNUMBER($J170)),IF(INT($J170)-TODAY()&lt;=Set_DueSoonDays,INT($J170)+ROW()/10000,""),"")</f>
        <v/>
      </c>
    </row>
    <row r="171">
      <c r="A171" s="82" t="n"/>
      <c r="B171" s="82" t="n"/>
      <c r="C171" s="82" t="n"/>
      <c r="D171" s="83" t="n"/>
      <c r="E171" s="81" t="n"/>
      <c r="F171" s="82" t="n"/>
      <c r="G171" s="84" t="n"/>
      <c r="H171" s="81" t="n"/>
      <c r="I171" s="82" t="n"/>
      <c r="J171" s="81" t="n"/>
      <c r="K171" s="84" t="n"/>
      <c r="L171" s="86" t="n"/>
      <c r="M171" s="87">
        <f>IF(AND($A171&lt;&gt;"",ISNUMBER($J171)),IF(INT($J171)-TODAY()&lt;=Set_DueSoonDays,INT($J171)+ROW()/10000,""),"")</f>
        <v/>
      </c>
    </row>
    <row r="172">
      <c r="A172" s="82" t="n"/>
      <c r="B172" s="82" t="n"/>
      <c r="C172" s="82" t="n"/>
      <c r="D172" s="83" t="n"/>
      <c r="E172" s="81" t="n"/>
      <c r="F172" s="82" t="n"/>
      <c r="G172" s="84" t="n"/>
      <c r="H172" s="81" t="n"/>
      <c r="I172" s="82" t="n"/>
      <c r="J172" s="81" t="n"/>
      <c r="K172" s="84" t="n"/>
      <c r="L172" s="86" t="n"/>
      <c r="M172" s="87">
        <f>IF(AND($A172&lt;&gt;"",ISNUMBER($J172)),IF(INT($J172)-TODAY()&lt;=Set_DueSoonDays,INT($J172)+ROW()/10000,""),"")</f>
        <v/>
      </c>
    </row>
    <row r="173">
      <c r="A173" s="82" t="n"/>
      <c r="B173" s="82" t="n"/>
      <c r="C173" s="82" t="n"/>
      <c r="D173" s="83" t="n"/>
      <c r="E173" s="81" t="n"/>
      <c r="F173" s="82" t="n"/>
      <c r="G173" s="84" t="n"/>
      <c r="H173" s="81" t="n"/>
      <c r="I173" s="82" t="n"/>
      <c r="J173" s="81" t="n"/>
      <c r="K173" s="84" t="n"/>
      <c r="L173" s="86" t="n"/>
      <c r="M173" s="87">
        <f>IF(AND($A173&lt;&gt;"",ISNUMBER($J173)),IF(INT($J173)-TODAY()&lt;=Set_DueSoonDays,INT($J173)+ROW()/10000,""),"")</f>
        <v/>
      </c>
    </row>
    <row r="174">
      <c r="A174" s="82" t="n"/>
      <c r="B174" s="82" t="n"/>
      <c r="C174" s="82" t="n"/>
      <c r="D174" s="83" t="n"/>
      <c r="E174" s="81" t="n"/>
      <c r="F174" s="82" t="n"/>
      <c r="G174" s="84" t="n"/>
      <c r="H174" s="81" t="n"/>
      <c r="I174" s="82" t="n"/>
      <c r="J174" s="81" t="n"/>
      <c r="K174" s="84" t="n"/>
      <c r="L174" s="86" t="n"/>
      <c r="M174" s="87">
        <f>IF(AND($A174&lt;&gt;"",ISNUMBER($J174)),IF(INT($J174)-TODAY()&lt;=Set_DueSoonDays,INT($J174)+ROW()/10000,""),"")</f>
        <v/>
      </c>
    </row>
    <row r="175">
      <c r="A175" s="82" t="n"/>
      <c r="B175" s="82" t="n"/>
      <c r="C175" s="82" t="n"/>
      <c r="D175" s="83" t="n"/>
      <c r="E175" s="81" t="n"/>
      <c r="F175" s="82" t="n"/>
      <c r="G175" s="84" t="n"/>
      <c r="H175" s="81" t="n"/>
      <c r="I175" s="82" t="n"/>
      <c r="J175" s="81" t="n"/>
      <c r="K175" s="84" t="n"/>
      <c r="L175" s="86" t="n"/>
      <c r="M175" s="87">
        <f>IF(AND($A175&lt;&gt;"",ISNUMBER($J175)),IF(INT($J175)-TODAY()&lt;=Set_DueSoonDays,INT($J175)+ROW()/10000,""),"")</f>
        <v/>
      </c>
    </row>
    <row r="176">
      <c r="A176" s="82" t="n"/>
      <c r="B176" s="82" t="n"/>
      <c r="C176" s="82" t="n"/>
      <c r="D176" s="83" t="n"/>
      <c r="E176" s="81" t="n"/>
      <c r="F176" s="82" t="n"/>
      <c r="G176" s="84" t="n"/>
      <c r="H176" s="81" t="n"/>
      <c r="I176" s="82" t="n"/>
      <c r="J176" s="81" t="n"/>
      <c r="K176" s="84" t="n"/>
      <c r="L176" s="86" t="n"/>
      <c r="M176" s="87">
        <f>IF(AND($A176&lt;&gt;"",ISNUMBER($J176)),IF(INT($J176)-TODAY()&lt;=Set_DueSoonDays,INT($J176)+ROW()/10000,""),"")</f>
        <v/>
      </c>
    </row>
    <row r="177">
      <c r="A177" s="82" t="n"/>
      <c r="B177" s="82" t="n"/>
      <c r="C177" s="82" t="n"/>
      <c r="D177" s="83" t="n"/>
      <c r="E177" s="81" t="n"/>
      <c r="F177" s="82" t="n"/>
      <c r="G177" s="84" t="n"/>
      <c r="H177" s="81" t="n"/>
      <c r="I177" s="82" t="n"/>
      <c r="J177" s="81" t="n"/>
      <c r="K177" s="84" t="n"/>
      <c r="L177" s="86" t="n"/>
      <c r="M177" s="87">
        <f>IF(AND($A177&lt;&gt;"",ISNUMBER($J177)),IF(INT($J177)-TODAY()&lt;=Set_DueSoonDays,INT($J177)+ROW()/10000,""),"")</f>
        <v/>
      </c>
    </row>
    <row r="178">
      <c r="A178" s="82" t="n"/>
      <c r="B178" s="82" t="n"/>
      <c r="C178" s="82" t="n"/>
      <c r="D178" s="83" t="n"/>
      <c r="E178" s="81" t="n"/>
      <c r="F178" s="82" t="n"/>
      <c r="G178" s="84" t="n"/>
      <c r="H178" s="81" t="n"/>
      <c r="I178" s="82" t="n"/>
      <c r="J178" s="81" t="n"/>
      <c r="K178" s="84" t="n"/>
      <c r="L178" s="86" t="n"/>
      <c r="M178" s="87">
        <f>IF(AND($A178&lt;&gt;"",ISNUMBER($J178)),IF(INT($J178)-TODAY()&lt;=Set_DueSoonDays,INT($J178)+ROW()/10000,""),"")</f>
        <v/>
      </c>
    </row>
    <row r="179">
      <c r="A179" s="82" t="n"/>
      <c r="B179" s="82" t="n"/>
      <c r="C179" s="82" t="n"/>
      <c r="D179" s="83" t="n"/>
      <c r="E179" s="81" t="n"/>
      <c r="F179" s="82" t="n"/>
      <c r="G179" s="84" t="n"/>
      <c r="H179" s="81" t="n"/>
      <c r="I179" s="82" t="n"/>
      <c r="J179" s="81" t="n"/>
      <c r="K179" s="84" t="n"/>
      <c r="L179" s="86" t="n"/>
      <c r="M179" s="87">
        <f>IF(AND($A179&lt;&gt;"",ISNUMBER($J179)),IF(INT($J179)-TODAY()&lt;=Set_DueSoonDays,INT($J179)+ROW()/10000,""),"")</f>
        <v/>
      </c>
    </row>
    <row r="180">
      <c r="A180" s="82" t="n"/>
      <c r="B180" s="82" t="n"/>
      <c r="C180" s="82" t="n"/>
      <c r="D180" s="83" t="n"/>
      <c r="E180" s="81" t="n"/>
      <c r="F180" s="82" t="n"/>
      <c r="G180" s="84" t="n"/>
      <c r="H180" s="81" t="n"/>
      <c r="I180" s="82" t="n"/>
      <c r="J180" s="81" t="n"/>
      <c r="K180" s="84" t="n"/>
      <c r="L180" s="86" t="n"/>
      <c r="M180" s="87">
        <f>IF(AND($A180&lt;&gt;"",ISNUMBER($J180)),IF(INT($J180)-TODAY()&lt;=Set_DueSoonDays,INT($J180)+ROW()/10000,""),"")</f>
        <v/>
      </c>
    </row>
    <row r="181">
      <c r="A181" s="82" t="n"/>
      <c r="B181" s="82" t="n"/>
      <c r="C181" s="82" t="n"/>
      <c r="D181" s="83" t="n"/>
      <c r="E181" s="81" t="n"/>
      <c r="F181" s="82" t="n"/>
      <c r="G181" s="84" t="n"/>
      <c r="H181" s="81" t="n"/>
      <c r="I181" s="82" t="n"/>
      <c r="J181" s="81" t="n"/>
      <c r="K181" s="84" t="n"/>
      <c r="L181" s="86" t="n"/>
      <c r="M181" s="87">
        <f>IF(AND($A181&lt;&gt;"",ISNUMBER($J181)),IF(INT($J181)-TODAY()&lt;=Set_DueSoonDays,INT($J181)+ROW()/10000,""),"")</f>
        <v/>
      </c>
    </row>
    <row r="182">
      <c r="A182" s="82" t="n"/>
      <c r="B182" s="82" t="n"/>
      <c r="C182" s="82" t="n"/>
      <c r="D182" s="83" t="n"/>
      <c r="E182" s="81" t="n"/>
      <c r="F182" s="82" t="n"/>
      <c r="G182" s="84" t="n"/>
      <c r="H182" s="81" t="n"/>
      <c r="I182" s="82" t="n"/>
      <c r="J182" s="81" t="n"/>
      <c r="K182" s="84" t="n"/>
      <c r="L182" s="86" t="n"/>
      <c r="M182" s="87">
        <f>IF(AND($A182&lt;&gt;"",ISNUMBER($J182)),IF(INT($J182)-TODAY()&lt;=Set_DueSoonDays,INT($J182)+ROW()/10000,""),"")</f>
        <v/>
      </c>
    </row>
    <row r="183">
      <c r="A183" s="82" t="n"/>
      <c r="B183" s="82" t="n"/>
      <c r="C183" s="82" t="n"/>
      <c r="D183" s="83" t="n"/>
      <c r="E183" s="81" t="n"/>
      <c r="F183" s="82" t="n"/>
      <c r="G183" s="84" t="n"/>
      <c r="H183" s="81" t="n"/>
      <c r="I183" s="82" t="n"/>
      <c r="J183" s="81" t="n"/>
      <c r="K183" s="84" t="n"/>
      <c r="L183" s="86" t="n"/>
      <c r="M183" s="87">
        <f>IF(AND($A183&lt;&gt;"",ISNUMBER($J183)),IF(INT($J183)-TODAY()&lt;=Set_DueSoonDays,INT($J183)+ROW()/10000,""),"")</f>
        <v/>
      </c>
    </row>
    <row r="184">
      <c r="A184" s="82" t="n"/>
      <c r="B184" s="82" t="n"/>
      <c r="C184" s="82" t="n"/>
      <c r="D184" s="83" t="n"/>
      <c r="E184" s="81" t="n"/>
      <c r="F184" s="82" t="n"/>
      <c r="G184" s="84" t="n"/>
      <c r="H184" s="81" t="n"/>
      <c r="I184" s="82" t="n"/>
      <c r="J184" s="81" t="n"/>
      <c r="K184" s="84" t="n"/>
      <c r="L184" s="86" t="n"/>
      <c r="M184" s="87">
        <f>IF(AND($A184&lt;&gt;"",ISNUMBER($J184)),IF(INT($J184)-TODAY()&lt;=Set_DueSoonDays,INT($J184)+ROW()/10000,""),"")</f>
        <v/>
      </c>
    </row>
    <row r="185">
      <c r="A185" s="82" t="n"/>
      <c r="B185" s="82" t="n"/>
      <c r="C185" s="82" t="n"/>
      <c r="D185" s="83" t="n"/>
      <c r="E185" s="81" t="n"/>
      <c r="F185" s="82" t="n"/>
      <c r="G185" s="84" t="n"/>
      <c r="H185" s="81" t="n"/>
      <c r="I185" s="82" t="n"/>
      <c r="J185" s="81" t="n"/>
      <c r="K185" s="84" t="n"/>
      <c r="L185" s="86" t="n"/>
      <c r="M185" s="87">
        <f>IF(AND($A185&lt;&gt;"",ISNUMBER($J185)),IF(INT($J185)-TODAY()&lt;=Set_DueSoonDays,INT($J185)+ROW()/10000,""),"")</f>
        <v/>
      </c>
    </row>
    <row r="186">
      <c r="A186" s="82" t="n"/>
      <c r="B186" s="82" t="n"/>
      <c r="C186" s="82" t="n"/>
      <c r="D186" s="83" t="n"/>
      <c r="E186" s="81" t="n"/>
      <c r="F186" s="82" t="n"/>
      <c r="G186" s="84" t="n"/>
      <c r="H186" s="81" t="n"/>
      <c r="I186" s="82" t="n"/>
      <c r="J186" s="81" t="n"/>
      <c r="K186" s="84" t="n"/>
      <c r="L186" s="86" t="n"/>
      <c r="M186" s="87">
        <f>IF(AND($A186&lt;&gt;"",ISNUMBER($J186)),IF(INT($J186)-TODAY()&lt;=Set_DueSoonDays,INT($J186)+ROW()/10000,""),"")</f>
        <v/>
      </c>
    </row>
    <row r="187">
      <c r="A187" s="82" t="n"/>
      <c r="B187" s="82" t="n"/>
      <c r="C187" s="82" t="n"/>
      <c r="D187" s="83" t="n"/>
      <c r="E187" s="81" t="n"/>
      <c r="F187" s="82" t="n"/>
      <c r="G187" s="84" t="n"/>
      <c r="H187" s="81" t="n"/>
      <c r="I187" s="82" t="n"/>
      <c r="J187" s="81" t="n"/>
      <c r="K187" s="84" t="n"/>
      <c r="L187" s="86" t="n"/>
      <c r="M187" s="87">
        <f>IF(AND($A187&lt;&gt;"",ISNUMBER($J187)),IF(INT($J187)-TODAY()&lt;=Set_DueSoonDays,INT($J187)+ROW()/10000,""),"")</f>
        <v/>
      </c>
    </row>
    <row r="188">
      <c r="A188" s="82" t="n"/>
      <c r="B188" s="82" t="n"/>
      <c r="C188" s="82" t="n"/>
      <c r="D188" s="83" t="n"/>
      <c r="E188" s="81" t="n"/>
      <c r="F188" s="82" t="n"/>
      <c r="G188" s="84" t="n"/>
      <c r="H188" s="81" t="n"/>
      <c r="I188" s="82" t="n"/>
      <c r="J188" s="81" t="n"/>
      <c r="K188" s="84" t="n"/>
      <c r="L188" s="86" t="n"/>
      <c r="M188" s="87">
        <f>IF(AND($A188&lt;&gt;"",ISNUMBER($J188)),IF(INT($J188)-TODAY()&lt;=Set_DueSoonDays,INT($J188)+ROW()/10000,""),"")</f>
        <v/>
      </c>
    </row>
    <row r="189">
      <c r="A189" s="82" t="n"/>
      <c r="B189" s="82" t="n"/>
      <c r="C189" s="82" t="n"/>
      <c r="D189" s="83" t="n"/>
      <c r="E189" s="81" t="n"/>
      <c r="F189" s="82" t="n"/>
      <c r="G189" s="84" t="n"/>
      <c r="H189" s="81" t="n"/>
      <c r="I189" s="82" t="n"/>
      <c r="J189" s="81" t="n"/>
      <c r="K189" s="84" t="n"/>
      <c r="L189" s="86" t="n"/>
      <c r="M189" s="87">
        <f>IF(AND($A189&lt;&gt;"",ISNUMBER($J189)),IF(INT($J189)-TODAY()&lt;=Set_DueSoonDays,INT($J189)+ROW()/10000,""),"")</f>
        <v/>
      </c>
    </row>
    <row r="190">
      <c r="A190" s="82" t="n"/>
      <c r="B190" s="82" t="n"/>
      <c r="C190" s="82" t="n"/>
      <c r="D190" s="83" t="n"/>
      <c r="E190" s="81" t="n"/>
      <c r="F190" s="82" t="n"/>
      <c r="G190" s="84" t="n"/>
      <c r="H190" s="81" t="n"/>
      <c r="I190" s="82" t="n"/>
      <c r="J190" s="81" t="n"/>
      <c r="K190" s="84" t="n"/>
      <c r="L190" s="86" t="n"/>
      <c r="M190" s="87">
        <f>IF(AND($A190&lt;&gt;"",ISNUMBER($J190)),IF(INT($J190)-TODAY()&lt;=Set_DueSoonDays,INT($J190)+ROW()/10000,""),"")</f>
        <v/>
      </c>
    </row>
    <row r="191">
      <c r="A191" s="82" t="n"/>
      <c r="B191" s="82" t="n"/>
      <c r="C191" s="82" t="n"/>
      <c r="D191" s="83" t="n"/>
      <c r="E191" s="81" t="n"/>
      <c r="F191" s="82" t="n"/>
      <c r="G191" s="84" t="n"/>
      <c r="H191" s="81" t="n"/>
      <c r="I191" s="82" t="n"/>
      <c r="J191" s="81" t="n"/>
      <c r="K191" s="84" t="n"/>
      <c r="L191" s="86" t="n"/>
      <c r="M191" s="87">
        <f>IF(AND($A191&lt;&gt;"",ISNUMBER($J191)),IF(INT($J191)-TODAY()&lt;=Set_DueSoonDays,INT($J191)+ROW()/10000,""),"")</f>
        <v/>
      </c>
    </row>
    <row r="192">
      <c r="A192" s="82" t="n"/>
      <c r="B192" s="82" t="n"/>
      <c r="C192" s="82" t="n"/>
      <c r="D192" s="83" t="n"/>
      <c r="E192" s="81" t="n"/>
      <c r="F192" s="82" t="n"/>
      <c r="G192" s="84" t="n"/>
      <c r="H192" s="81" t="n"/>
      <c r="I192" s="82" t="n"/>
      <c r="J192" s="81" t="n"/>
      <c r="K192" s="84" t="n"/>
      <c r="L192" s="86" t="n"/>
      <c r="M192" s="87">
        <f>IF(AND($A192&lt;&gt;"",ISNUMBER($J192)),IF(INT($J192)-TODAY()&lt;=Set_DueSoonDays,INT($J192)+ROW()/10000,""),"")</f>
        <v/>
      </c>
    </row>
    <row r="193">
      <c r="A193" s="82" t="n"/>
      <c r="B193" s="82" t="n"/>
      <c r="C193" s="82" t="n"/>
      <c r="D193" s="83" t="n"/>
      <c r="E193" s="81" t="n"/>
      <c r="F193" s="82" t="n"/>
      <c r="G193" s="84" t="n"/>
      <c r="H193" s="81" t="n"/>
      <c r="I193" s="82" t="n"/>
      <c r="J193" s="81" t="n"/>
      <c r="K193" s="84" t="n"/>
      <c r="L193" s="86" t="n"/>
      <c r="M193" s="87">
        <f>IF(AND($A193&lt;&gt;"",ISNUMBER($J193)),IF(INT($J193)-TODAY()&lt;=Set_DueSoonDays,INT($J193)+ROW()/10000,""),"")</f>
        <v/>
      </c>
    </row>
    <row r="194">
      <c r="A194" s="82" t="n"/>
      <c r="B194" s="82" t="n"/>
      <c r="C194" s="82" t="n"/>
      <c r="D194" s="83" t="n"/>
      <c r="E194" s="81" t="n"/>
      <c r="F194" s="82" t="n"/>
      <c r="G194" s="84" t="n"/>
      <c r="H194" s="81" t="n"/>
      <c r="I194" s="82" t="n"/>
      <c r="J194" s="81" t="n"/>
      <c r="K194" s="84" t="n"/>
      <c r="L194" s="86" t="n"/>
      <c r="M194" s="87">
        <f>IF(AND($A194&lt;&gt;"",ISNUMBER($J194)),IF(INT($J194)-TODAY()&lt;=Set_DueSoonDays,INT($J194)+ROW()/10000,""),"")</f>
        <v/>
      </c>
    </row>
    <row r="195">
      <c r="A195" s="82" t="n"/>
      <c r="B195" s="82" t="n"/>
      <c r="C195" s="82" t="n"/>
      <c r="D195" s="83" t="n"/>
      <c r="E195" s="81" t="n"/>
      <c r="F195" s="82" t="n"/>
      <c r="G195" s="84" t="n"/>
      <c r="H195" s="81" t="n"/>
      <c r="I195" s="82" t="n"/>
      <c r="J195" s="81" t="n"/>
      <c r="K195" s="84" t="n"/>
      <c r="L195" s="86" t="n"/>
      <c r="M195" s="87">
        <f>IF(AND($A195&lt;&gt;"",ISNUMBER($J195)),IF(INT($J195)-TODAY()&lt;=Set_DueSoonDays,INT($J195)+ROW()/10000,""),"")</f>
        <v/>
      </c>
    </row>
    <row r="196">
      <c r="A196" s="82" t="n"/>
      <c r="B196" s="82" t="n"/>
      <c r="C196" s="82" t="n"/>
      <c r="D196" s="83" t="n"/>
      <c r="E196" s="81" t="n"/>
      <c r="F196" s="82" t="n"/>
      <c r="G196" s="84" t="n"/>
      <c r="H196" s="81" t="n"/>
      <c r="I196" s="82" t="n"/>
      <c r="J196" s="81" t="n"/>
      <c r="K196" s="84" t="n"/>
      <c r="L196" s="86" t="n"/>
      <c r="M196" s="87">
        <f>IF(AND($A196&lt;&gt;"",ISNUMBER($J196)),IF(INT($J196)-TODAY()&lt;=Set_DueSoonDays,INT($J196)+ROW()/10000,""),"")</f>
        <v/>
      </c>
    </row>
    <row r="197">
      <c r="A197" s="82" t="n"/>
      <c r="B197" s="82" t="n"/>
      <c r="C197" s="82" t="n"/>
      <c r="D197" s="83" t="n"/>
      <c r="E197" s="81" t="n"/>
      <c r="F197" s="82" t="n"/>
      <c r="G197" s="84" t="n"/>
      <c r="H197" s="81" t="n"/>
      <c r="I197" s="82" t="n"/>
      <c r="J197" s="81" t="n"/>
      <c r="K197" s="84" t="n"/>
      <c r="L197" s="86" t="n"/>
      <c r="M197" s="87">
        <f>IF(AND($A197&lt;&gt;"",ISNUMBER($J197)),IF(INT($J197)-TODAY()&lt;=Set_DueSoonDays,INT($J197)+ROW()/10000,""),"")</f>
        <v/>
      </c>
    </row>
    <row r="198">
      <c r="A198" s="82" t="n"/>
      <c r="B198" s="82" t="n"/>
      <c r="C198" s="82" t="n"/>
      <c r="D198" s="83" t="n"/>
      <c r="E198" s="81" t="n"/>
      <c r="F198" s="82" t="n"/>
      <c r="G198" s="84" t="n"/>
      <c r="H198" s="81" t="n"/>
      <c r="I198" s="82" t="n"/>
      <c r="J198" s="81" t="n"/>
      <c r="K198" s="84" t="n"/>
      <c r="L198" s="86" t="n"/>
      <c r="M198" s="87">
        <f>IF(AND($A198&lt;&gt;"",ISNUMBER($J198)),IF(INT($J198)-TODAY()&lt;=Set_DueSoonDays,INT($J198)+ROW()/10000,""),"")</f>
        <v/>
      </c>
    </row>
    <row r="199">
      <c r="A199" s="82" t="n"/>
      <c r="B199" s="82" t="n"/>
      <c r="C199" s="82" t="n"/>
      <c r="D199" s="83" t="n"/>
      <c r="E199" s="81" t="n"/>
      <c r="F199" s="82" t="n"/>
      <c r="G199" s="84" t="n"/>
      <c r="H199" s="81" t="n"/>
      <c r="I199" s="82" t="n"/>
      <c r="J199" s="81" t="n"/>
      <c r="K199" s="84" t="n"/>
      <c r="L199" s="86" t="n"/>
      <c r="M199" s="87">
        <f>IF(AND($A199&lt;&gt;"",ISNUMBER($J199)),IF(INT($J199)-TODAY()&lt;=Set_DueSoonDays,INT($J199)+ROW()/10000,""),"")</f>
        <v/>
      </c>
    </row>
    <row r="200">
      <c r="A200" s="82" t="n"/>
      <c r="B200" s="82" t="n"/>
      <c r="C200" s="82" t="n"/>
      <c r="D200" s="83" t="n"/>
      <c r="E200" s="81" t="n"/>
      <c r="F200" s="82" t="n"/>
      <c r="G200" s="84" t="n"/>
      <c r="H200" s="81" t="n"/>
      <c r="I200" s="82" t="n"/>
      <c r="J200" s="81" t="n"/>
      <c r="K200" s="84" t="n"/>
      <c r="L200" s="86" t="n"/>
      <c r="M200" s="87">
        <f>IF(AND($A200&lt;&gt;"",ISNUMBER($J200)),IF(INT($J200)-TODAY()&lt;=Set_DueSoonDays,INT($J200)+ROW()/10000,""),"")</f>
        <v/>
      </c>
    </row>
    <row r="201">
      <c r="A201" s="82" t="n"/>
      <c r="B201" s="82" t="n"/>
      <c r="C201" s="82" t="n"/>
      <c r="D201" s="83" t="n"/>
      <c r="E201" s="81" t="n"/>
      <c r="F201" s="82" t="n"/>
      <c r="G201" s="84" t="n"/>
      <c r="H201" s="81" t="n"/>
      <c r="I201" s="82" t="n"/>
      <c r="J201" s="81" t="n"/>
      <c r="K201" s="84" t="n"/>
      <c r="L201" s="86" t="n"/>
      <c r="M201" s="87">
        <f>IF(AND($A201&lt;&gt;"",ISNUMBER($J201)),IF(INT($J201)-TODAY()&lt;=Set_DueSoonDays,INT($J201)+ROW()/10000,""),"")</f>
        <v/>
      </c>
    </row>
    <row r="202">
      <c r="A202" s="82" t="n"/>
      <c r="B202" s="82" t="n"/>
      <c r="C202" s="82" t="n"/>
      <c r="D202" s="83" t="n"/>
      <c r="E202" s="81" t="n"/>
      <c r="F202" s="82" t="n"/>
      <c r="G202" s="84" t="n"/>
      <c r="H202" s="81" t="n"/>
      <c r="I202" s="82" t="n"/>
      <c r="J202" s="81" t="n"/>
      <c r="K202" s="84" t="n"/>
      <c r="L202" s="86" t="n"/>
      <c r="M202" s="87">
        <f>IF(AND($A202&lt;&gt;"",ISNUMBER($J202)),IF(INT($J202)-TODAY()&lt;=Set_DueSoonDays,INT($J202)+ROW()/10000,""),"")</f>
        <v/>
      </c>
    </row>
    <row r="203">
      <c r="A203" s="82" t="n"/>
      <c r="B203" s="82" t="n"/>
      <c r="C203" s="82" t="n"/>
      <c r="D203" s="83" t="n"/>
      <c r="E203" s="81" t="n"/>
      <c r="F203" s="82" t="n"/>
      <c r="G203" s="84" t="n"/>
      <c r="H203" s="81" t="n"/>
      <c r="I203" s="82" t="n"/>
      <c r="J203" s="81" t="n"/>
      <c r="K203" s="84" t="n"/>
      <c r="L203" s="86" t="n"/>
      <c r="M203" s="87">
        <f>IF(AND($A203&lt;&gt;"",ISNUMBER($J203)),IF(INT($J203)-TODAY()&lt;=Set_DueSoonDays,INT($J203)+ROW()/10000,""),"")</f>
        <v/>
      </c>
    </row>
    <row r="204">
      <c r="A204" s="82" t="n"/>
      <c r="B204" s="82" t="n"/>
      <c r="C204" s="82" t="n"/>
      <c r="D204" s="83" t="n"/>
      <c r="E204" s="81" t="n"/>
      <c r="F204" s="82" t="n"/>
      <c r="G204" s="84" t="n"/>
      <c r="H204" s="81" t="n"/>
      <c r="I204" s="82" t="n"/>
      <c r="J204" s="81" t="n"/>
      <c r="K204" s="84" t="n"/>
      <c r="L204" s="86" t="n"/>
      <c r="M204" s="87">
        <f>IF(AND($A204&lt;&gt;"",ISNUMBER($J204)),IF(INT($J204)-TODAY()&lt;=Set_DueSoonDays,INT($J204)+ROW()/10000,""),"")</f>
        <v/>
      </c>
    </row>
    <row r="205">
      <c r="A205" s="82" t="n"/>
      <c r="B205" s="82" t="n"/>
      <c r="C205" s="82" t="n"/>
      <c r="D205" s="83" t="n"/>
      <c r="E205" s="81" t="n"/>
      <c r="F205" s="82" t="n"/>
      <c r="G205" s="84" t="n"/>
      <c r="H205" s="81" t="n"/>
      <c r="I205" s="82" t="n"/>
      <c r="J205" s="81" t="n"/>
      <c r="K205" s="84" t="n"/>
      <c r="L205" s="86" t="n"/>
      <c r="M205" s="87">
        <f>IF(AND($A205&lt;&gt;"",ISNUMBER($J205)),IF(INT($J205)-TODAY()&lt;=Set_DueSoonDays,INT($J205)+ROW()/10000,""),"")</f>
        <v/>
      </c>
    </row>
    <row r="206">
      <c r="A206" s="82" t="n"/>
      <c r="B206" s="82" t="n"/>
      <c r="C206" s="82" t="n"/>
      <c r="D206" s="83" t="n"/>
      <c r="E206" s="81" t="n"/>
      <c r="F206" s="82" t="n"/>
      <c r="G206" s="84" t="n"/>
      <c r="H206" s="81" t="n"/>
      <c r="I206" s="82" t="n"/>
      <c r="J206" s="81" t="n"/>
      <c r="K206" s="84" t="n"/>
      <c r="L206" s="86" t="n"/>
      <c r="M206" s="87">
        <f>IF(AND($A206&lt;&gt;"",ISNUMBER($J206)),IF(INT($J206)-TODAY()&lt;=Set_DueSoonDays,INT($J206)+ROW()/10000,""),"")</f>
        <v/>
      </c>
    </row>
    <row r="207">
      <c r="A207" s="82" t="n"/>
      <c r="B207" s="82" t="n"/>
      <c r="C207" s="82" t="n"/>
      <c r="D207" s="83" t="n"/>
      <c r="E207" s="81" t="n"/>
      <c r="F207" s="82" t="n"/>
      <c r="G207" s="84" t="n"/>
      <c r="H207" s="81" t="n"/>
      <c r="I207" s="82" t="n"/>
      <c r="J207" s="81" t="n"/>
      <c r="K207" s="84" t="n"/>
      <c r="L207" s="86" t="n"/>
      <c r="M207" s="87">
        <f>IF(AND($A207&lt;&gt;"",ISNUMBER($J207)),IF(INT($J207)-TODAY()&lt;=Set_DueSoonDays,INT($J207)+ROW()/10000,""),"")</f>
        <v/>
      </c>
    </row>
    <row r="208">
      <c r="A208" s="82" t="n"/>
      <c r="B208" s="82" t="n"/>
      <c r="C208" s="82" t="n"/>
      <c r="D208" s="83" t="n"/>
      <c r="E208" s="81" t="n"/>
      <c r="F208" s="82" t="n"/>
      <c r="G208" s="84" t="n"/>
      <c r="H208" s="81" t="n"/>
      <c r="I208" s="82" t="n"/>
      <c r="J208" s="81" t="n"/>
      <c r="K208" s="84" t="n"/>
      <c r="L208" s="86" t="n"/>
      <c r="M208" s="87">
        <f>IF(AND($A208&lt;&gt;"",ISNUMBER($J208)),IF(INT($J208)-TODAY()&lt;=Set_DueSoonDays,INT($J208)+ROW()/10000,""),"")</f>
        <v/>
      </c>
    </row>
    <row r="209">
      <c r="A209" s="82" t="n"/>
      <c r="B209" s="82" t="n"/>
      <c r="C209" s="82" t="n"/>
      <c r="D209" s="83" t="n"/>
      <c r="E209" s="81" t="n"/>
      <c r="F209" s="82" t="n"/>
      <c r="G209" s="84" t="n"/>
      <c r="H209" s="81" t="n"/>
      <c r="I209" s="82" t="n"/>
      <c r="J209" s="81" t="n"/>
      <c r="K209" s="84" t="n"/>
      <c r="L209" s="86" t="n"/>
      <c r="M209" s="87">
        <f>IF(AND($A209&lt;&gt;"",ISNUMBER($J209)),IF(INT($J209)-TODAY()&lt;=Set_DueSoonDays,INT($J209)+ROW()/10000,""),"")</f>
        <v/>
      </c>
    </row>
    <row r="210">
      <c r="A210" s="82" t="n"/>
      <c r="B210" s="82" t="n"/>
      <c r="C210" s="82" t="n"/>
      <c r="D210" s="83" t="n"/>
      <c r="E210" s="81" t="n"/>
      <c r="F210" s="82" t="n"/>
      <c r="G210" s="84" t="n"/>
      <c r="H210" s="81" t="n"/>
      <c r="I210" s="82" t="n"/>
      <c r="J210" s="81" t="n"/>
      <c r="K210" s="84" t="n"/>
      <c r="L210" s="86" t="n"/>
      <c r="M210" s="87">
        <f>IF(AND($A210&lt;&gt;"",ISNUMBER($J210)),IF(INT($J210)-TODAY()&lt;=Set_DueSoonDays,INT($J210)+ROW()/10000,""),"")</f>
        <v/>
      </c>
    </row>
    <row r="211">
      <c r="A211" s="82" t="n"/>
      <c r="B211" s="82" t="n"/>
      <c r="C211" s="82" t="n"/>
      <c r="D211" s="83" t="n"/>
      <c r="E211" s="81" t="n"/>
      <c r="F211" s="82" t="n"/>
      <c r="G211" s="84" t="n"/>
      <c r="H211" s="81" t="n"/>
      <c r="I211" s="82" t="n"/>
      <c r="J211" s="81" t="n"/>
      <c r="K211" s="84" t="n"/>
      <c r="L211" s="86" t="n"/>
      <c r="M211" s="87">
        <f>IF(AND($A211&lt;&gt;"",ISNUMBER($J211)),IF(INT($J211)-TODAY()&lt;=Set_DueSoonDays,INT($J211)+ROW()/10000,""),"")</f>
        <v/>
      </c>
    </row>
    <row r="212">
      <c r="A212" s="82" t="n"/>
      <c r="B212" s="82" t="n"/>
      <c r="C212" s="82" t="n"/>
      <c r="D212" s="83" t="n"/>
      <c r="E212" s="81" t="n"/>
      <c r="F212" s="82" t="n"/>
      <c r="G212" s="84" t="n"/>
      <c r="H212" s="81" t="n"/>
      <c r="I212" s="82" t="n"/>
      <c r="J212" s="81" t="n"/>
      <c r="K212" s="84" t="n"/>
      <c r="L212" s="86" t="n"/>
      <c r="M212" s="87">
        <f>IF(AND($A212&lt;&gt;"",ISNUMBER($J212)),IF(INT($J212)-TODAY()&lt;=Set_DueSoonDays,INT($J212)+ROW()/10000,""),"")</f>
        <v/>
      </c>
    </row>
    <row r="213">
      <c r="A213" s="82" t="n"/>
      <c r="B213" s="82" t="n"/>
      <c r="C213" s="82" t="n"/>
      <c r="D213" s="83" t="n"/>
      <c r="E213" s="81" t="n"/>
      <c r="F213" s="82" t="n"/>
      <c r="G213" s="84" t="n"/>
      <c r="H213" s="81" t="n"/>
      <c r="I213" s="82" t="n"/>
      <c r="J213" s="81" t="n"/>
      <c r="K213" s="84" t="n"/>
      <c r="L213" s="86" t="n"/>
      <c r="M213" s="87">
        <f>IF(AND($A213&lt;&gt;"",ISNUMBER($J213)),IF(INT($J213)-TODAY()&lt;=Set_DueSoonDays,INT($J213)+ROW()/10000,""),"")</f>
        <v/>
      </c>
    </row>
    <row r="214">
      <c r="A214" s="82" t="n"/>
      <c r="B214" s="82" t="n"/>
      <c r="C214" s="82" t="n"/>
      <c r="D214" s="83" t="n"/>
      <c r="E214" s="81" t="n"/>
      <c r="F214" s="82" t="n"/>
      <c r="G214" s="84" t="n"/>
      <c r="H214" s="81" t="n"/>
      <c r="I214" s="82" t="n"/>
      <c r="J214" s="81" t="n"/>
      <c r="K214" s="84" t="n"/>
      <c r="L214" s="86" t="n"/>
      <c r="M214" s="87">
        <f>IF(AND($A214&lt;&gt;"",ISNUMBER($J214)),IF(INT($J214)-TODAY()&lt;=Set_DueSoonDays,INT($J214)+ROW()/10000,""),"")</f>
        <v/>
      </c>
    </row>
    <row r="215">
      <c r="A215" s="82" t="n"/>
      <c r="B215" s="82" t="n"/>
      <c r="C215" s="82" t="n"/>
      <c r="D215" s="83" t="n"/>
      <c r="E215" s="81" t="n"/>
      <c r="F215" s="82" t="n"/>
      <c r="G215" s="84" t="n"/>
      <c r="H215" s="81" t="n"/>
      <c r="I215" s="82" t="n"/>
      <c r="J215" s="81" t="n"/>
      <c r="K215" s="84" t="n"/>
      <c r="L215" s="86" t="n"/>
      <c r="M215" s="87">
        <f>IF(AND($A215&lt;&gt;"",ISNUMBER($J215)),IF(INT($J215)-TODAY()&lt;=Set_DueSoonDays,INT($J215)+ROW()/10000,""),"")</f>
        <v/>
      </c>
    </row>
    <row r="216">
      <c r="A216" s="82" t="n"/>
      <c r="B216" s="82" t="n"/>
      <c r="C216" s="82" t="n"/>
      <c r="D216" s="83" t="n"/>
      <c r="E216" s="81" t="n"/>
      <c r="F216" s="82" t="n"/>
      <c r="G216" s="84" t="n"/>
      <c r="H216" s="81" t="n"/>
      <c r="I216" s="82" t="n"/>
      <c r="J216" s="81" t="n"/>
      <c r="K216" s="84" t="n"/>
      <c r="L216" s="86" t="n"/>
      <c r="M216" s="87">
        <f>IF(AND($A216&lt;&gt;"",ISNUMBER($J216)),IF(INT($J216)-TODAY()&lt;=Set_DueSoonDays,INT($J216)+ROW()/10000,""),"")</f>
        <v/>
      </c>
    </row>
    <row r="217">
      <c r="A217" s="82" t="n"/>
      <c r="B217" s="82" t="n"/>
      <c r="C217" s="82" t="n"/>
      <c r="D217" s="83" t="n"/>
      <c r="E217" s="81" t="n"/>
      <c r="F217" s="82" t="n"/>
      <c r="G217" s="84" t="n"/>
      <c r="H217" s="81" t="n"/>
      <c r="I217" s="82" t="n"/>
      <c r="J217" s="81" t="n"/>
      <c r="K217" s="84" t="n"/>
      <c r="L217" s="86" t="n"/>
      <c r="M217" s="87">
        <f>IF(AND($A217&lt;&gt;"",ISNUMBER($J217)),IF(INT($J217)-TODAY()&lt;=Set_DueSoonDays,INT($J217)+ROW()/10000,""),"")</f>
        <v/>
      </c>
    </row>
    <row r="218">
      <c r="A218" s="82" t="n"/>
      <c r="B218" s="82" t="n"/>
      <c r="C218" s="82" t="n"/>
      <c r="D218" s="83" t="n"/>
      <c r="E218" s="81" t="n"/>
      <c r="F218" s="82" t="n"/>
      <c r="G218" s="84" t="n"/>
      <c r="H218" s="81" t="n"/>
      <c r="I218" s="82" t="n"/>
      <c r="J218" s="81" t="n"/>
      <c r="K218" s="84" t="n"/>
      <c r="L218" s="86" t="n"/>
      <c r="M218" s="87">
        <f>IF(AND($A218&lt;&gt;"",ISNUMBER($J218)),IF(INT($J218)-TODAY()&lt;=Set_DueSoonDays,INT($J218)+ROW()/10000,""),"")</f>
        <v/>
      </c>
    </row>
    <row r="219">
      <c r="A219" s="82" t="n"/>
      <c r="B219" s="82" t="n"/>
      <c r="C219" s="82" t="n"/>
      <c r="D219" s="83" t="n"/>
      <c r="E219" s="81" t="n"/>
      <c r="F219" s="82" t="n"/>
      <c r="G219" s="84" t="n"/>
      <c r="H219" s="81" t="n"/>
      <c r="I219" s="82" t="n"/>
      <c r="J219" s="81" t="n"/>
      <c r="K219" s="84" t="n"/>
      <c r="L219" s="86" t="n"/>
      <c r="M219" s="87">
        <f>IF(AND($A219&lt;&gt;"",ISNUMBER($J219)),IF(INT($J219)-TODAY()&lt;=Set_DueSoonDays,INT($J219)+ROW()/10000,""),"")</f>
        <v/>
      </c>
    </row>
    <row r="220">
      <c r="A220" s="82" t="n"/>
      <c r="B220" s="82" t="n"/>
      <c r="C220" s="82" t="n"/>
      <c r="D220" s="83" t="n"/>
      <c r="E220" s="81" t="n"/>
      <c r="F220" s="82" t="n"/>
      <c r="G220" s="84" t="n"/>
      <c r="H220" s="81" t="n"/>
      <c r="I220" s="82" t="n"/>
      <c r="J220" s="81" t="n"/>
      <c r="K220" s="84" t="n"/>
      <c r="L220" s="86" t="n"/>
      <c r="M220" s="87">
        <f>IF(AND($A220&lt;&gt;"",ISNUMBER($J220)),IF(INT($J220)-TODAY()&lt;=Set_DueSoonDays,INT($J220)+ROW()/10000,""),"")</f>
        <v/>
      </c>
    </row>
    <row r="221">
      <c r="A221" s="82" t="n"/>
      <c r="B221" s="82" t="n"/>
      <c r="C221" s="82" t="n"/>
      <c r="D221" s="83" t="n"/>
      <c r="E221" s="81" t="n"/>
      <c r="F221" s="82" t="n"/>
      <c r="G221" s="84" t="n"/>
      <c r="H221" s="81" t="n"/>
      <c r="I221" s="82" t="n"/>
      <c r="J221" s="81" t="n"/>
      <c r="K221" s="84" t="n"/>
      <c r="L221" s="86" t="n"/>
      <c r="M221" s="87">
        <f>IF(AND($A221&lt;&gt;"",ISNUMBER($J221)),IF(INT($J221)-TODAY()&lt;=Set_DueSoonDays,INT($J221)+ROW()/10000,""),"")</f>
        <v/>
      </c>
    </row>
    <row r="222">
      <c r="A222" s="82" t="n"/>
      <c r="B222" s="82" t="n"/>
      <c r="C222" s="82" t="n"/>
      <c r="D222" s="83" t="n"/>
      <c r="E222" s="81" t="n"/>
      <c r="F222" s="82" t="n"/>
      <c r="G222" s="84" t="n"/>
      <c r="H222" s="81" t="n"/>
      <c r="I222" s="82" t="n"/>
      <c r="J222" s="81" t="n"/>
      <c r="K222" s="84" t="n"/>
      <c r="L222" s="86" t="n"/>
      <c r="M222" s="87">
        <f>IF(AND($A222&lt;&gt;"",ISNUMBER($J222)),IF(INT($J222)-TODAY()&lt;=Set_DueSoonDays,INT($J222)+ROW()/10000,""),"")</f>
        <v/>
      </c>
    </row>
    <row r="223">
      <c r="A223" s="82" t="n"/>
      <c r="B223" s="82" t="n"/>
      <c r="C223" s="82" t="n"/>
      <c r="D223" s="83" t="n"/>
      <c r="E223" s="81" t="n"/>
      <c r="F223" s="82" t="n"/>
      <c r="G223" s="84" t="n"/>
      <c r="H223" s="81" t="n"/>
      <c r="I223" s="82" t="n"/>
      <c r="J223" s="81" t="n"/>
      <c r="K223" s="84" t="n"/>
      <c r="L223" s="86" t="n"/>
      <c r="M223" s="87">
        <f>IF(AND($A223&lt;&gt;"",ISNUMBER($J223)),IF(INT($J223)-TODAY()&lt;=Set_DueSoonDays,INT($J223)+ROW()/10000,""),"")</f>
        <v/>
      </c>
    </row>
    <row r="224">
      <c r="A224" s="82" t="n"/>
      <c r="B224" s="82" t="n"/>
      <c r="C224" s="82" t="n"/>
      <c r="D224" s="83" t="n"/>
      <c r="E224" s="81" t="n"/>
      <c r="F224" s="82" t="n"/>
      <c r="G224" s="84" t="n"/>
      <c r="H224" s="81" t="n"/>
      <c r="I224" s="82" t="n"/>
      <c r="J224" s="81" t="n"/>
      <c r="K224" s="84" t="n"/>
      <c r="L224" s="86" t="n"/>
      <c r="M224" s="87">
        <f>IF(AND($A224&lt;&gt;"",ISNUMBER($J224)),IF(INT($J224)-TODAY()&lt;=Set_DueSoonDays,INT($J224)+ROW()/10000,""),"")</f>
        <v/>
      </c>
    </row>
    <row r="225">
      <c r="A225" s="82" t="n"/>
      <c r="B225" s="82" t="n"/>
      <c r="C225" s="82" t="n"/>
      <c r="D225" s="83" t="n"/>
      <c r="E225" s="81" t="n"/>
      <c r="F225" s="82" t="n"/>
      <c r="G225" s="84" t="n"/>
      <c r="H225" s="81" t="n"/>
      <c r="I225" s="82" t="n"/>
      <c r="J225" s="81" t="n"/>
      <c r="K225" s="84" t="n"/>
      <c r="L225" s="86" t="n"/>
      <c r="M225" s="87">
        <f>IF(AND($A225&lt;&gt;"",ISNUMBER($J225)),IF(INT($J225)-TODAY()&lt;=Set_DueSoonDays,INT($J225)+ROW()/10000,""),"")</f>
        <v/>
      </c>
    </row>
    <row r="226">
      <c r="A226" s="82" t="n"/>
      <c r="B226" s="82" t="n"/>
      <c r="C226" s="82" t="n"/>
      <c r="D226" s="83" t="n"/>
      <c r="E226" s="81" t="n"/>
      <c r="F226" s="82" t="n"/>
      <c r="G226" s="84" t="n"/>
      <c r="H226" s="81" t="n"/>
      <c r="I226" s="82" t="n"/>
      <c r="J226" s="81" t="n"/>
      <c r="K226" s="84" t="n"/>
      <c r="L226" s="86" t="n"/>
      <c r="M226" s="87">
        <f>IF(AND($A226&lt;&gt;"",ISNUMBER($J226)),IF(INT($J226)-TODAY()&lt;=Set_DueSoonDays,INT($J226)+ROW()/10000,""),"")</f>
        <v/>
      </c>
    </row>
    <row r="227">
      <c r="A227" s="82" t="n"/>
      <c r="B227" s="82" t="n"/>
      <c r="C227" s="82" t="n"/>
      <c r="D227" s="83" t="n"/>
      <c r="E227" s="81" t="n"/>
      <c r="F227" s="82" t="n"/>
      <c r="G227" s="84" t="n"/>
      <c r="H227" s="81" t="n"/>
      <c r="I227" s="82" t="n"/>
      <c r="J227" s="81" t="n"/>
      <c r="K227" s="84" t="n"/>
      <c r="L227" s="86" t="n"/>
      <c r="M227" s="87">
        <f>IF(AND($A227&lt;&gt;"",ISNUMBER($J227)),IF(INT($J227)-TODAY()&lt;=Set_DueSoonDays,INT($J227)+ROW()/10000,""),"")</f>
        <v/>
      </c>
    </row>
    <row r="228">
      <c r="A228" s="82" t="n"/>
      <c r="B228" s="82" t="n"/>
      <c r="C228" s="82" t="n"/>
      <c r="D228" s="83" t="n"/>
      <c r="E228" s="81" t="n"/>
      <c r="F228" s="82" t="n"/>
      <c r="G228" s="84" t="n"/>
      <c r="H228" s="81" t="n"/>
      <c r="I228" s="82" t="n"/>
      <c r="J228" s="81" t="n"/>
      <c r="K228" s="84" t="n"/>
      <c r="L228" s="86" t="n"/>
      <c r="M228" s="87">
        <f>IF(AND($A228&lt;&gt;"",ISNUMBER($J228)),IF(INT($J228)-TODAY()&lt;=Set_DueSoonDays,INT($J228)+ROW()/10000,""),"")</f>
        <v/>
      </c>
    </row>
    <row r="229">
      <c r="A229" s="82" t="n"/>
      <c r="B229" s="82" t="n"/>
      <c r="C229" s="82" t="n"/>
      <c r="D229" s="83" t="n"/>
      <c r="E229" s="81" t="n"/>
      <c r="F229" s="82" t="n"/>
      <c r="G229" s="84" t="n"/>
      <c r="H229" s="81" t="n"/>
      <c r="I229" s="82" t="n"/>
      <c r="J229" s="81" t="n"/>
      <c r="K229" s="84" t="n"/>
      <c r="L229" s="86" t="n"/>
      <c r="M229" s="87">
        <f>IF(AND($A229&lt;&gt;"",ISNUMBER($J229)),IF(INT($J229)-TODAY()&lt;=Set_DueSoonDays,INT($J229)+ROW()/10000,""),"")</f>
        <v/>
      </c>
    </row>
    <row r="230">
      <c r="A230" s="82" t="n"/>
      <c r="B230" s="82" t="n"/>
      <c r="C230" s="82" t="n"/>
      <c r="D230" s="83" t="n"/>
      <c r="E230" s="81" t="n"/>
      <c r="F230" s="82" t="n"/>
      <c r="G230" s="84" t="n"/>
      <c r="H230" s="81" t="n"/>
      <c r="I230" s="82" t="n"/>
      <c r="J230" s="81" t="n"/>
      <c r="K230" s="84" t="n"/>
      <c r="L230" s="86" t="n"/>
      <c r="M230" s="87">
        <f>IF(AND($A230&lt;&gt;"",ISNUMBER($J230)),IF(INT($J230)-TODAY()&lt;=Set_DueSoonDays,INT($J230)+ROW()/10000,""),"")</f>
        <v/>
      </c>
    </row>
    <row r="231">
      <c r="A231" s="82" t="n"/>
      <c r="B231" s="82" t="n"/>
      <c r="C231" s="82" t="n"/>
      <c r="D231" s="83" t="n"/>
      <c r="E231" s="81" t="n"/>
      <c r="F231" s="82" t="n"/>
      <c r="G231" s="84" t="n"/>
      <c r="H231" s="81" t="n"/>
      <c r="I231" s="82" t="n"/>
      <c r="J231" s="81" t="n"/>
      <c r="K231" s="84" t="n"/>
      <c r="L231" s="86" t="n"/>
      <c r="M231" s="87">
        <f>IF(AND($A231&lt;&gt;"",ISNUMBER($J231)),IF(INT($J231)-TODAY()&lt;=Set_DueSoonDays,INT($J231)+ROW()/10000,""),"")</f>
        <v/>
      </c>
    </row>
    <row r="232">
      <c r="A232" s="82" t="n"/>
      <c r="B232" s="82" t="n"/>
      <c r="C232" s="82" t="n"/>
      <c r="D232" s="83" t="n"/>
      <c r="E232" s="81" t="n"/>
      <c r="F232" s="82" t="n"/>
      <c r="G232" s="84" t="n"/>
      <c r="H232" s="81" t="n"/>
      <c r="I232" s="82" t="n"/>
      <c r="J232" s="81" t="n"/>
      <c r="K232" s="84" t="n"/>
      <c r="L232" s="86" t="n"/>
      <c r="M232" s="87">
        <f>IF(AND($A232&lt;&gt;"",ISNUMBER($J232)),IF(INT($J232)-TODAY()&lt;=Set_DueSoonDays,INT($J232)+ROW()/10000,""),"")</f>
        <v/>
      </c>
    </row>
    <row r="233">
      <c r="A233" s="82" t="n"/>
      <c r="B233" s="82" t="n"/>
      <c r="C233" s="82" t="n"/>
      <c r="D233" s="83" t="n"/>
      <c r="E233" s="81" t="n"/>
      <c r="F233" s="82" t="n"/>
      <c r="G233" s="84" t="n"/>
      <c r="H233" s="81" t="n"/>
      <c r="I233" s="82" t="n"/>
      <c r="J233" s="81" t="n"/>
      <c r="K233" s="84" t="n"/>
      <c r="L233" s="86" t="n"/>
      <c r="M233" s="87">
        <f>IF(AND($A233&lt;&gt;"",ISNUMBER($J233)),IF(INT($J233)-TODAY()&lt;=Set_DueSoonDays,INT($J233)+ROW()/10000,""),"")</f>
        <v/>
      </c>
    </row>
    <row r="234">
      <c r="A234" s="82" t="n"/>
      <c r="B234" s="82" t="n"/>
      <c r="C234" s="82" t="n"/>
      <c r="D234" s="83" t="n"/>
      <c r="E234" s="81" t="n"/>
      <c r="F234" s="82" t="n"/>
      <c r="G234" s="84" t="n"/>
      <c r="H234" s="81" t="n"/>
      <c r="I234" s="82" t="n"/>
      <c r="J234" s="81" t="n"/>
      <c r="K234" s="84" t="n"/>
      <c r="L234" s="86" t="n"/>
      <c r="M234" s="87">
        <f>IF(AND($A234&lt;&gt;"",ISNUMBER($J234)),IF(INT($J234)-TODAY()&lt;=Set_DueSoonDays,INT($J234)+ROW()/10000,""),"")</f>
        <v/>
      </c>
    </row>
    <row r="235">
      <c r="A235" s="82" t="n"/>
      <c r="B235" s="82" t="n"/>
      <c r="C235" s="82" t="n"/>
      <c r="D235" s="83" t="n"/>
      <c r="E235" s="81" t="n"/>
      <c r="F235" s="82" t="n"/>
      <c r="G235" s="84" t="n"/>
      <c r="H235" s="81" t="n"/>
      <c r="I235" s="82" t="n"/>
      <c r="J235" s="81" t="n"/>
      <c r="K235" s="84" t="n"/>
      <c r="L235" s="86" t="n"/>
      <c r="M235" s="87">
        <f>IF(AND($A235&lt;&gt;"",ISNUMBER($J235)),IF(INT($J235)-TODAY()&lt;=Set_DueSoonDays,INT($J235)+ROW()/10000,""),"")</f>
        <v/>
      </c>
    </row>
    <row r="236">
      <c r="A236" s="82" t="n"/>
      <c r="B236" s="82" t="n"/>
      <c r="C236" s="82" t="n"/>
      <c r="D236" s="83" t="n"/>
      <c r="E236" s="81" t="n"/>
      <c r="F236" s="82" t="n"/>
      <c r="G236" s="84" t="n"/>
      <c r="H236" s="81" t="n"/>
      <c r="I236" s="82" t="n"/>
      <c r="J236" s="81" t="n"/>
      <c r="K236" s="84" t="n"/>
      <c r="L236" s="86" t="n"/>
      <c r="M236" s="87">
        <f>IF(AND($A236&lt;&gt;"",ISNUMBER($J236)),IF(INT($J236)-TODAY()&lt;=Set_DueSoonDays,INT($J236)+ROW()/10000,""),"")</f>
        <v/>
      </c>
    </row>
    <row r="237">
      <c r="A237" s="82" t="n"/>
      <c r="B237" s="82" t="n"/>
      <c r="C237" s="82" t="n"/>
      <c r="D237" s="83" t="n"/>
      <c r="E237" s="81" t="n"/>
      <c r="F237" s="82" t="n"/>
      <c r="G237" s="84" t="n"/>
      <c r="H237" s="81" t="n"/>
      <c r="I237" s="82" t="n"/>
      <c r="J237" s="81" t="n"/>
      <c r="K237" s="84" t="n"/>
      <c r="L237" s="86" t="n"/>
      <c r="M237" s="87">
        <f>IF(AND($A237&lt;&gt;"",ISNUMBER($J237)),IF(INT($J237)-TODAY()&lt;=Set_DueSoonDays,INT($J237)+ROW()/10000,""),"")</f>
        <v/>
      </c>
    </row>
    <row r="238">
      <c r="A238" s="82" t="n"/>
      <c r="B238" s="82" t="n"/>
      <c r="C238" s="82" t="n"/>
      <c r="D238" s="83" t="n"/>
      <c r="E238" s="81" t="n"/>
      <c r="F238" s="82" t="n"/>
      <c r="G238" s="84" t="n"/>
      <c r="H238" s="81" t="n"/>
      <c r="I238" s="82" t="n"/>
      <c r="J238" s="81" t="n"/>
      <c r="K238" s="84" t="n"/>
      <c r="L238" s="86" t="n"/>
      <c r="M238" s="87">
        <f>IF(AND($A238&lt;&gt;"",ISNUMBER($J238)),IF(INT($J238)-TODAY()&lt;=Set_DueSoonDays,INT($J238)+ROW()/10000,""),"")</f>
        <v/>
      </c>
    </row>
    <row r="239">
      <c r="A239" s="82" t="n"/>
      <c r="B239" s="82" t="n"/>
      <c r="C239" s="82" t="n"/>
      <c r="D239" s="83" t="n"/>
      <c r="E239" s="81" t="n"/>
      <c r="F239" s="82" t="n"/>
      <c r="G239" s="84" t="n"/>
      <c r="H239" s="81" t="n"/>
      <c r="I239" s="82" t="n"/>
      <c r="J239" s="81" t="n"/>
      <c r="K239" s="84" t="n"/>
      <c r="L239" s="86" t="n"/>
      <c r="M239" s="87">
        <f>IF(AND($A239&lt;&gt;"",ISNUMBER($J239)),IF(INT($J239)-TODAY()&lt;=Set_DueSoonDays,INT($J239)+ROW()/10000,""),"")</f>
        <v/>
      </c>
    </row>
    <row r="240">
      <c r="A240" s="82" t="n"/>
      <c r="B240" s="82" t="n"/>
      <c r="C240" s="82" t="n"/>
      <c r="D240" s="83" t="n"/>
      <c r="E240" s="81" t="n"/>
      <c r="F240" s="82" t="n"/>
      <c r="G240" s="84" t="n"/>
      <c r="H240" s="81" t="n"/>
      <c r="I240" s="82" t="n"/>
      <c r="J240" s="81" t="n"/>
      <c r="K240" s="84" t="n"/>
      <c r="L240" s="86" t="n"/>
      <c r="M240" s="87">
        <f>IF(AND($A240&lt;&gt;"",ISNUMBER($J240)),IF(INT($J240)-TODAY()&lt;=Set_DueSoonDays,INT($J240)+ROW()/10000,""),"")</f>
        <v/>
      </c>
    </row>
    <row r="241">
      <c r="A241" s="82" t="n"/>
      <c r="B241" s="82" t="n"/>
      <c r="C241" s="82" t="n"/>
      <c r="D241" s="83" t="n"/>
      <c r="E241" s="81" t="n"/>
      <c r="F241" s="82" t="n"/>
      <c r="G241" s="84" t="n"/>
      <c r="H241" s="81" t="n"/>
      <c r="I241" s="82" t="n"/>
      <c r="J241" s="81" t="n"/>
      <c r="K241" s="84" t="n"/>
      <c r="L241" s="86" t="n"/>
      <c r="M241" s="87">
        <f>IF(AND($A241&lt;&gt;"",ISNUMBER($J241)),IF(INT($J241)-TODAY()&lt;=Set_DueSoonDays,INT($J241)+ROW()/10000,""),"")</f>
        <v/>
      </c>
    </row>
    <row r="242">
      <c r="A242" s="82" t="n"/>
      <c r="B242" s="82" t="n"/>
      <c r="C242" s="82" t="n"/>
      <c r="D242" s="83" t="n"/>
      <c r="E242" s="81" t="n"/>
      <c r="F242" s="82" t="n"/>
      <c r="G242" s="84" t="n"/>
      <c r="H242" s="81" t="n"/>
      <c r="I242" s="82" t="n"/>
      <c r="J242" s="81" t="n"/>
      <c r="K242" s="84" t="n"/>
      <c r="L242" s="86" t="n"/>
      <c r="M242" s="87">
        <f>IF(AND($A242&lt;&gt;"",ISNUMBER($J242)),IF(INT($J242)-TODAY()&lt;=Set_DueSoonDays,INT($J242)+ROW()/10000,""),"")</f>
        <v/>
      </c>
    </row>
    <row r="243">
      <c r="A243" s="82" t="n"/>
      <c r="B243" s="82" t="n"/>
      <c r="C243" s="82" t="n"/>
      <c r="D243" s="83" t="n"/>
      <c r="E243" s="81" t="n"/>
      <c r="F243" s="82" t="n"/>
      <c r="G243" s="84" t="n"/>
      <c r="H243" s="81" t="n"/>
      <c r="I243" s="82" t="n"/>
      <c r="J243" s="81" t="n"/>
      <c r="K243" s="84" t="n"/>
      <c r="L243" s="86" t="n"/>
      <c r="M243" s="87">
        <f>IF(AND($A243&lt;&gt;"",ISNUMBER($J243)),IF(INT($J243)-TODAY()&lt;=Set_DueSoonDays,INT($J243)+ROW()/10000,""),"")</f>
        <v/>
      </c>
    </row>
    <row r="244">
      <c r="A244" s="82" t="n"/>
      <c r="B244" s="82" t="n"/>
      <c r="C244" s="82" t="n"/>
      <c r="D244" s="83" t="n"/>
      <c r="E244" s="81" t="n"/>
      <c r="F244" s="82" t="n"/>
      <c r="G244" s="84" t="n"/>
      <c r="H244" s="81" t="n"/>
      <c r="I244" s="82" t="n"/>
      <c r="J244" s="81" t="n"/>
      <c r="K244" s="84" t="n"/>
      <c r="L244" s="86" t="n"/>
      <c r="M244" s="87">
        <f>IF(AND($A244&lt;&gt;"",ISNUMBER($J244)),IF(INT($J244)-TODAY()&lt;=Set_DueSoonDays,INT($J244)+ROW()/10000,""),"")</f>
        <v/>
      </c>
    </row>
    <row r="245">
      <c r="A245" s="82" t="n"/>
      <c r="B245" s="82" t="n"/>
      <c r="C245" s="82" t="n"/>
      <c r="D245" s="83" t="n"/>
      <c r="E245" s="81" t="n"/>
      <c r="F245" s="82" t="n"/>
      <c r="G245" s="84" t="n"/>
      <c r="H245" s="81" t="n"/>
      <c r="I245" s="82" t="n"/>
      <c r="J245" s="81" t="n"/>
      <c r="K245" s="84" t="n"/>
      <c r="L245" s="86" t="n"/>
      <c r="M245" s="87">
        <f>IF(AND($A245&lt;&gt;"",ISNUMBER($J245)),IF(INT($J245)-TODAY()&lt;=Set_DueSoonDays,INT($J245)+ROW()/10000,""),"")</f>
        <v/>
      </c>
    </row>
    <row r="246">
      <c r="A246" s="82" t="n"/>
      <c r="B246" s="82" t="n"/>
      <c r="C246" s="82" t="n"/>
      <c r="D246" s="83" t="n"/>
      <c r="E246" s="81" t="n"/>
      <c r="F246" s="82" t="n"/>
      <c r="G246" s="84" t="n"/>
      <c r="H246" s="81" t="n"/>
      <c r="I246" s="82" t="n"/>
      <c r="J246" s="81" t="n"/>
      <c r="K246" s="84" t="n"/>
      <c r="L246" s="86" t="n"/>
      <c r="M246" s="87">
        <f>IF(AND($A246&lt;&gt;"",ISNUMBER($J246)),IF(INT($J246)-TODAY()&lt;=Set_DueSoonDays,INT($J246)+ROW()/10000,""),"")</f>
        <v/>
      </c>
    </row>
    <row r="247">
      <c r="A247" s="82" t="n"/>
      <c r="B247" s="82" t="n"/>
      <c r="C247" s="82" t="n"/>
      <c r="D247" s="83" t="n"/>
      <c r="E247" s="81" t="n"/>
      <c r="F247" s="82" t="n"/>
      <c r="G247" s="84" t="n"/>
      <c r="H247" s="81" t="n"/>
      <c r="I247" s="82" t="n"/>
      <c r="J247" s="81" t="n"/>
      <c r="K247" s="84" t="n"/>
      <c r="L247" s="86" t="n"/>
      <c r="M247" s="87">
        <f>IF(AND($A247&lt;&gt;"",ISNUMBER($J247)),IF(INT($J247)-TODAY()&lt;=Set_DueSoonDays,INT($J247)+ROW()/10000,""),"")</f>
        <v/>
      </c>
    </row>
    <row r="248">
      <c r="A248" s="82" t="n"/>
      <c r="B248" s="82" t="n"/>
      <c r="C248" s="82" t="n"/>
      <c r="D248" s="83" t="n"/>
      <c r="E248" s="81" t="n"/>
      <c r="F248" s="82" t="n"/>
      <c r="G248" s="84" t="n"/>
      <c r="H248" s="81" t="n"/>
      <c r="I248" s="82" t="n"/>
      <c r="J248" s="81" t="n"/>
      <c r="K248" s="84" t="n"/>
      <c r="L248" s="86" t="n"/>
      <c r="M248" s="87">
        <f>IF(AND($A248&lt;&gt;"",ISNUMBER($J248)),IF(INT($J248)-TODAY()&lt;=Set_DueSoonDays,INT($J248)+ROW()/10000,""),"")</f>
        <v/>
      </c>
    </row>
    <row r="249">
      <c r="A249" s="82" t="n"/>
      <c r="B249" s="82" t="n"/>
      <c r="C249" s="82" t="n"/>
      <c r="D249" s="83" t="n"/>
      <c r="E249" s="81" t="n"/>
      <c r="F249" s="82" t="n"/>
      <c r="G249" s="84" t="n"/>
      <c r="H249" s="81" t="n"/>
      <c r="I249" s="82" t="n"/>
      <c r="J249" s="81" t="n"/>
      <c r="K249" s="84" t="n"/>
      <c r="L249" s="86" t="n"/>
      <c r="M249" s="87">
        <f>IF(AND($A249&lt;&gt;"",ISNUMBER($J249)),IF(INT($J249)-TODAY()&lt;=Set_DueSoonDays,INT($J249)+ROW()/10000,""),"")</f>
        <v/>
      </c>
    </row>
    <row r="250">
      <c r="A250" s="82" t="n"/>
      <c r="B250" s="82" t="n"/>
      <c r="C250" s="82" t="n"/>
      <c r="D250" s="83" t="n"/>
      <c r="E250" s="81" t="n"/>
      <c r="F250" s="82" t="n"/>
      <c r="G250" s="84" t="n"/>
      <c r="H250" s="81" t="n"/>
      <c r="I250" s="82" t="n"/>
      <c r="J250" s="81" t="n"/>
      <c r="K250" s="84" t="n"/>
      <c r="L250" s="86" t="n"/>
      <c r="M250" s="87">
        <f>IF(AND($A250&lt;&gt;"",ISNUMBER($J250)),IF(INT($J250)-TODAY()&lt;=Set_DueSoonDays,INT($J250)+ROW()/10000,""),"")</f>
        <v/>
      </c>
    </row>
    <row r="251">
      <c r="A251" s="82" t="n"/>
      <c r="B251" s="82" t="n"/>
      <c r="C251" s="82" t="n"/>
      <c r="D251" s="83" t="n"/>
      <c r="E251" s="81" t="n"/>
      <c r="F251" s="82" t="n"/>
      <c r="G251" s="84" t="n"/>
      <c r="H251" s="81" t="n"/>
      <c r="I251" s="82" t="n"/>
      <c r="J251" s="81" t="n"/>
      <c r="K251" s="84" t="n"/>
      <c r="L251" s="86" t="n"/>
      <c r="M251" s="87">
        <f>IF(AND($A251&lt;&gt;"",ISNUMBER($J251)),IF(INT($J251)-TODAY()&lt;=Set_DueSoonDays,INT($J251)+ROW()/10000,""),"")</f>
        <v/>
      </c>
    </row>
    <row r="252">
      <c r="A252" s="82" t="n"/>
      <c r="B252" s="82" t="n"/>
      <c r="C252" s="82" t="n"/>
      <c r="D252" s="83" t="n"/>
      <c r="E252" s="81" t="n"/>
      <c r="F252" s="82" t="n"/>
      <c r="G252" s="84" t="n"/>
      <c r="H252" s="81" t="n"/>
      <c r="I252" s="82" t="n"/>
      <c r="J252" s="81" t="n"/>
      <c r="K252" s="84" t="n"/>
      <c r="L252" s="86" t="n"/>
      <c r="M252" s="87">
        <f>IF(AND($A252&lt;&gt;"",ISNUMBER($J252)),IF(INT($J252)-TODAY()&lt;=Set_DueSoonDays,INT($J252)+ROW()/10000,""),"")</f>
        <v/>
      </c>
    </row>
    <row r="253">
      <c r="A253" s="82" t="n"/>
      <c r="B253" s="82" t="n"/>
      <c r="C253" s="82" t="n"/>
      <c r="D253" s="83" t="n"/>
      <c r="E253" s="81" t="n"/>
      <c r="F253" s="82" t="n"/>
      <c r="G253" s="84" t="n"/>
      <c r="H253" s="81" t="n"/>
      <c r="I253" s="82" t="n"/>
      <c r="J253" s="81" t="n"/>
      <c r="K253" s="84" t="n"/>
      <c r="L253" s="86" t="n"/>
      <c r="M253" s="87">
        <f>IF(AND($A253&lt;&gt;"",ISNUMBER($J253)),IF(INT($J253)-TODAY()&lt;=Set_DueSoonDays,INT($J253)+ROW()/10000,""),"")</f>
        <v/>
      </c>
    </row>
    <row r="254">
      <c r="A254" s="82" t="n"/>
      <c r="B254" s="82" t="n"/>
      <c r="C254" s="82" t="n"/>
      <c r="D254" s="83" t="n"/>
      <c r="E254" s="81" t="n"/>
      <c r="F254" s="82" t="n"/>
      <c r="G254" s="84" t="n"/>
      <c r="H254" s="81" t="n"/>
      <c r="I254" s="82" t="n"/>
      <c r="J254" s="81" t="n"/>
      <c r="K254" s="84" t="n"/>
      <c r="L254" s="86" t="n"/>
      <c r="M254" s="87">
        <f>IF(AND($A254&lt;&gt;"",ISNUMBER($J254)),IF(INT($J254)-TODAY()&lt;=Set_DueSoonDays,INT($J254)+ROW()/10000,""),"")</f>
        <v/>
      </c>
    </row>
    <row r="255">
      <c r="A255" s="82" t="n"/>
      <c r="B255" s="82" t="n"/>
      <c r="C255" s="82" t="n"/>
      <c r="D255" s="83" t="n"/>
      <c r="E255" s="81" t="n"/>
      <c r="F255" s="82" t="n"/>
      <c r="G255" s="84" t="n"/>
      <c r="H255" s="81" t="n"/>
      <c r="I255" s="82" t="n"/>
      <c r="J255" s="81" t="n"/>
      <c r="K255" s="84" t="n"/>
      <c r="L255" s="86" t="n"/>
      <c r="M255" s="87">
        <f>IF(AND($A255&lt;&gt;"",ISNUMBER($J255)),IF(INT($J255)-TODAY()&lt;=Set_DueSoonDays,INT($J255)+ROW()/10000,""),"")</f>
        <v/>
      </c>
    </row>
    <row r="256">
      <c r="A256" s="82" t="n"/>
      <c r="B256" s="82" t="n"/>
      <c r="C256" s="82" t="n"/>
      <c r="D256" s="83" t="n"/>
      <c r="E256" s="81" t="n"/>
      <c r="F256" s="82" t="n"/>
      <c r="G256" s="84" t="n"/>
      <c r="H256" s="81" t="n"/>
      <c r="I256" s="82" t="n"/>
      <c r="J256" s="81" t="n"/>
      <c r="K256" s="84" t="n"/>
      <c r="L256" s="86" t="n"/>
      <c r="M256" s="87">
        <f>IF(AND($A256&lt;&gt;"",ISNUMBER($J256)),IF(INT($J256)-TODAY()&lt;=Set_DueSoonDays,INT($J256)+ROW()/10000,""),"")</f>
        <v/>
      </c>
    </row>
    <row r="257">
      <c r="A257" s="82" t="n"/>
      <c r="B257" s="82" t="n"/>
      <c r="C257" s="82" t="n"/>
      <c r="D257" s="83" t="n"/>
      <c r="E257" s="81" t="n"/>
      <c r="F257" s="82" t="n"/>
      <c r="G257" s="84" t="n"/>
      <c r="H257" s="81" t="n"/>
      <c r="I257" s="82" t="n"/>
      <c r="J257" s="81" t="n"/>
      <c r="K257" s="84" t="n"/>
      <c r="L257" s="86" t="n"/>
      <c r="M257" s="87">
        <f>IF(AND($A257&lt;&gt;"",ISNUMBER($J257)),IF(INT($J257)-TODAY()&lt;=Set_DueSoonDays,INT($J257)+ROW()/10000,""),"")</f>
        <v/>
      </c>
    </row>
    <row r="258">
      <c r="A258" s="82" t="n"/>
      <c r="B258" s="82" t="n"/>
      <c r="C258" s="82" t="n"/>
      <c r="D258" s="83" t="n"/>
      <c r="E258" s="81" t="n"/>
      <c r="F258" s="82" t="n"/>
      <c r="G258" s="84" t="n"/>
      <c r="H258" s="81" t="n"/>
      <c r="I258" s="82" t="n"/>
      <c r="J258" s="81" t="n"/>
      <c r="K258" s="84" t="n"/>
      <c r="L258" s="86" t="n"/>
      <c r="M258" s="87">
        <f>IF(AND($A258&lt;&gt;"",ISNUMBER($J258)),IF(INT($J258)-TODAY()&lt;=Set_DueSoonDays,INT($J258)+ROW()/10000,""),"")</f>
        <v/>
      </c>
    </row>
    <row r="259">
      <c r="A259" s="82" t="n"/>
      <c r="B259" s="82" t="n"/>
      <c r="C259" s="82" t="n"/>
      <c r="D259" s="83" t="n"/>
      <c r="E259" s="81" t="n"/>
      <c r="F259" s="82" t="n"/>
      <c r="G259" s="84" t="n"/>
      <c r="H259" s="81" t="n"/>
      <c r="I259" s="82" t="n"/>
      <c r="J259" s="81" t="n"/>
      <c r="K259" s="84" t="n"/>
      <c r="L259" s="86" t="n"/>
      <c r="M259" s="87">
        <f>IF(AND($A259&lt;&gt;"",ISNUMBER($J259)),IF(INT($J259)-TODAY()&lt;=Set_DueSoonDays,INT($J259)+ROW()/10000,""),"")</f>
        <v/>
      </c>
    </row>
    <row r="260">
      <c r="A260" s="82" t="n"/>
      <c r="B260" s="82" t="n"/>
      <c r="C260" s="82" t="n"/>
      <c r="D260" s="83" t="n"/>
      <c r="E260" s="81" t="n"/>
      <c r="F260" s="82" t="n"/>
      <c r="G260" s="84" t="n"/>
      <c r="H260" s="81" t="n"/>
      <c r="I260" s="82" t="n"/>
      <c r="J260" s="81" t="n"/>
      <c r="K260" s="84" t="n"/>
      <c r="L260" s="86" t="n"/>
      <c r="M260" s="87">
        <f>IF(AND($A260&lt;&gt;"",ISNUMBER($J260)),IF(INT($J260)-TODAY()&lt;=Set_DueSoonDays,INT($J260)+ROW()/10000,""),"")</f>
        <v/>
      </c>
    </row>
    <row r="261">
      <c r="A261" s="82" t="n"/>
      <c r="B261" s="82" t="n"/>
      <c r="C261" s="82" t="n"/>
      <c r="D261" s="83" t="n"/>
      <c r="E261" s="81" t="n"/>
      <c r="F261" s="82" t="n"/>
      <c r="G261" s="84" t="n"/>
      <c r="H261" s="81" t="n"/>
      <c r="I261" s="82" t="n"/>
      <c r="J261" s="81" t="n"/>
      <c r="K261" s="84" t="n"/>
      <c r="L261" s="86" t="n"/>
      <c r="M261" s="87">
        <f>IF(AND($A261&lt;&gt;"",ISNUMBER($J261)),IF(INT($J261)-TODAY()&lt;=Set_DueSoonDays,INT($J261)+ROW()/10000,""),"")</f>
        <v/>
      </c>
    </row>
    <row r="262">
      <c r="A262" s="82" t="n"/>
      <c r="B262" s="82" t="n"/>
      <c r="C262" s="82" t="n"/>
      <c r="D262" s="83" t="n"/>
      <c r="E262" s="81" t="n"/>
      <c r="F262" s="82" t="n"/>
      <c r="G262" s="84" t="n"/>
      <c r="H262" s="81" t="n"/>
      <c r="I262" s="82" t="n"/>
      <c r="J262" s="81" t="n"/>
      <c r="K262" s="84" t="n"/>
      <c r="L262" s="86" t="n"/>
      <c r="M262" s="87">
        <f>IF(AND($A262&lt;&gt;"",ISNUMBER($J262)),IF(INT($J262)-TODAY()&lt;=Set_DueSoonDays,INT($J262)+ROW()/10000,""),"")</f>
        <v/>
      </c>
    </row>
    <row r="263">
      <c r="A263" s="82" t="n"/>
      <c r="B263" s="82" t="n"/>
      <c r="C263" s="82" t="n"/>
      <c r="D263" s="83" t="n"/>
      <c r="E263" s="81" t="n"/>
      <c r="F263" s="82" t="n"/>
      <c r="G263" s="84" t="n"/>
      <c r="H263" s="81" t="n"/>
      <c r="I263" s="82" t="n"/>
      <c r="J263" s="81" t="n"/>
      <c r="K263" s="84" t="n"/>
      <c r="L263" s="86" t="n"/>
      <c r="M263" s="87">
        <f>IF(AND($A263&lt;&gt;"",ISNUMBER($J263)),IF(INT($J263)-TODAY()&lt;=Set_DueSoonDays,INT($J263)+ROW()/10000,""),"")</f>
        <v/>
      </c>
    </row>
    <row r="264">
      <c r="A264" s="82" t="n"/>
      <c r="B264" s="82" t="n"/>
      <c r="C264" s="82" t="n"/>
      <c r="D264" s="83" t="n"/>
      <c r="E264" s="81" t="n"/>
      <c r="F264" s="82" t="n"/>
      <c r="G264" s="84" t="n"/>
      <c r="H264" s="81" t="n"/>
      <c r="I264" s="82" t="n"/>
      <c r="J264" s="81" t="n"/>
      <c r="K264" s="84" t="n"/>
      <c r="L264" s="86" t="n"/>
      <c r="M264" s="87">
        <f>IF(AND($A264&lt;&gt;"",ISNUMBER($J264)),IF(INT($J264)-TODAY()&lt;=Set_DueSoonDays,INT($J264)+ROW()/10000,""),"")</f>
        <v/>
      </c>
    </row>
    <row r="265">
      <c r="A265" s="82" t="n"/>
      <c r="B265" s="82" t="n"/>
      <c r="C265" s="82" t="n"/>
      <c r="D265" s="83" t="n"/>
      <c r="E265" s="81" t="n"/>
      <c r="F265" s="82" t="n"/>
      <c r="G265" s="84" t="n"/>
      <c r="H265" s="81" t="n"/>
      <c r="I265" s="82" t="n"/>
      <c r="J265" s="81" t="n"/>
      <c r="K265" s="84" t="n"/>
      <c r="L265" s="86" t="n"/>
      <c r="M265" s="87">
        <f>IF(AND($A265&lt;&gt;"",ISNUMBER($J265)),IF(INT($J265)-TODAY()&lt;=Set_DueSoonDays,INT($J265)+ROW()/10000,""),"")</f>
        <v/>
      </c>
    </row>
    <row r="266">
      <c r="A266" s="82" t="n"/>
      <c r="B266" s="82" t="n"/>
      <c r="C266" s="82" t="n"/>
      <c r="D266" s="83" t="n"/>
      <c r="E266" s="81" t="n"/>
      <c r="F266" s="82" t="n"/>
      <c r="G266" s="84" t="n"/>
      <c r="H266" s="81" t="n"/>
      <c r="I266" s="82" t="n"/>
      <c r="J266" s="81" t="n"/>
      <c r="K266" s="84" t="n"/>
      <c r="L266" s="86" t="n"/>
      <c r="M266" s="87">
        <f>IF(AND($A266&lt;&gt;"",ISNUMBER($J266)),IF(INT($J266)-TODAY()&lt;=Set_DueSoonDays,INT($J266)+ROW()/10000,""),"")</f>
        <v/>
      </c>
    </row>
    <row r="267">
      <c r="A267" s="82" t="n"/>
      <c r="B267" s="82" t="n"/>
      <c r="C267" s="82" t="n"/>
      <c r="D267" s="83" t="n"/>
      <c r="E267" s="81" t="n"/>
      <c r="F267" s="82" t="n"/>
      <c r="G267" s="84" t="n"/>
      <c r="H267" s="81" t="n"/>
      <c r="I267" s="82" t="n"/>
      <c r="J267" s="81" t="n"/>
      <c r="K267" s="84" t="n"/>
      <c r="L267" s="86" t="n"/>
      <c r="M267" s="87">
        <f>IF(AND($A267&lt;&gt;"",ISNUMBER($J267)),IF(INT($J267)-TODAY()&lt;=Set_DueSoonDays,INT($J267)+ROW()/10000,""),"")</f>
        <v/>
      </c>
    </row>
    <row r="268">
      <c r="A268" s="82" t="n"/>
      <c r="B268" s="82" t="n"/>
      <c r="C268" s="82" t="n"/>
      <c r="D268" s="83" t="n"/>
      <c r="E268" s="81" t="n"/>
      <c r="F268" s="82" t="n"/>
      <c r="G268" s="84" t="n"/>
      <c r="H268" s="81" t="n"/>
      <c r="I268" s="82" t="n"/>
      <c r="J268" s="81" t="n"/>
      <c r="K268" s="84" t="n"/>
      <c r="L268" s="86" t="n"/>
      <c r="M268" s="87">
        <f>IF(AND($A268&lt;&gt;"",ISNUMBER($J268)),IF(INT($J268)-TODAY()&lt;=Set_DueSoonDays,INT($J268)+ROW()/10000,""),"")</f>
        <v/>
      </c>
    </row>
    <row r="269">
      <c r="A269" s="82" t="n"/>
      <c r="B269" s="82" t="n"/>
      <c r="C269" s="82" t="n"/>
      <c r="D269" s="83" t="n"/>
      <c r="E269" s="81" t="n"/>
      <c r="F269" s="82" t="n"/>
      <c r="G269" s="84" t="n"/>
      <c r="H269" s="81" t="n"/>
      <c r="I269" s="82" t="n"/>
      <c r="J269" s="81" t="n"/>
      <c r="K269" s="84" t="n"/>
      <c r="L269" s="86" t="n"/>
      <c r="M269" s="87">
        <f>IF(AND($A269&lt;&gt;"",ISNUMBER($J269)),IF(INT($J269)-TODAY()&lt;=Set_DueSoonDays,INT($J269)+ROW()/10000,""),"")</f>
        <v/>
      </c>
    </row>
    <row r="270">
      <c r="A270" s="82" t="n"/>
      <c r="B270" s="82" t="n"/>
      <c r="C270" s="82" t="n"/>
      <c r="D270" s="83" t="n"/>
      <c r="E270" s="81" t="n"/>
      <c r="F270" s="82" t="n"/>
      <c r="G270" s="84" t="n"/>
      <c r="H270" s="81" t="n"/>
      <c r="I270" s="82" t="n"/>
      <c r="J270" s="81" t="n"/>
      <c r="K270" s="84" t="n"/>
      <c r="L270" s="86" t="n"/>
      <c r="M270" s="87">
        <f>IF(AND($A270&lt;&gt;"",ISNUMBER($J270)),IF(INT($J270)-TODAY()&lt;=Set_DueSoonDays,INT($J270)+ROW()/10000,""),"")</f>
        <v/>
      </c>
    </row>
    <row r="271">
      <c r="A271" s="82" t="n"/>
      <c r="B271" s="82" t="n"/>
      <c r="C271" s="82" t="n"/>
      <c r="D271" s="83" t="n"/>
      <c r="E271" s="81" t="n"/>
      <c r="F271" s="82" t="n"/>
      <c r="G271" s="84" t="n"/>
      <c r="H271" s="81" t="n"/>
      <c r="I271" s="82" t="n"/>
      <c r="J271" s="81" t="n"/>
      <c r="K271" s="84" t="n"/>
      <c r="L271" s="86" t="n"/>
      <c r="M271" s="87">
        <f>IF(AND($A271&lt;&gt;"",ISNUMBER($J271)),IF(INT($J271)-TODAY()&lt;=Set_DueSoonDays,INT($J271)+ROW()/10000,""),"")</f>
        <v/>
      </c>
    </row>
    <row r="272">
      <c r="A272" s="82" t="n"/>
      <c r="B272" s="82" t="n"/>
      <c r="C272" s="82" t="n"/>
      <c r="D272" s="83" t="n"/>
      <c r="E272" s="81" t="n"/>
      <c r="F272" s="82" t="n"/>
      <c r="G272" s="84" t="n"/>
      <c r="H272" s="81" t="n"/>
      <c r="I272" s="82" t="n"/>
      <c r="J272" s="81" t="n"/>
      <c r="K272" s="84" t="n"/>
      <c r="L272" s="86" t="n"/>
      <c r="M272" s="87">
        <f>IF(AND($A272&lt;&gt;"",ISNUMBER($J272)),IF(INT($J272)-TODAY()&lt;=Set_DueSoonDays,INT($J272)+ROW()/10000,""),"")</f>
        <v/>
      </c>
    </row>
    <row r="273">
      <c r="A273" s="82" t="n"/>
      <c r="B273" s="82" t="n"/>
      <c r="C273" s="82" t="n"/>
      <c r="D273" s="83" t="n"/>
      <c r="E273" s="81" t="n"/>
      <c r="F273" s="82" t="n"/>
      <c r="G273" s="84" t="n"/>
      <c r="H273" s="81" t="n"/>
      <c r="I273" s="82" t="n"/>
      <c r="J273" s="81" t="n"/>
      <c r="K273" s="84" t="n"/>
      <c r="L273" s="86" t="n"/>
      <c r="M273" s="87">
        <f>IF(AND($A273&lt;&gt;"",ISNUMBER($J273)),IF(INT($J273)-TODAY()&lt;=Set_DueSoonDays,INT($J273)+ROW()/10000,""),"")</f>
        <v/>
      </c>
    </row>
    <row r="274">
      <c r="A274" s="82" t="n"/>
      <c r="B274" s="82" t="n"/>
      <c r="C274" s="82" t="n"/>
      <c r="D274" s="83" t="n"/>
      <c r="E274" s="81" t="n"/>
      <c r="F274" s="82" t="n"/>
      <c r="G274" s="84" t="n"/>
      <c r="H274" s="81" t="n"/>
      <c r="I274" s="82" t="n"/>
      <c r="J274" s="81" t="n"/>
      <c r="K274" s="84" t="n"/>
      <c r="L274" s="86" t="n"/>
      <c r="M274" s="87">
        <f>IF(AND($A274&lt;&gt;"",ISNUMBER($J274)),IF(INT($J274)-TODAY()&lt;=Set_DueSoonDays,INT($J274)+ROW()/10000,""),"")</f>
        <v/>
      </c>
    </row>
    <row r="275">
      <c r="A275" s="82" t="n"/>
      <c r="B275" s="82" t="n"/>
      <c r="C275" s="82" t="n"/>
      <c r="D275" s="83" t="n"/>
      <c r="E275" s="81" t="n"/>
      <c r="F275" s="82" t="n"/>
      <c r="G275" s="84" t="n"/>
      <c r="H275" s="81" t="n"/>
      <c r="I275" s="82" t="n"/>
      <c r="J275" s="81" t="n"/>
      <c r="K275" s="84" t="n"/>
      <c r="L275" s="86" t="n"/>
      <c r="M275" s="87">
        <f>IF(AND($A275&lt;&gt;"",ISNUMBER($J275)),IF(INT($J275)-TODAY()&lt;=Set_DueSoonDays,INT($J275)+ROW()/10000,""),"")</f>
        <v/>
      </c>
    </row>
    <row r="276">
      <c r="A276" s="82" t="n"/>
      <c r="B276" s="82" t="n"/>
      <c r="C276" s="82" t="n"/>
      <c r="D276" s="83" t="n"/>
      <c r="E276" s="81" t="n"/>
      <c r="F276" s="82" t="n"/>
      <c r="G276" s="84" t="n"/>
      <c r="H276" s="81" t="n"/>
      <c r="I276" s="82" t="n"/>
      <c r="J276" s="81" t="n"/>
      <c r="K276" s="84" t="n"/>
      <c r="L276" s="86" t="n"/>
      <c r="M276" s="87">
        <f>IF(AND($A276&lt;&gt;"",ISNUMBER($J276)),IF(INT($J276)-TODAY()&lt;=Set_DueSoonDays,INT($J276)+ROW()/10000,""),"")</f>
        <v/>
      </c>
    </row>
    <row r="277">
      <c r="A277" s="82" t="n"/>
      <c r="B277" s="82" t="n"/>
      <c r="C277" s="82" t="n"/>
      <c r="D277" s="83" t="n"/>
      <c r="E277" s="81" t="n"/>
      <c r="F277" s="82" t="n"/>
      <c r="G277" s="84" t="n"/>
      <c r="H277" s="81" t="n"/>
      <c r="I277" s="82" t="n"/>
      <c r="J277" s="81" t="n"/>
      <c r="K277" s="84" t="n"/>
      <c r="L277" s="86" t="n"/>
      <c r="M277" s="87">
        <f>IF(AND($A277&lt;&gt;"",ISNUMBER($J277)),IF(INT($J277)-TODAY()&lt;=Set_DueSoonDays,INT($J277)+ROW()/10000,""),"")</f>
        <v/>
      </c>
    </row>
    <row r="278">
      <c r="A278" s="82" t="n"/>
      <c r="B278" s="82" t="n"/>
      <c r="C278" s="82" t="n"/>
      <c r="D278" s="83" t="n"/>
      <c r="E278" s="81" t="n"/>
      <c r="F278" s="82" t="n"/>
      <c r="G278" s="84" t="n"/>
      <c r="H278" s="81" t="n"/>
      <c r="I278" s="82" t="n"/>
      <c r="J278" s="81" t="n"/>
      <c r="K278" s="84" t="n"/>
      <c r="L278" s="86" t="n"/>
      <c r="M278" s="87">
        <f>IF(AND($A278&lt;&gt;"",ISNUMBER($J278)),IF(INT($J278)-TODAY()&lt;=Set_DueSoonDays,INT($J278)+ROW()/10000,""),"")</f>
        <v/>
      </c>
    </row>
    <row r="279">
      <c r="A279" s="82" t="n"/>
      <c r="B279" s="82" t="n"/>
      <c r="C279" s="82" t="n"/>
      <c r="D279" s="83" t="n"/>
      <c r="E279" s="81" t="n"/>
      <c r="F279" s="82" t="n"/>
      <c r="G279" s="84" t="n"/>
      <c r="H279" s="81" t="n"/>
      <c r="I279" s="82" t="n"/>
      <c r="J279" s="81" t="n"/>
      <c r="K279" s="84" t="n"/>
      <c r="L279" s="86" t="n"/>
      <c r="M279" s="87">
        <f>IF(AND($A279&lt;&gt;"",ISNUMBER($J279)),IF(INT($J279)-TODAY()&lt;=Set_DueSoonDays,INT($J279)+ROW()/10000,""),"")</f>
        <v/>
      </c>
    </row>
    <row r="280">
      <c r="A280" s="82" t="n"/>
      <c r="B280" s="82" t="n"/>
      <c r="C280" s="82" t="n"/>
      <c r="D280" s="83" t="n"/>
      <c r="E280" s="81" t="n"/>
      <c r="F280" s="82" t="n"/>
      <c r="G280" s="84" t="n"/>
      <c r="H280" s="81" t="n"/>
      <c r="I280" s="82" t="n"/>
      <c r="J280" s="81" t="n"/>
      <c r="K280" s="84" t="n"/>
      <c r="L280" s="86" t="n"/>
      <c r="M280" s="87">
        <f>IF(AND($A280&lt;&gt;"",ISNUMBER($J280)),IF(INT($J280)-TODAY()&lt;=Set_DueSoonDays,INT($J280)+ROW()/10000,""),"")</f>
        <v/>
      </c>
    </row>
    <row r="281">
      <c r="A281" s="82" t="n"/>
      <c r="B281" s="82" t="n"/>
      <c r="C281" s="82" t="n"/>
      <c r="D281" s="83" t="n"/>
      <c r="E281" s="81" t="n"/>
      <c r="F281" s="82" t="n"/>
      <c r="G281" s="84" t="n"/>
      <c r="H281" s="81" t="n"/>
      <c r="I281" s="82" t="n"/>
      <c r="J281" s="81" t="n"/>
      <c r="K281" s="84" t="n"/>
      <c r="L281" s="86" t="n"/>
      <c r="M281" s="87">
        <f>IF(AND($A281&lt;&gt;"",ISNUMBER($J281)),IF(INT($J281)-TODAY()&lt;=Set_DueSoonDays,INT($J281)+ROW()/10000,""),"")</f>
        <v/>
      </c>
    </row>
    <row r="282">
      <c r="A282" s="82" t="n"/>
      <c r="B282" s="82" t="n"/>
      <c r="C282" s="82" t="n"/>
      <c r="D282" s="83" t="n"/>
      <c r="E282" s="81" t="n"/>
      <c r="F282" s="82" t="n"/>
      <c r="G282" s="84" t="n"/>
      <c r="H282" s="81" t="n"/>
      <c r="I282" s="82" t="n"/>
      <c r="J282" s="81" t="n"/>
      <c r="K282" s="84" t="n"/>
      <c r="L282" s="86" t="n"/>
      <c r="M282" s="87">
        <f>IF(AND($A282&lt;&gt;"",ISNUMBER($J282)),IF(INT($J282)-TODAY()&lt;=Set_DueSoonDays,INT($J282)+ROW()/10000,""),"")</f>
        <v/>
      </c>
    </row>
    <row r="283">
      <c r="A283" s="82" t="n"/>
      <c r="B283" s="82" t="n"/>
      <c r="C283" s="82" t="n"/>
      <c r="D283" s="83" t="n"/>
      <c r="E283" s="81" t="n"/>
      <c r="F283" s="82" t="n"/>
      <c r="G283" s="84" t="n"/>
      <c r="H283" s="81" t="n"/>
      <c r="I283" s="82" t="n"/>
      <c r="J283" s="81" t="n"/>
      <c r="K283" s="84" t="n"/>
      <c r="L283" s="86" t="n"/>
      <c r="M283" s="87">
        <f>IF(AND($A283&lt;&gt;"",ISNUMBER($J283)),IF(INT($J283)-TODAY()&lt;=Set_DueSoonDays,INT($J283)+ROW()/10000,""),"")</f>
        <v/>
      </c>
    </row>
    <row r="284">
      <c r="A284" s="82" t="n"/>
      <c r="B284" s="82" t="n"/>
      <c r="C284" s="82" t="n"/>
      <c r="D284" s="83" t="n"/>
      <c r="E284" s="81" t="n"/>
      <c r="F284" s="82" t="n"/>
      <c r="G284" s="84" t="n"/>
      <c r="H284" s="81" t="n"/>
      <c r="I284" s="82" t="n"/>
      <c r="J284" s="81" t="n"/>
      <c r="K284" s="84" t="n"/>
      <c r="L284" s="86" t="n"/>
      <c r="M284" s="87">
        <f>IF(AND($A284&lt;&gt;"",ISNUMBER($J284)),IF(INT($J284)-TODAY()&lt;=Set_DueSoonDays,INT($J284)+ROW()/10000,""),"")</f>
        <v/>
      </c>
    </row>
    <row r="285">
      <c r="A285" s="82" t="n"/>
      <c r="B285" s="82" t="n"/>
      <c r="C285" s="82" t="n"/>
      <c r="D285" s="83" t="n"/>
      <c r="E285" s="81" t="n"/>
      <c r="F285" s="82" t="n"/>
      <c r="G285" s="84" t="n"/>
      <c r="H285" s="81" t="n"/>
      <c r="I285" s="82" t="n"/>
      <c r="J285" s="81" t="n"/>
      <c r="K285" s="84" t="n"/>
      <c r="L285" s="86" t="n"/>
      <c r="M285" s="87">
        <f>IF(AND($A285&lt;&gt;"",ISNUMBER($J285)),IF(INT($J285)-TODAY()&lt;=Set_DueSoonDays,INT($J285)+ROW()/10000,""),"")</f>
        <v/>
      </c>
    </row>
    <row r="286">
      <c r="A286" s="82" t="n"/>
      <c r="B286" s="82" t="n"/>
      <c r="C286" s="82" t="n"/>
      <c r="D286" s="83" t="n"/>
      <c r="E286" s="81" t="n"/>
      <c r="F286" s="82" t="n"/>
      <c r="G286" s="84" t="n"/>
      <c r="H286" s="81" t="n"/>
      <c r="I286" s="82" t="n"/>
      <c r="J286" s="81" t="n"/>
      <c r="K286" s="84" t="n"/>
      <c r="L286" s="86" t="n"/>
      <c r="M286" s="87">
        <f>IF(AND($A286&lt;&gt;"",ISNUMBER($J286)),IF(INT($J286)-TODAY()&lt;=Set_DueSoonDays,INT($J286)+ROW()/10000,""),"")</f>
        <v/>
      </c>
    </row>
    <row r="287">
      <c r="A287" s="82" t="n"/>
      <c r="B287" s="82" t="n"/>
      <c r="C287" s="82" t="n"/>
      <c r="D287" s="83" t="n"/>
      <c r="E287" s="81" t="n"/>
      <c r="F287" s="82" t="n"/>
      <c r="G287" s="84" t="n"/>
      <c r="H287" s="81" t="n"/>
      <c r="I287" s="82" t="n"/>
      <c r="J287" s="81" t="n"/>
      <c r="K287" s="84" t="n"/>
      <c r="L287" s="86" t="n"/>
      <c r="M287" s="87">
        <f>IF(AND($A287&lt;&gt;"",ISNUMBER($J287)),IF(INT($J287)-TODAY()&lt;=Set_DueSoonDays,INT($J287)+ROW()/10000,""),"")</f>
        <v/>
      </c>
    </row>
    <row r="288">
      <c r="A288" s="82" t="n"/>
      <c r="B288" s="82" t="n"/>
      <c r="C288" s="82" t="n"/>
      <c r="D288" s="83" t="n"/>
      <c r="E288" s="81" t="n"/>
      <c r="F288" s="82" t="n"/>
      <c r="G288" s="84" t="n"/>
      <c r="H288" s="81" t="n"/>
      <c r="I288" s="82" t="n"/>
      <c r="J288" s="81" t="n"/>
      <c r="K288" s="84" t="n"/>
      <c r="L288" s="86" t="n"/>
      <c r="M288" s="87">
        <f>IF(AND($A288&lt;&gt;"",ISNUMBER($J288)),IF(INT($J288)-TODAY()&lt;=Set_DueSoonDays,INT($J288)+ROW()/10000,""),"")</f>
        <v/>
      </c>
    </row>
    <row r="289">
      <c r="A289" s="82" t="n"/>
      <c r="B289" s="82" t="n"/>
      <c r="C289" s="82" t="n"/>
      <c r="D289" s="83" t="n"/>
      <c r="E289" s="81" t="n"/>
      <c r="F289" s="82" t="n"/>
      <c r="G289" s="84" t="n"/>
      <c r="H289" s="81" t="n"/>
      <c r="I289" s="82" t="n"/>
      <c r="J289" s="81" t="n"/>
      <c r="K289" s="84" t="n"/>
      <c r="L289" s="86" t="n"/>
      <c r="M289" s="87">
        <f>IF(AND($A289&lt;&gt;"",ISNUMBER($J289)),IF(INT($J289)-TODAY()&lt;=Set_DueSoonDays,INT($J289)+ROW()/10000,""),"")</f>
        <v/>
      </c>
    </row>
    <row r="290">
      <c r="A290" s="82" t="n"/>
      <c r="B290" s="82" t="n"/>
      <c r="C290" s="82" t="n"/>
      <c r="D290" s="83" t="n"/>
      <c r="E290" s="81" t="n"/>
      <c r="F290" s="82" t="n"/>
      <c r="G290" s="84" t="n"/>
      <c r="H290" s="81" t="n"/>
      <c r="I290" s="82" t="n"/>
      <c r="J290" s="81" t="n"/>
      <c r="K290" s="84" t="n"/>
      <c r="L290" s="86" t="n"/>
      <c r="M290" s="87">
        <f>IF(AND($A290&lt;&gt;"",ISNUMBER($J290)),IF(INT($J290)-TODAY()&lt;=Set_DueSoonDays,INT($J290)+ROW()/10000,""),"")</f>
        <v/>
      </c>
    </row>
    <row r="291">
      <c r="A291" s="82" t="n"/>
      <c r="B291" s="82" t="n"/>
      <c r="C291" s="82" t="n"/>
      <c r="D291" s="83" t="n"/>
      <c r="E291" s="81" t="n"/>
      <c r="F291" s="82" t="n"/>
      <c r="G291" s="84" t="n"/>
      <c r="H291" s="81" t="n"/>
      <c r="I291" s="82" t="n"/>
      <c r="J291" s="81" t="n"/>
      <c r="K291" s="84" t="n"/>
      <c r="L291" s="86" t="n"/>
      <c r="M291" s="87">
        <f>IF(AND($A291&lt;&gt;"",ISNUMBER($J291)),IF(INT($J291)-TODAY()&lt;=Set_DueSoonDays,INT($J291)+ROW()/10000,""),"")</f>
        <v/>
      </c>
    </row>
    <row r="292">
      <c r="A292" s="82" t="n"/>
      <c r="B292" s="82" t="n"/>
      <c r="C292" s="82" t="n"/>
      <c r="D292" s="83" t="n"/>
      <c r="E292" s="81" t="n"/>
      <c r="F292" s="82" t="n"/>
      <c r="G292" s="84" t="n"/>
      <c r="H292" s="81" t="n"/>
      <c r="I292" s="82" t="n"/>
      <c r="J292" s="81" t="n"/>
      <c r="K292" s="84" t="n"/>
      <c r="L292" s="86" t="n"/>
      <c r="M292" s="87">
        <f>IF(AND($A292&lt;&gt;"",ISNUMBER($J292)),IF(INT($J292)-TODAY()&lt;=Set_DueSoonDays,INT($J292)+ROW()/10000,""),"")</f>
        <v/>
      </c>
    </row>
    <row r="293">
      <c r="A293" s="82" t="n"/>
      <c r="B293" s="82" t="n"/>
      <c r="C293" s="82" t="n"/>
      <c r="D293" s="83" t="n"/>
      <c r="E293" s="81" t="n"/>
      <c r="F293" s="82" t="n"/>
      <c r="G293" s="84" t="n"/>
      <c r="H293" s="81" t="n"/>
      <c r="I293" s="82" t="n"/>
      <c r="J293" s="81" t="n"/>
      <c r="K293" s="84" t="n"/>
      <c r="L293" s="86" t="n"/>
      <c r="M293" s="87">
        <f>IF(AND($A293&lt;&gt;"",ISNUMBER($J293)),IF(INT($J293)-TODAY()&lt;=Set_DueSoonDays,INT($J293)+ROW()/10000,""),"")</f>
        <v/>
      </c>
    </row>
    <row r="294">
      <c r="A294" s="82" t="n"/>
      <c r="B294" s="82" t="n"/>
      <c r="C294" s="82" t="n"/>
      <c r="D294" s="83" t="n"/>
      <c r="E294" s="81" t="n"/>
      <c r="F294" s="82" t="n"/>
      <c r="G294" s="84" t="n"/>
      <c r="H294" s="81" t="n"/>
      <c r="I294" s="82" t="n"/>
      <c r="J294" s="81" t="n"/>
      <c r="K294" s="84" t="n"/>
      <c r="L294" s="86" t="n"/>
      <c r="M294" s="87">
        <f>IF(AND($A294&lt;&gt;"",ISNUMBER($J294)),IF(INT($J294)-TODAY()&lt;=Set_DueSoonDays,INT($J294)+ROW()/10000,""),"")</f>
        <v/>
      </c>
    </row>
    <row r="295">
      <c r="A295" s="82" t="n"/>
      <c r="B295" s="82" t="n"/>
      <c r="C295" s="82" t="n"/>
      <c r="D295" s="83" t="n"/>
      <c r="E295" s="81" t="n"/>
      <c r="F295" s="82" t="n"/>
      <c r="G295" s="84" t="n"/>
      <c r="H295" s="81" t="n"/>
      <c r="I295" s="82" t="n"/>
      <c r="J295" s="81" t="n"/>
      <c r="K295" s="84" t="n"/>
      <c r="L295" s="86" t="n"/>
      <c r="M295" s="87">
        <f>IF(AND($A295&lt;&gt;"",ISNUMBER($J295)),IF(INT($J295)-TODAY()&lt;=Set_DueSoonDays,INT($J295)+ROW()/10000,""),"")</f>
        <v/>
      </c>
    </row>
    <row r="296">
      <c r="A296" s="82" t="n"/>
      <c r="B296" s="82" t="n"/>
      <c r="C296" s="82" t="n"/>
      <c r="D296" s="83" t="n"/>
      <c r="E296" s="81" t="n"/>
      <c r="F296" s="82" t="n"/>
      <c r="G296" s="84" t="n"/>
      <c r="H296" s="81" t="n"/>
      <c r="I296" s="82" t="n"/>
      <c r="J296" s="81" t="n"/>
      <c r="K296" s="84" t="n"/>
      <c r="L296" s="86" t="n"/>
      <c r="M296" s="87">
        <f>IF(AND($A296&lt;&gt;"",ISNUMBER($J296)),IF(INT($J296)-TODAY()&lt;=Set_DueSoonDays,INT($J296)+ROW()/10000,""),"")</f>
        <v/>
      </c>
    </row>
    <row r="297">
      <c r="A297" s="82" t="n"/>
      <c r="B297" s="82" t="n"/>
      <c r="C297" s="82" t="n"/>
      <c r="D297" s="83" t="n"/>
      <c r="E297" s="81" t="n"/>
      <c r="F297" s="82" t="n"/>
      <c r="G297" s="84" t="n"/>
      <c r="H297" s="81" t="n"/>
      <c r="I297" s="82" t="n"/>
      <c r="J297" s="81" t="n"/>
      <c r="K297" s="84" t="n"/>
      <c r="L297" s="86" t="n"/>
      <c r="M297" s="87">
        <f>IF(AND($A297&lt;&gt;"",ISNUMBER($J297)),IF(INT($J297)-TODAY()&lt;=Set_DueSoonDays,INT($J297)+ROW()/10000,""),"")</f>
        <v/>
      </c>
    </row>
    <row r="298">
      <c r="A298" s="82" t="n"/>
      <c r="B298" s="82" t="n"/>
      <c r="C298" s="82" t="n"/>
      <c r="D298" s="83" t="n"/>
      <c r="E298" s="81" t="n"/>
      <c r="F298" s="82" t="n"/>
      <c r="G298" s="84" t="n"/>
      <c r="H298" s="81" t="n"/>
      <c r="I298" s="82" t="n"/>
      <c r="J298" s="81" t="n"/>
      <c r="K298" s="84" t="n"/>
      <c r="L298" s="86" t="n"/>
      <c r="M298" s="87">
        <f>IF(AND($A298&lt;&gt;"",ISNUMBER($J298)),IF(INT($J298)-TODAY()&lt;=Set_DueSoonDays,INT($J298)+ROW()/10000,""),"")</f>
        <v/>
      </c>
    </row>
    <row r="299">
      <c r="A299" s="82" t="n"/>
      <c r="B299" s="82" t="n"/>
      <c r="C299" s="82" t="n"/>
      <c r="D299" s="83" t="n"/>
      <c r="E299" s="81" t="n"/>
      <c r="F299" s="82" t="n"/>
      <c r="G299" s="84" t="n"/>
      <c r="H299" s="81" t="n"/>
      <c r="I299" s="82" t="n"/>
      <c r="J299" s="81" t="n"/>
      <c r="K299" s="84" t="n"/>
      <c r="L299" s="86" t="n"/>
      <c r="M299" s="87">
        <f>IF(AND($A299&lt;&gt;"",ISNUMBER($J299)),IF(INT($J299)-TODAY()&lt;=Set_DueSoonDays,INT($J299)+ROW()/10000,""),"")</f>
        <v/>
      </c>
    </row>
    <row r="300">
      <c r="A300" s="82" t="n"/>
      <c r="B300" s="82" t="n"/>
      <c r="C300" s="82" t="n"/>
      <c r="D300" s="83" t="n"/>
      <c r="E300" s="81" t="n"/>
      <c r="F300" s="82" t="n"/>
      <c r="G300" s="84" t="n"/>
      <c r="H300" s="81" t="n"/>
      <c r="I300" s="82" t="n"/>
      <c r="J300" s="81" t="n"/>
      <c r="K300" s="84" t="n"/>
      <c r="L300" s="86" t="n"/>
      <c r="M300" s="87">
        <f>IF(AND($A300&lt;&gt;"",ISNUMBER($J300)),IF(INT($J300)-TODAY()&lt;=Set_DueSoonDays,INT($J300)+ROW()/10000,""),"")</f>
        <v/>
      </c>
    </row>
    <row r="301">
      <c r="A301" s="82" t="n"/>
      <c r="B301" s="82" t="n"/>
      <c r="C301" s="82" t="n"/>
      <c r="D301" s="83" t="n"/>
      <c r="E301" s="81" t="n"/>
      <c r="F301" s="82" t="n"/>
      <c r="G301" s="84" t="n"/>
      <c r="H301" s="81" t="n"/>
      <c r="I301" s="82" t="n"/>
      <c r="J301" s="81" t="n"/>
      <c r="K301" s="84" t="n"/>
      <c r="L301" s="86" t="n"/>
      <c r="M301" s="87">
        <f>IF(AND($A301&lt;&gt;"",ISNUMBER($J301)),IF(INT($J301)-TODAY()&lt;=Set_DueSoonDays,INT($J301)+ROW()/10000,""),"")</f>
        <v/>
      </c>
    </row>
    <row r="302">
      <c r="A302" s="82" t="n"/>
      <c r="B302" s="82" t="n"/>
      <c r="C302" s="82" t="n"/>
      <c r="D302" s="83" t="n"/>
      <c r="E302" s="81" t="n"/>
      <c r="F302" s="82" t="n"/>
      <c r="G302" s="84" t="n"/>
      <c r="H302" s="81" t="n"/>
      <c r="I302" s="82" t="n"/>
      <c r="J302" s="81" t="n"/>
      <c r="K302" s="84" t="n"/>
      <c r="L302" s="86" t="n"/>
      <c r="M302" s="87">
        <f>IF(AND($A302&lt;&gt;"",ISNUMBER($J302)),IF(INT($J302)-TODAY()&lt;=Set_DueSoonDays,INT($J302)+ROW()/10000,""),"")</f>
        <v/>
      </c>
    </row>
    <row r="303">
      <c r="A303" s="82" t="n"/>
      <c r="B303" s="82" t="n"/>
      <c r="C303" s="82" t="n"/>
      <c r="D303" s="83" t="n"/>
      <c r="E303" s="81" t="n"/>
      <c r="F303" s="82" t="n"/>
      <c r="G303" s="84" t="n"/>
      <c r="H303" s="81" t="n"/>
      <c r="I303" s="82" t="n"/>
      <c r="J303" s="81" t="n"/>
      <c r="K303" s="84" t="n"/>
      <c r="L303" s="86" t="n"/>
      <c r="M303" s="87">
        <f>IF(AND($A303&lt;&gt;"",ISNUMBER($J303)),IF(INT($J303)-TODAY()&lt;=Set_DueSoonDays,INT($J303)+ROW()/10000,""),"")</f>
        <v/>
      </c>
    </row>
    <row r="304">
      <c r="A304" s="82" t="n"/>
      <c r="B304" s="82" t="n"/>
      <c r="C304" s="82" t="n"/>
      <c r="D304" s="83" t="n"/>
      <c r="E304" s="81" t="n"/>
      <c r="F304" s="82" t="n"/>
      <c r="G304" s="84" t="n"/>
      <c r="H304" s="81" t="n"/>
      <c r="I304" s="82" t="n"/>
      <c r="J304" s="81" t="n"/>
      <c r="K304" s="84" t="n"/>
      <c r="L304" s="86" t="n"/>
      <c r="M304" s="87">
        <f>IF(AND($A304&lt;&gt;"",ISNUMBER($J304)),IF(INT($J304)-TODAY()&lt;=Set_DueSoonDays,INT($J304)+ROW()/10000,""),"")</f>
        <v/>
      </c>
    </row>
    <row r="305">
      <c r="A305" s="82" t="n"/>
      <c r="B305" s="82" t="n"/>
      <c r="C305" s="82" t="n"/>
      <c r="D305" s="83" t="n"/>
      <c r="E305" s="81" t="n"/>
      <c r="F305" s="82" t="n"/>
      <c r="G305" s="84" t="n"/>
      <c r="H305" s="81" t="n"/>
      <c r="I305" s="82" t="n"/>
      <c r="J305" s="81" t="n"/>
      <c r="K305" s="84" t="n"/>
      <c r="L305" s="86" t="n"/>
      <c r="M305" s="87">
        <f>IF(AND($A305&lt;&gt;"",ISNUMBER($J305)),IF(INT($J305)-TODAY()&lt;=Set_DueSoonDays,INT($J305)+ROW()/10000,""),"")</f>
        <v/>
      </c>
    </row>
    <row r="306">
      <c r="A306" s="82" t="n"/>
      <c r="B306" s="82" t="n"/>
      <c r="C306" s="82" t="n"/>
      <c r="D306" s="83" t="n"/>
      <c r="E306" s="81" t="n"/>
      <c r="F306" s="82" t="n"/>
      <c r="G306" s="84" t="n"/>
      <c r="H306" s="81" t="n"/>
      <c r="I306" s="82" t="n"/>
      <c r="J306" s="81" t="n"/>
      <c r="K306" s="84" t="n"/>
      <c r="L306" s="86" t="n"/>
      <c r="M306" s="87">
        <f>IF(AND($A306&lt;&gt;"",ISNUMBER($J306)),IF(INT($J306)-TODAY()&lt;=Set_DueSoonDays,INT($J306)+ROW()/10000,""),"")</f>
        <v/>
      </c>
    </row>
    <row r="307">
      <c r="A307" s="82" t="n"/>
      <c r="B307" s="82" t="n"/>
      <c r="C307" s="82" t="n"/>
      <c r="D307" s="83" t="n"/>
      <c r="E307" s="81" t="n"/>
      <c r="F307" s="82" t="n"/>
      <c r="G307" s="84" t="n"/>
      <c r="H307" s="81" t="n"/>
      <c r="I307" s="82" t="n"/>
      <c r="J307" s="81" t="n"/>
      <c r="K307" s="84" t="n"/>
      <c r="L307" s="86" t="n"/>
      <c r="M307" s="87">
        <f>IF(AND($A307&lt;&gt;"",ISNUMBER($J307)),IF(INT($J307)-TODAY()&lt;=Set_DueSoonDays,INT($J307)+ROW()/10000,""),"")</f>
        <v/>
      </c>
    </row>
    <row r="308">
      <c r="A308" s="82" t="n"/>
      <c r="B308" s="82" t="n"/>
      <c r="C308" s="82" t="n"/>
      <c r="D308" s="83" t="n"/>
      <c r="E308" s="81" t="n"/>
      <c r="F308" s="82" t="n"/>
      <c r="G308" s="84" t="n"/>
      <c r="H308" s="81" t="n"/>
      <c r="I308" s="82" t="n"/>
      <c r="J308" s="81" t="n"/>
      <c r="K308" s="84" t="n"/>
      <c r="L308" s="86" t="n"/>
      <c r="M308" s="87">
        <f>IF(AND($A308&lt;&gt;"",ISNUMBER($J308)),IF(INT($J308)-TODAY()&lt;=Set_DueSoonDays,INT($J308)+ROW()/10000,""),"")</f>
        <v/>
      </c>
    </row>
    <row r="309">
      <c r="A309" s="82" t="n"/>
      <c r="B309" s="82" t="n"/>
      <c r="C309" s="82" t="n"/>
      <c r="D309" s="83" t="n"/>
      <c r="E309" s="81" t="n"/>
      <c r="F309" s="82" t="n"/>
      <c r="G309" s="84" t="n"/>
      <c r="H309" s="81" t="n"/>
      <c r="I309" s="82" t="n"/>
      <c r="J309" s="81" t="n"/>
      <c r="K309" s="84" t="n"/>
      <c r="L309" s="86" t="n"/>
      <c r="M309" s="87">
        <f>IF(AND($A309&lt;&gt;"",ISNUMBER($J309)),IF(INT($J309)-TODAY()&lt;=Set_DueSoonDays,INT($J309)+ROW()/10000,""),"")</f>
        <v/>
      </c>
    </row>
    <row r="310">
      <c r="A310" s="82" t="n"/>
      <c r="B310" s="82" t="n"/>
      <c r="C310" s="82" t="n"/>
      <c r="D310" s="83" t="n"/>
      <c r="E310" s="81" t="n"/>
      <c r="F310" s="82" t="n"/>
      <c r="G310" s="84" t="n"/>
      <c r="H310" s="81" t="n"/>
      <c r="I310" s="82" t="n"/>
      <c r="J310" s="81" t="n"/>
      <c r="K310" s="84" t="n"/>
      <c r="L310" s="86" t="n"/>
      <c r="M310" s="87">
        <f>IF(AND($A310&lt;&gt;"",ISNUMBER($J310)),IF(INT($J310)-TODAY()&lt;=Set_DueSoonDays,INT($J310)+ROW()/10000,""),"")</f>
        <v/>
      </c>
    </row>
    <row r="311">
      <c r="A311" s="82" t="n"/>
      <c r="B311" s="82" t="n"/>
      <c r="C311" s="82" t="n"/>
      <c r="D311" s="83" t="n"/>
      <c r="E311" s="81" t="n"/>
      <c r="F311" s="82" t="n"/>
      <c r="G311" s="84" t="n"/>
      <c r="H311" s="81" t="n"/>
      <c r="I311" s="82" t="n"/>
      <c r="J311" s="81" t="n"/>
      <c r="K311" s="84" t="n"/>
      <c r="L311" s="86" t="n"/>
      <c r="M311" s="87">
        <f>IF(AND($A311&lt;&gt;"",ISNUMBER($J311)),IF(INT($J311)-TODAY()&lt;=Set_DueSoonDays,INT($J311)+ROW()/10000,""),"")</f>
        <v/>
      </c>
    </row>
    <row r="312">
      <c r="A312" s="82" t="n"/>
      <c r="B312" s="82" t="n"/>
      <c r="C312" s="82" t="n"/>
      <c r="D312" s="83" t="n"/>
      <c r="E312" s="81" t="n"/>
      <c r="F312" s="82" t="n"/>
      <c r="G312" s="84" t="n"/>
      <c r="H312" s="81" t="n"/>
      <c r="I312" s="82" t="n"/>
      <c r="J312" s="81" t="n"/>
      <c r="K312" s="84" t="n"/>
      <c r="L312" s="86" t="n"/>
      <c r="M312" s="87">
        <f>IF(AND($A312&lt;&gt;"",ISNUMBER($J312)),IF(INT($J312)-TODAY()&lt;=Set_DueSoonDays,INT($J312)+ROW()/10000,""),"")</f>
        <v/>
      </c>
    </row>
    <row r="313">
      <c r="A313" s="82" t="n"/>
      <c r="B313" s="82" t="n"/>
      <c r="C313" s="82" t="n"/>
      <c r="D313" s="83" t="n"/>
      <c r="E313" s="81" t="n"/>
      <c r="F313" s="82" t="n"/>
      <c r="G313" s="84" t="n"/>
      <c r="H313" s="81" t="n"/>
      <c r="I313" s="82" t="n"/>
      <c r="J313" s="81" t="n"/>
      <c r="K313" s="84" t="n"/>
      <c r="L313" s="86" t="n"/>
      <c r="M313" s="87">
        <f>IF(AND($A313&lt;&gt;"",ISNUMBER($J313)),IF(INT($J313)-TODAY()&lt;=Set_DueSoonDays,INT($J313)+ROW()/10000,""),"")</f>
        <v/>
      </c>
    </row>
    <row r="314">
      <c r="A314" s="82" t="n"/>
      <c r="B314" s="82" t="n"/>
      <c r="C314" s="82" t="n"/>
      <c r="D314" s="83" t="n"/>
      <c r="E314" s="81" t="n"/>
      <c r="F314" s="82" t="n"/>
      <c r="G314" s="84" t="n"/>
      <c r="H314" s="81" t="n"/>
      <c r="I314" s="82" t="n"/>
      <c r="J314" s="81" t="n"/>
      <c r="K314" s="84" t="n"/>
      <c r="L314" s="86" t="n"/>
      <c r="M314" s="87">
        <f>IF(AND($A314&lt;&gt;"",ISNUMBER($J314)),IF(INT($J314)-TODAY()&lt;=Set_DueSoonDays,INT($J314)+ROW()/10000,""),"")</f>
        <v/>
      </c>
    </row>
    <row r="315">
      <c r="A315" s="82" t="n"/>
      <c r="B315" s="82" t="n"/>
      <c r="C315" s="82" t="n"/>
      <c r="D315" s="83" t="n"/>
      <c r="E315" s="81" t="n"/>
      <c r="F315" s="82" t="n"/>
      <c r="G315" s="84" t="n"/>
      <c r="H315" s="81" t="n"/>
      <c r="I315" s="82" t="n"/>
      <c r="J315" s="81" t="n"/>
      <c r="K315" s="84" t="n"/>
      <c r="L315" s="86" t="n"/>
      <c r="M315" s="87">
        <f>IF(AND($A315&lt;&gt;"",ISNUMBER($J315)),IF(INT($J315)-TODAY()&lt;=Set_DueSoonDays,INT($J315)+ROW()/10000,""),"")</f>
        <v/>
      </c>
    </row>
    <row r="316">
      <c r="A316" s="82" t="n"/>
      <c r="B316" s="82" t="n"/>
      <c r="C316" s="82" t="n"/>
      <c r="D316" s="83" t="n"/>
      <c r="E316" s="81" t="n"/>
      <c r="F316" s="82" t="n"/>
      <c r="G316" s="84" t="n"/>
      <c r="H316" s="81" t="n"/>
      <c r="I316" s="82" t="n"/>
      <c r="J316" s="81" t="n"/>
      <c r="K316" s="84" t="n"/>
      <c r="L316" s="86" t="n"/>
      <c r="M316" s="87">
        <f>IF(AND($A316&lt;&gt;"",ISNUMBER($J316)),IF(INT($J316)-TODAY()&lt;=Set_DueSoonDays,INT($J316)+ROW()/10000,""),"")</f>
        <v/>
      </c>
    </row>
    <row r="317">
      <c r="A317" s="82" t="n"/>
      <c r="B317" s="82" t="n"/>
      <c r="C317" s="82" t="n"/>
      <c r="D317" s="83" t="n"/>
      <c r="E317" s="81" t="n"/>
      <c r="F317" s="82" t="n"/>
      <c r="G317" s="84" t="n"/>
      <c r="H317" s="81" t="n"/>
      <c r="I317" s="82" t="n"/>
      <c r="J317" s="81" t="n"/>
      <c r="K317" s="84" t="n"/>
      <c r="L317" s="86" t="n"/>
      <c r="M317" s="87">
        <f>IF(AND($A317&lt;&gt;"",ISNUMBER($J317)),IF(INT($J317)-TODAY()&lt;=Set_DueSoonDays,INT($J317)+ROW()/10000,""),"")</f>
        <v/>
      </c>
    </row>
    <row r="318">
      <c r="A318" s="82" t="n"/>
      <c r="B318" s="82" t="n"/>
      <c r="C318" s="82" t="n"/>
      <c r="D318" s="83" t="n"/>
      <c r="E318" s="81" t="n"/>
      <c r="F318" s="82" t="n"/>
      <c r="G318" s="84" t="n"/>
      <c r="H318" s="81" t="n"/>
      <c r="I318" s="82" t="n"/>
      <c r="J318" s="81" t="n"/>
      <c r="K318" s="84" t="n"/>
      <c r="L318" s="86" t="n"/>
      <c r="M318" s="87">
        <f>IF(AND($A318&lt;&gt;"",ISNUMBER($J318)),IF(INT($J318)-TODAY()&lt;=Set_DueSoonDays,INT($J318)+ROW()/10000,""),"")</f>
        <v/>
      </c>
    </row>
    <row r="319">
      <c r="A319" s="82" t="n"/>
      <c r="B319" s="82" t="n"/>
      <c r="C319" s="82" t="n"/>
      <c r="D319" s="83" t="n"/>
      <c r="E319" s="81" t="n"/>
      <c r="F319" s="82" t="n"/>
      <c r="G319" s="84" t="n"/>
      <c r="H319" s="81" t="n"/>
      <c r="I319" s="82" t="n"/>
      <c r="J319" s="81" t="n"/>
      <c r="K319" s="84" t="n"/>
      <c r="L319" s="86" t="n"/>
      <c r="M319" s="87">
        <f>IF(AND($A319&lt;&gt;"",ISNUMBER($J319)),IF(INT($J319)-TODAY()&lt;=Set_DueSoonDays,INT($J319)+ROW()/10000,""),"")</f>
        <v/>
      </c>
    </row>
    <row r="320">
      <c r="A320" s="82" t="n"/>
      <c r="B320" s="82" t="n"/>
      <c r="C320" s="82" t="n"/>
      <c r="D320" s="83" t="n"/>
      <c r="E320" s="81" t="n"/>
      <c r="F320" s="82" t="n"/>
      <c r="G320" s="84" t="n"/>
      <c r="H320" s="81" t="n"/>
      <c r="I320" s="82" t="n"/>
      <c r="J320" s="81" t="n"/>
      <c r="K320" s="84" t="n"/>
      <c r="L320" s="86" t="n"/>
      <c r="M320" s="87">
        <f>IF(AND($A320&lt;&gt;"",ISNUMBER($J320)),IF(INT($J320)-TODAY()&lt;=Set_DueSoonDays,INT($J320)+ROW()/10000,""),"")</f>
        <v/>
      </c>
    </row>
    <row r="321">
      <c r="A321" s="82" t="n"/>
      <c r="B321" s="82" t="n"/>
      <c r="C321" s="82" t="n"/>
      <c r="D321" s="83" t="n"/>
      <c r="E321" s="81" t="n"/>
      <c r="F321" s="82" t="n"/>
      <c r="G321" s="84" t="n"/>
      <c r="H321" s="81" t="n"/>
      <c r="I321" s="82" t="n"/>
      <c r="J321" s="81" t="n"/>
      <c r="K321" s="84" t="n"/>
      <c r="L321" s="86" t="n"/>
      <c r="M321" s="87">
        <f>IF(AND($A321&lt;&gt;"",ISNUMBER($J321)),IF(INT($J321)-TODAY()&lt;=Set_DueSoonDays,INT($J321)+ROW()/10000,""),"")</f>
        <v/>
      </c>
    </row>
    <row r="322">
      <c r="A322" s="82" t="n"/>
      <c r="B322" s="82" t="n"/>
      <c r="C322" s="82" t="n"/>
      <c r="D322" s="83" t="n"/>
      <c r="E322" s="81" t="n"/>
      <c r="F322" s="82" t="n"/>
      <c r="G322" s="84" t="n"/>
      <c r="H322" s="81" t="n"/>
      <c r="I322" s="82" t="n"/>
      <c r="J322" s="81" t="n"/>
      <c r="K322" s="84" t="n"/>
      <c r="L322" s="86" t="n"/>
      <c r="M322" s="87">
        <f>IF(AND($A322&lt;&gt;"",ISNUMBER($J322)),IF(INT($J322)-TODAY()&lt;=Set_DueSoonDays,INT($J322)+ROW()/10000,""),"")</f>
        <v/>
      </c>
    </row>
    <row r="323">
      <c r="A323" s="82" t="n"/>
      <c r="B323" s="82" t="n"/>
      <c r="C323" s="82" t="n"/>
      <c r="D323" s="83" t="n"/>
      <c r="E323" s="81" t="n"/>
      <c r="F323" s="82" t="n"/>
      <c r="G323" s="84" t="n"/>
      <c r="H323" s="81" t="n"/>
      <c r="I323" s="82" t="n"/>
      <c r="J323" s="81" t="n"/>
      <c r="K323" s="84" t="n"/>
      <c r="L323" s="86" t="n"/>
      <c r="M323" s="87">
        <f>IF(AND($A323&lt;&gt;"",ISNUMBER($J323)),IF(INT($J323)-TODAY()&lt;=Set_DueSoonDays,INT($J323)+ROW()/10000,""),"")</f>
        <v/>
      </c>
    </row>
    <row r="324">
      <c r="A324" s="82" t="n"/>
      <c r="B324" s="82" t="n"/>
      <c r="C324" s="82" t="n"/>
      <c r="D324" s="83" t="n"/>
      <c r="E324" s="81" t="n"/>
      <c r="F324" s="82" t="n"/>
      <c r="G324" s="84" t="n"/>
      <c r="H324" s="81" t="n"/>
      <c r="I324" s="82" t="n"/>
      <c r="J324" s="81" t="n"/>
      <c r="K324" s="84" t="n"/>
      <c r="L324" s="86" t="n"/>
      <c r="M324" s="87">
        <f>IF(AND($A324&lt;&gt;"",ISNUMBER($J324)),IF(INT($J324)-TODAY()&lt;=Set_DueSoonDays,INT($J324)+ROW()/10000,""),"")</f>
        <v/>
      </c>
    </row>
    <row r="325">
      <c r="A325" s="82" t="n"/>
      <c r="B325" s="82" t="n"/>
      <c r="C325" s="82" t="n"/>
      <c r="D325" s="83" t="n"/>
      <c r="E325" s="81" t="n"/>
      <c r="F325" s="82" t="n"/>
      <c r="G325" s="84" t="n"/>
      <c r="H325" s="81" t="n"/>
      <c r="I325" s="82" t="n"/>
      <c r="J325" s="81" t="n"/>
      <c r="K325" s="84" t="n"/>
      <c r="L325" s="86" t="n"/>
      <c r="M325" s="87">
        <f>IF(AND($A325&lt;&gt;"",ISNUMBER($J325)),IF(INT($J325)-TODAY()&lt;=Set_DueSoonDays,INT($J325)+ROW()/10000,""),"")</f>
        <v/>
      </c>
    </row>
    <row r="326">
      <c r="A326" s="82" t="n"/>
      <c r="B326" s="82" t="n"/>
      <c r="C326" s="82" t="n"/>
      <c r="D326" s="83" t="n"/>
      <c r="E326" s="81" t="n"/>
      <c r="F326" s="82" t="n"/>
      <c r="G326" s="84" t="n"/>
      <c r="H326" s="81" t="n"/>
      <c r="I326" s="82" t="n"/>
      <c r="J326" s="81" t="n"/>
      <c r="K326" s="84" t="n"/>
      <c r="L326" s="86" t="n"/>
      <c r="M326" s="87">
        <f>IF(AND($A326&lt;&gt;"",ISNUMBER($J326)),IF(INT($J326)-TODAY()&lt;=Set_DueSoonDays,INT($J326)+ROW()/10000,""),"")</f>
        <v/>
      </c>
    </row>
    <row r="327">
      <c r="A327" s="82" t="n"/>
      <c r="B327" s="82" t="n"/>
      <c r="C327" s="82" t="n"/>
      <c r="D327" s="83" t="n"/>
      <c r="E327" s="81" t="n"/>
      <c r="F327" s="82" t="n"/>
      <c r="G327" s="84" t="n"/>
      <c r="H327" s="81" t="n"/>
      <c r="I327" s="82" t="n"/>
      <c r="J327" s="81" t="n"/>
      <c r="K327" s="84" t="n"/>
      <c r="L327" s="86" t="n"/>
      <c r="M327" s="87">
        <f>IF(AND($A327&lt;&gt;"",ISNUMBER($J327)),IF(INT($J327)-TODAY()&lt;=Set_DueSoonDays,INT($J327)+ROW()/10000,""),"")</f>
        <v/>
      </c>
    </row>
    <row r="328">
      <c r="A328" s="82" t="n"/>
      <c r="B328" s="82" t="n"/>
      <c r="C328" s="82" t="n"/>
      <c r="D328" s="83" t="n"/>
      <c r="E328" s="81" t="n"/>
      <c r="F328" s="82" t="n"/>
      <c r="G328" s="84" t="n"/>
      <c r="H328" s="81" t="n"/>
      <c r="I328" s="82" t="n"/>
      <c r="J328" s="81" t="n"/>
      <c r="K328" s="84" t="n"/>
      <c r="L328" s="86" t="n"/>
      <c r="M328" s="87">
        <f>IF(AND($A328&lt;&gt;"",ISNUMBER($J328)),IF(INT($J328)-TODAY()&lt;=Set_DueSoonDays,INT($J328)+ROW()/10000,""),"")</f>
        <v/>
      </c>
    </row>
    <row r="329">
      <c r="A329" s="82" t="n"/>
      <c r="B329" s="82" t="n"/>
      <c r="C329" s="82" t="n"/>
      <c r="D329" s="83" t="n"/>
      <c r="E329" s="81" t="n"/>
      <c r="F329" s="82" t="n"/>
      <c r="G329" s="84" t="n"/>
      <c r="H329" s="81" t="n"/>
      <c r="I329" s="82" t="n"/>
      <c r="J329" s="81" t="n"/>
      <c r="K329" s="84" t="n"/>
      <c r="L329" s="86" t="n"/>
      <c r="M329" s="87">
        <f>IF(AND($A329&lt;&gt;"",ISNUMBER($J329)),IF(INT($J329)-TODAY()&lt;=Set_DueSoonDays,INT($J329)+ROW()/10000,""),"")</f>
        <v/>
      </c>
    </row>
    <row r="330">
      <c r="A330" s="82" t="n"/>
      <c r="B330" s="82" t="n"/>
      <c r="C330" s="82" t="n"/>
      <c r="D330" s="83" t="n"/>
      <c r="E330" s="81" t="n"/>
      <c r="F330" s="82" t="n"/>
      <c r="G330" s="84" t="n"/>
      <c r="H330" s="81" t="n"/>
      <c r="I330" s="82" t="n"/>
      <c r="J330" s="81" t="n"/>
      <c r="K330" s="84" t="n"/>
      <c r="L330" s="86" t="n"/>
      <c r="M330" s="87">
        <f>IF(AND($A330&lt;&gt;"",ISNUMBER($J330)),IF(INT($J330)-TODAY()&lt;=Set_DueSoonDays,INT($J330)+ROW()/10000,""),"")</f>
        <v/>
      </c>
    </row>
    <row r="331">
      <c r="A331" s="82" t="n"/>
      <c r="B331" s="82" t="n"/>
      <c r="C331" s="82" t="n"/>
      <c r="D331" s="83" t="n"/>
      <c r="E331" s="81" t="n"/>
      <c r="F331" s="82" t="n"/>
      <c r="G331" s="84" t="n"/>
      <c r="H331" s="81" t="n"/>
      <c r="I331" s="82" t="n"/>
      <c r="J331" s="81" t="n"/>
      <c r="K331" s="84" t="n"/>
      <c r="L331" s="86" t="n"/>
      <c r="M331" s="87">
        <f>IF(AND($A331&lt;&gt;"",ISNUMBER($J331)),IF(INT($J331)-TODAY()&lt;=Set_DueSoonDays,INT($J331)+ROW()/10000,""),"")</f>
        <v/>
      </c>
    </row>
    <row r="332">
      <c r="A332" s="82" t="n"/>
      <c r="B332" s="82" t="n"/>
      <c r="C332" s="82" t="n"/>
      <c r="D332" s="83" t="n"/>
      <c r="E332" s="81" t="n"/>
      <c r="F332" s="82" t="n"/>
      <c r="G332" s="84" t="n"/>
      <c r="H332" s="81" t="n"/>
      <c r="I332" s="82" t="n"/>
      <c r="J332" s="81" t="n"/>
      <c r="K332" s="84" t="n"/>
      <c r="L332" s="86" t="n"/>
      <c r="M332" s="87">
        <f>IF(AND($A332&lt;&gt;"",ISNUMBER($J332)),IF(INT($J332)-TODAY()&lt;=Set_DueSoonDays,INT($J332)+ROW()/10000,""),"")</f>
        <v/>
      </c>
    </row>
    <row r="333">
      <c r="A333" s="82" t="n"/>
      <c r="B333" s="82" t="n"/>
      <c r="C333" s="82" t="n"/>
      <c r="D333" s="83" t="n"/>
      <c r="E333" s="81" t="n"/>
      <c r="F333" s="82" t="n"/>
      <c r="G333" s="84" t="n"/>
      <c r="H333" s="81" t="n"/>
      <c r="I333" s="82" t="n"/>
      <c r="J333" s="81" t="n"/>
      <c r="K333" s="84" t="n"/>
      <c r="L333" s="86" t="n"/>
      <c r="M333" s="87">
        <f>IF(AND($A333&lt;&gt;"",ISNUMBER($J333)),IF(INT($J333)-TODAY()&lt;=Set_DueSoonDays,INT($J333)+ROW()/10000,""),"")</f>
        <v/>
      </c>
    </row>
    <row r="334">
      <c r="A334" s="82" t="n"/>
      <c r="B334" s="82" t="n"/>
      <c r="C334" s="82" t="n"/>
      <c r="D334" s="83" t="n"/>
      <c r="E334" s="81" t="n"/>
      <c r="F334" s="82" t="n"/>
      <c r="G334" s="84" t="n"/>
      <c r="H334" s="81" t="n"/>
      <c r="I334" s="82" t="n"/>
      <c r="J334" s="81" t="n"/>
      <c r="K334" s="84" t="n"/>
      <c r="L334" s="86" t="n"/>
      <c r="M334" s="87">
        <f>IF(AND($A334&lt;&gt;"",ISNUMBER($J334)),IF(INT($J334)-TODAY()&lt;=Set_DueSoonDays,INT($J334)+ROW()/10000,""),"")</f>
        <v/>
      </c>
    </row>
    <row r="335">
      <c r="A335" s="82" t="n"/>
      <c r="B335" s="82" t="n"/>
      <c r="C335" s="82" t="n"/>
      <c r="D335" s="83" t="n"/>
      <c r="E335" s="81" t="n"/>
      <c r="F335" s="82" t="n"/>
      <c r="G335" s="84" t="n"/>
      <c r="H335" s="81" t="n"/>
      <c r="I335" s="82" t="n"/>
      <c r="J335" s="81" t="n"/>
      <c r="K335" s="84" t="n"/>
      <c r="L335" s="86" t="n"/>
      <c r="M335" s="87">
        <f>IF(AND($A335&lt;&gt;"",ISNUMBER($J335)),IF(INT($J335)-TODAY()&lt;=Set_DueSoonDays,INT($J335)+ROW()/10000,""),"")</f>
        <v/>
      </c>
    </row>
    <row r="336">
      <c r="A336" s="82" t="n"/>
      <c r="B336" s="82" t="n"/>
      <c r="C336" s="82" t="n"/>
      <c r="D336" s="83" t="n"/>
      <c r="E336" s="81" t="n"/>
      <c r="F336" s="82" t="n"/>
      <c r="G336" s="84" t="n"/>
      <c r="H336" s="81" t="n"/>
      <c r="I336" s="82" t="n"/>
      <c r="J336" s="81" t="n"/>
      <c r="K336" s="84" t="n"/>
      <c r="L336" s="86" t="n"/>
      <c r="M336" s="87">
        <f>IF(AND($A336&lt;&gt;"",ISNUMBER($J336)),IF(INT($J336)-TODAY()&lt;=Set_DueSoonDays,INT($J336)+ROW()/10000,""),"")</f>
        <v/>
      </c>
    </row>
    <row r="337">
      <c r="A337" s="82" t="n"/>
      <c r="B337" s="82" t="n"/>
      <c r="C337" s="82" t="n"/>
      <c r="D337" s="83" t="n"/>
      <c r="E337" s="81" t="n"/>
      <c r="F337" s="82" t="n"/>
      <c r="G337" s="84" t="n"/>
      <c r="H337" s="81" t="n"/>
      <c r="I337" s="82" t="n"/>
      <c r="J337" s="81" t="n"/>
      <c r="K337" s="84" t="n"/>
      <c r="L337" s="86" t="n"/>
      <c r="M337" s="87">
        <f>IF(AND($A337&lt;&gt;"",ISNUMBER($J337)),IF(INT($J337)-TODAY()&lt;=Set_DueSoonDays,INT($J337)+ROW()/10000,""),"")</f>
        <v/>
      </c>
    </row>
    <row r="338">
      <c r="A338" s="82" t="n"/>
      <c r="B338" s="82" t="n"/>
      <c r="C338" s="82" t="n"/>
      <c r="D338" s="83" t="n"/>
      <c r="E338" s="81" t="n"/>
      <c r="F338" s="82" t="n"/>
      <c r="G338" s="84" t="n"/>
      <c r="H338" s="81" t="n"/>
      <c r="I338" s="82" t="n"/>
      <c r="J338" s="81" t="n"/>
      <c r="K338" s="84" t="n"/>
      <c r="L338" s="86" t="n"/>
      <c r="M338" s="87">
        <f>IF(AND($A338&lt;&gt;"",ISNUMBER($J338)),IF(INT($J338)-TODAY()&lt;=Set_DueSoonDays,INT($J338)+ROW()/10000,""),"")</f>
        <v/>
      </c>
    </row>
    <row r="339">
      <c r="A339" s="82" t="n"/>
      <c r="B339" s="82" t="n"/>
      <c r="C339" s="82" t="n"/>
      <c r="D339" s="83" t="n"/>
      <c r="E339" s="81" t="n"/>
      <c r="F339" s="82" t="n"/>
      <c r="G339" s="84" t="n"/>
      <c r="H339" s="81" t="n"/>
      <c r="I339" s="82" t="n"/>
      <c r="J339" s="81" t="n"/>
      <c r="K339" s="84" t="n"/>
      <c r="L339" s="86" t="n"/>
      <c r="M339" s="87">
        <f>IF(AND($A339&lt;&gt;"",ISNUMBER($J339)),IF(INT($J339)-TODAY()&lt;=Set_DueSoonDays,INT($J339)+ROW()/10000,""),"")</f>
        <v/>
      </c>
    </row>
    <row r="340">
      <c r="A340" s="82" t="n"/>
      <c r="B340" s="82" t="n"/>
      <c r="C340" s="82" t="n"/>
      <c r="D340" s="83" t="n"/>
      <c r="E340" s="81" t="n"/>
      <c r="F340" s="82" t="n"/>
      <c r="G340" s="84" t="n"/>
      <c r="H340" s="81" t="n"/>
      <c r="I340" s="82" t="n"/>
      <c r="J340" s="81" t="n"/>
      <c r="K340" s="84" t="n"/>
      <c r="L340" s="86" t="n"/>
      <c r="M340" s="87">
        <f>IF(AND($A340&lt;&gt;"",ISNUMBER($J340)),IF(INT($J340)-TODAY()&lt;=Set_DueSoonDays,INT($J340)+ROW()/10000,""),"")</f>
        <v/>
      </c>
    </row>
    <row r="341">
      <c r="A341" s="82" t="n"/>
      <c r="B341" s="82" t="n"/>
      <c r="C341" s="82" t="n"/>
      <c r="D341" s="83" t="n"/>
      <c r="E341" s="81" t="n"/>
      <c r="F341" s="82" t="n"/>
      <c r="G341" s="84" t="n"/>
      <c r="H341" s="81" t="n"/>
      <c r="I341" s="82" t="n"/>
      <c r="J341" s="81" t="n"/>
      <c r="K341" s="84" t="n"/>
      <c r="L341" s="86" t="n"/>
      <c r="M341" s="87">
        <f>IF(AND($A341&lt;&gt;"",ISNUMBER($J341)),IF(INT($J341)-TODAY()&lt;=Set_DueSoonDays,INT($J341)+ROW()/10000,""),"")</f>
        <v/>
      </c>
    </row>
    <row r="342">
      <c r="A342" s="82" t="n"/>
      <c r="B342" s="82" t="n"/>
      <c r="C342" s="82" t="n"/>
      <c r="D342" s="83" t="n"/>
      <c r="E342" s="81" t="n"/>
      <c r="F342" s="82" t="n"/>
      <c r="G342" s="84" t="n"/>
      <c r="H342" s="81" t="n"/>
      <c r="I342" s="82" t="n"/>
      <c r="J342" s="81" t="n"/>
      <c r="K342" s="84" t="n"/>
      <c r="L342" s="86" t="n"/>
      <c r="M342" s="87">
        <f>IF(AND($A342&lt;&gt;"",ISNUMBER($J342)),IF(INT($J342)-TODAY()&lt;=Set_DueSoonDays,INT($J342)+ROW()/10000,""),"")</f>
        <v/>
      </c>
    </row>
    <row r="343">
      <c r="A343" s="82" t="n"/>
      <c r="B343" s="82" t="n"/>
      <c r="C343" s="82" t="n"/>
      <c r="D343" s="83" t="n"/>
      <c r="E343" s="81" t="n"/>
      <c r="F343" s="82" t="n"/>
      <c r="G343" s="84" t="n"/>
      <c r="H343" s="81" t="n"/>
      <c r="I343" s="82" t="n"/>
      <c r="J343" s="81" t="n"/>
      <c r="K343" s="84" t="n"/>
      <c r="L343" s="86" t="n"/>
      <c r="M343" s="87">
        <f>IF(AND($A343&lt;&gt;"",ISNUMBER($J343)),IF(INT($J343)-TODAY()&lt;=Set_DueSoonDays,INT($J343)+ROW()/10000,""),"")</f>
        <v/>
      </c>
    </row>
    <row r="344">
      <c r="A344" s="82" t="n"/>
      <c r="B344" s="82" t="n"/>
      <c r="C344" s="82" t="n"/>
      <c r="D344" s="83" t="n"/>
      <c r="E344" s="81" t="n"/>
      <c r="F344" s="82" t="n"/>
      <c r="G344" s="84" t="n"/>
      <c r="H344" s="81" t="n"/>
      <c r="I344" s="82" t="n"/>
      <c r="J344" s="81" t="n"/>
      <c r="K344" s="84" t="n"/>
      <c r="L344" s="86" t="n"/>
      <c r="M344" s="87">
        <f>IF(AND($A344&lt;&gt;"",ISNUMBER($J344)),IF(INT($J344)-TODAY()&lt;=Set_DueSoonDays,INT($J344)+ROW()/10000,""),"")</f>
        <v/>
      </c>
    </row>
    <row r="345">
      <c r="A345" s="82" t="n"/>
      <c r="B345" s="82" t="n"/>
      <c r="C345" s="82" t="n"/>
      <c r="D345" s="83" t="n"/>
      <c r="E345" s="81" t="n"/>
      <c r="F345" s="82" t="n"/>
      <c r="G345" s="84" t="n"/>
      <c r="H345" s="81" t="n"/>
      <c r="I345" s="82" t="n"/>
      <c r="J345" s="81" t="n"/>
      <c r="K345" s="84" t="n"/>
      <c r="L345" s="86" t="n"/>
      <c r="M345" s="87">
        <f>IF(AND($A345&lt;&gt;"",ISNUMBER($J345)),IF(INT($J345)-TODAY()&lt;=Set_DueSoonDays,INT($J345)+ROW()/10000,""),"")</f>
        <v/>
      </c>
    </row>
    <row r="346">
      <c r="A346" s="82" t="n"/>
      <c r="B346" s="82" t="n"/>
      <c r="C346" s="82" t="n"/>
      <c r="D346" s="83" t="n"/>
      <c r="E346" s="81" t="n"/>
      <c r="F346" s="82" t="n"/>
      <c r="G346" s="84" t="n"/>
      <c r="H346" s="81" t="n"/>
      <c r="I346" s="82" t="n"/>
      <c r="J346" s="81" t="n"/>
      <c r="K346" s="84" t="n"/>
      <c r="L346" s="86" t="n"/>
      <c r="M346" s="87">
        <f>IF(AND($A346&lt;&gt;"",ISNUMBER($J346)),IF(INT($J346)-TODAY()&lt;=Set_DueSoonDays,INT($J346)+ROW()/10000,""),"")</f>
        <v/>
      </c>
    </row>
    <row r="347">
      <c r="A347" s="82" t="n"/>
      <c r="B347" s="82" t="n"/>
      <c r="C347" s="82" t="n"/>
      <c r="D347" s="83" t="n"/>
      <c r="E347" s="81" t="n"/>
      <c r="F347" s="82" t="n"/>
      <c r="G347" s="84" t="n"/>
      <c r="H347" s="81" t="n"/>
      <c r="I347" s="82" t="n"/>
      <c r="J347" s="81" t="n"/>
      <c r="K347" s="84" t="n"/>
      <c r="L347" s="86" t="n"/>
      <c r="M347" s="87">
        <f>IF(AND($A347&lt;&gt;"",ISNUMBER($J347)),IF(INT($J347)-TODAY()&lt;=Set_DueSoonDays,INT($J347)+ROW()/10000,""),"")</f>
        <v/>
      </c>
    </row>
    <row r="348">
      <c r="A348" s="82" t="n"/>
      <c r="B348" s="82" t="n"/>
      <c r="C348" s="82" t="n"/>
      <c r="D348" s="83" t="n"/>
      <c r="E348" s="81" t="n"/>
      <c r="F348" s="82" t="n"/>
      <c r="G348" s="84" t="n"/>
      <c r="H348" s="81" t="n"/>
      <c r="I348" s="82" t="n"/>
      <c r="J348" s="81" t="n"/>
      <c r="K348" s="84" t="n"/>
      <c r="L348" s="86" t="n"/>
      <c r="M348" s="87">
        <f>IF(AND($A348&lt;&gt;"",ISNUMBER($J348)),IF(INT($J348)-TODAY()&lt;=Set_DueSoonDays,INT($J348)+ROW()/10000,""),"")</f>
        <v/>
      </c>
    </row>
    <row r="349">
      <c r="A349" s="82" t="n"/>
      <c r="B349" s="82" t="n"/>
      <c r="C349" s="82" t="n"/>
      <c r="D349" s="83" t="n"/>
      <c r="E349" s="81" t="n"/>
      <c r="F349" s="82" t="n"/>
      <c r="G349" s="84" t="n"/>
      <c r="H349" s="81" t="n"/>
      <c r="I349" s="82" t="n"/>
      <c r="J349" s="81" t="n"/>
      <c r="K349" s="84" t="n"/>
      <c r="L349" s="86" t="n"/>
      <c r="M349" s="87">
        <f>IF(AND($A349&lt;&gt;"",ISNUMBER($J349)),IF(INT($J349)-TODAY()&lt;=Set_DueSoonDays,INT($J349)+ROW()/10000,""),"")</f>
        <v/>
      </c>
    </row>
    <row r="350">
      <c r="A350" s="82" t="n"/>
      <c r="B350" s="82" t="n"/>
      <c r="C350" s="82" t="n"/>
      <c r="D350" s="83" t="n"/>
      <c r="E350" s="81" t="n"/>
      <c r="F350" s="82" t="n"/>
      <c r="G350" s="84" t="n"/>
      <c r="H350" s="81" t="n"/>
      <c r="I350" s="82" t="n"/>
      <c r="J350" s="81" t="n"/>
      <c r="K350" s="84" t="n"/>
      <c r="L350" s="86" t="n"/>
      <c r="M350" s="87">
        <f>IF(AND($A350&lt;&gt;"",ISNUMBER($J350)),IF(INT($J350)-TODAY()&lt;=Set_DueSoonDays,INT($J350)+ROW()/10000,""),"")</f>
        <v/>
      </c>
    </row>
    <row r="351">
      <c r="A351" s="82" t="n"/>
      <c r="B351" s="82" t="n"/>
      <c r="C351" s="82" t="n"/>
      <c r="D351" s="83" t="n"/>
      <c r="E351" s="81" t="n"/>
      <c r="F351" s="82" t="n"/>
      <c r="G351" s="84" t="n"/>
      <c r="H351" s="81" t="n"/>
      <c r="I351" s="82" t="n"/>
      <c r="J351" s="81" t="n"/>
      <c r="K351" s="84" t="n"/>
      <c r="L351" s="86" t="n"/>
      <c r="M351" s="87">
        <f>IF(AND($A351&lt;&gt;"",ISNUMBER($J351)),IF(INT($J351)-TODAY()&lt;=Set_DueSoonDays,INT($J351)+ROW()/10000,""),"")</f>
        <v/>
      </c>
    </row>
    <row r="352">
      <c r="A352" s="82" t="n"/>
      <c r="B352" s="82" t="n"/>
      <c r="C352" s="82" t="n"/>
      <c r="D352" s="83" t="n"/>
      <c r="E352" s="81" t="n"/>
      <c r="F352" s="82" t="n"/>
      <c r="G352" s="84" t="n"/>
      <c r="H352" s="81" t="n"/>
      <c r="I352" s="82" t="n"/>
      <c r="J352" s="81" t="n"/>
      <c r="K352" s="84" t="n"/>
      <c r="L352" s="86" t="n"/>
      <c r="M352" s="87">
        <f>IF(AND($A352&lt;&gt;"",ISNUMBER($J352)),IF(INT($J352)-TODAY()&lt;=Set_DueSoonDays,INT($J352)+ROW()/10000,""),"")</f>
        <v/>
      </c>
    </row>
    <row r="353">
      <c r="A353" s="82" t="n"/>
      <c r="B353" s="82" t="n"/>
      <c r="C353" s="82" t="n"/>
      <c r="D353" s="83" t="n"/>
      <c r="E353" s="81" t="n"/>
      <c r="F353" s="82" t="n"/>
      <c r="G353" s="84" t="n"/>
      <c r="H353" s="81" t="n"/>
      <c r="I353" s="82" t="n"/>
      <c r="J353" s="81" t="n"/>
      <c r="K353" s="84" t="n"/>
      <c r="L353" s="86" t="n"/>
      <c r="M353" s="87">
        <f>IF(AND($A353&lt;&gt;"",ISNUMBER($J353)),IF(INT($J353)-TODAY()&lt;=Set_DueSoonDays,INT($J353)+ROW()/10000,""),"")</f>
        <v/>
      </c>
    </row>
    <row r="354">
      <c r="A354" s="82" t="n"/>
      <c r="B354" s="82" t="n"/>
      <c r="C354" s="82" t="n"/>
      <c r="D354" s="83" t="n"/>
      <c r="E354" s="81" t="n"/>
      <c r="F354" s="82" t="n"/>
      <c r="G354" s="84" t="n"/>
      <c r="H354" s="81" t="n"/>
      <c r="I354" s="82" t="n"/>
      <c r="J354" s="81" t="n"/>
      <c r="K354" s="84" t="n"/>
      <c r="L354" s="86" t="n"/>
      <c r="M354" s="87">
        <f>IF(AND($A354&lt;&gt;"",ISNUMBER($J354)),IF(INT($J354)-TODAY()&lt;=Set_DueSoonDays,INT($J354)+ROW()/10000,""),"")</f>
        <v/>
      </c>
    </row>
    <row r="355">
      <c r="A355" s="82" t="n"/>
      <c r="B355" s="82" t="n"/>
      <c r="C355" s="82" t="n"/>
      <c r="D355" s="83" t="n"/>
      <c r="E355" s="81" t="n"/>
      <c r="F355" s="82" t="n"/>
      <c r="G355" s="84" t="n"/>
      <c r="H355" s="81" t="n"/>
      <c r="I355" s="82" t="n"/>
      <c r="J355" s="81" t="n"/>
      <c r="K355" s="84" t="n"/>
      <c r="L355" s="86" t="n"/>
      <c r="M355" s="87">
        <f>IF(AND($A355&lt;&gt;"",ISNUMBER($J355)),IF(INT($J355)-TODAY()&lt;=Set_DueSoonDays,INT($J355)+ROW()/10000,""),"")</f>
        <v/>
      </c>
    </row>
    <row r="356">
      <c r="A356" s="82" t="n"/>
      <c r="B356" s="82" t="n"/>
      <c r="C356" s="82" t="n"/>
      <c r="D356" s="83" t="n"/>
      <c r="E356" s="81" t="n"/>
      <c r="F356" s="82" t="n"/>
      <c r="G356" s="84" t="n"/>
      <c r="H356" s="81" t="n"/>
      <c r="I356" s="82" t="n"/>
      <c r="J356" s="81" t="n"/>
      <c r="K356" s="84" t="n"/>
      <c r="L356" s="86" t="n"/>
      <c r="M356" s="87">
        <f>IF(AND($A356&lt;&gt;"",ISNUMBER($J356)),IF(INT($J356)-TODAY()&lt;=Set_DueSoonDays,INT($J356)+ROW()/10000,""),"")</f>
        <v/>
      </c>
    </row>
    <row r="357">
      <c r="A357" s="82" t="n"/>
      <c r="B357" s="82" t="n"/>
      <c r="C357" s="82" t="n"/>
      <c r="D357" s="83" t="n"/>
      <c r="E357" s="81" t="n"/>
      <c r="F357" s="82" t="n"/>
      <c r="G357" s="84" t="n"/>
      <c r="H357" s="81" t="n"/>
      <c r="I357" s="82" t="n"/>
      <c r="J357" s="81" t="n"/>
      <c r="K357" s="84" t="n"/>
      <c r="L357" s="86" t="n"/>
      <c r="M357" s="87">
        <f>IF(AND($A357&lt;&gt;"",ISNUMBER($J357)),IF(INT($J357)-TODAY()&lt;=Set_DueSoonDays,INT($J357)+ROW()/10000,""),"")</f>
        <v/>
      </c>
    </row>
    <row r="358">
      <c r="A358" s="82" t="n"/>
      <c r="B358" s="82" t="n"/>
      <c r="C358" s="82" t="n"/>
      <c r="D358" s="83" t="n"/>
      <c r="E358" s="81" t="n"/>
      <c r="F358" s="82" t="n"/>
      <c r="G358" s="84" t="n"/>
      <c r="H358" s="81" t="n"/>
      <c r="I358" s="82" t="n"/>
      <c r="J358" s="81" t="n"/>
      <c r="K358" s="84" t="n"/>
      <c r="L358" s="86" t="n"/>
      <c r="M358" s="87">
        <f>IF(AND($A358&lt;&gt;"",ISNUMBER($J358)),IF(INT($J358)-TODAY()&lt;=Set_DueSoonDays,INT($J358)+ROW()/10000,""),"")</f>
        <v/>
      </c>
    </row>
    <row r="359">
      <c r="A359" s="82" t="n"/>
      <c r="B359" s="82" t="n"/>
      <c r="C359" s="82" t="n"/>
      <c r="D359" s="83" t="n"/>
      <c r="E359" s="81" t="n"/>
      <c r="F359" s="82" t="n"/>
      <c r="G359" s="84" t="n"/>
      <c r="H359" s="81" t="n"/>
      <c r="I359" s="82" t="n"/>
      <c r="J359" s="81" t="n"/>
      <c r="K359" s="84" t="n"/>
      <c r="L359" s="86" t="n"/>
      <c r="M359" s="87">
        <f>IF(AND($A359&lt;&gt;"",ISNUMBER($J359)),IF(INT($J359)-TODAY()&lt;=Set_DueSoonDays,INT($J359)+ROW()/10000,""),"")</f>
        <v/>
      </c>
    </row>
    <row r="360">
      <c r="A360" s="82" t="n"/>
      <c r="B360" s="82" t="n"/>
      <c r="C360" s="82" t="n"/>
      <c r="D360" s="83" t="n"/>
      <c r="E360" s="81" t="n"/>
      <c r="F360" s="82" t="n"/>
      <c r="G360" s="84" t="n"/>
      <c r="H360" s="81" t="n"/>
      <c r="I360" s="82" t="n"/>
      <c r="J360" s="81" t="n"/>
      <c r="K360" s="84" t="n"/>
      <c r="L360" s="86" t="n"/>
      <c r="M360" s="87">
        <f>IF(AND($A360&lt;&gt;"",ISNUMBER($J360)),IF(INT($J360)-TODAY()&lt;=Set_DueSoonDays,INT($J360)+ROW()/10000,""),"")</f>
        <v/>
      </c>
    </row>
    <row r="361">
      <c r="A361" s="82" t="n"/>
      <c r="B361" s="82" t="n"/>
      <c r="C361" s="82" t="n"/>
      <c r="D361" s="83" t="n"/>
      <c r="E361" s="81" t="n"/>
      <c r="F361" s="82" t="n"/>
      <c r="G361" s="84" t="n"/>
      <c r="H361" s="81" t="n"/>
      <c r="I361" s="82" t="n"/>
      <c r="J361" s="81" t="n"/>
      <c r="K361" s="84" t="n"/>
      <c r="L361" s="86" t="n"/>
      <c r="M361" s="87">
        <f>IF(AND($A361&lt;&gt;"",ISNUMBER($J361)),IF(INT($J361)-TODAY()&lt;=Set_DueSoonDays,INT($J361)+ROW()/10000,""),"")</f>
        <v/>
      </c>
    </row>
    <row r="362">
      <c r="A362" s="82" t="n"/>
      <c r="B362" s="82" t="n"/>
      <c r="C362" s="82" t="n"/>
      <c r="D362" s="83" t="n"/>
      <c r="E362" s="81" t="n"/>
      <c r="F362" s="82" t="n"/>
      <c r="G362" s="84" t="n"/>
      <c r="H362" s="81" t="n"/>
      <c r="I362" s="82" t="n"/>
      <c r="J362" s="81" t="n"/>
      <c r="K362" s="84" t="n"/>
      <c r="L362" s="86" t="n"/>
      <c r="M362" s="87">
        <f>IF(AND($A362&lt;&gt;"",ISNUMBER($J362)),IF(INT($J362)-TODAY()&lt;=Set_DueSoonDays,INT($J362)+ROW()/10000,""),"")</f>
        <v/>
      </c>
    </row>
    <row r="363">
      <c r="A363" s="82" t="n"/>
      <c r="B363" s="82" t="n"/>
      <c r="C363" s="82" t="n"/>
      <c r="D363" s="83" t="n"/>
      <c r="E363" s="81" t="n"/>
      <c r="F363" s="82" t="n"/>
      <c r="G363" s="84" t="n"/>
      <c r="H363" s="81" t="n"/>
      <c r="I363" s="82" t="n"/>
      <c r="J363" s="81" t="n"/>
      <c r="K363" s="84" t="n"/>
      <c r="L363" s="86" t="n"/>
      <c r="M363" s="87">
        <f>IF(AND($A363&lt;&gt;"",ISNUMBER($J363)),IF(INT($J363)-TODAY()&lt;=Set_DueSoonDays,INT($J363)+ROW()/10000,""),"")</f>
        <v/>
      </c>
    </row>
    <row r="364">
      <c r="A364" s="82" t="n"/>
      <c r="B364" s="82" t="n"/>
      <c r="C364" s="82" t="n"/>
      <c r="D364" s="83" t="n"/>
      <c r="E364" s="81" t="n"/>
      <c r="F364" s="82" t="n"/>
      <c r="G364" s="84" t="n"/>
      <c r="H364" s="81" t="n"/>
      <c r="I364" s="82" t="n"/>
      <c r="J364" s="81" t="n"/>
      <c r="K364" s="84" t="n"/>
      <c r="L364" s="86" t="n"/>
      <c r="M364" s="87">
        <f>IF(AND($A364&lt;&gt;"",ISNUMBER($J364)),IF(INT($J364)-TODAY()&lt;=Set_DueSoonDays,INT($J364)+ROW()/10000,""),"")</f>
        <v/>
      </c>
    </row>
    <row r="365">
      <c r="A365" s="82" t="n"/>
      <c r="B365" s="82" t="n"/>
      <c r="C365" s="82" t="n"/>
      <c r="D365" s="83" t="n"/>
      <c r="E365" s="81" t="n"/>
      <c r="F365" s="82" t="n"/>
      <c r="G365" s="84" t="n"/>
      <c r="H365" s="81" t="n"/>
      <c r="I365" s="82" t="n"/>
      <c r="J365" s="81" t="n"/>
      <c r="K365" s="84" t="n"/>
      <c r="L365" s="86" t="n"/>
      <c r="M365" s="87">
        <f>IF(AND($A365&lt;&gt;"",ISNUMBER($J365)),IF(INT($J365)-TODAY()&lt;=Set_DueSoonDays,INT($J365)+ROW()/10000,""),"")</f>
        <v/>
      </c>
    </row>
    <row r="366">
      <c r="A366" s="82" t="n"/>
      <c r="B366" s="82" t="n"/>
      <c r="C366" s="82" t="n"/>
      <c r="D366" s="83" t="n"/>
      <c r="E366" s="81" t="n"/>
      <c r="F366" s="82" t="n"/>
      <c r="G366" s="84" t="n"/>
      <c r="H366" s="81" t="n"/>
      <c r="I366" s="82" t="n"/>
      <c r="J366" s="81" t="n"/>
      <c r="K366" s="84" t="n"/>
      <c r="L366" s="86" t="n"/>
      <c r="M366" s="87">
        <f>IF(AND($A366&lt;&gt;"",ISNUMBER($J366)),IF(INT($J366)-TODAY()&lt;=Set_DueSoonDays,INT($J366)+ROW()/10000,""),"")</f>
        <v/>
      </c>
    </row>
    <row r="367">
      <c r="A367" s="82" t="n"/>
      <c r="B367" s="82" t="n"/>
      <c r="C367" s="82" t="n"/>
      <c r="D367" s="83" t="n"/>
      <c r="E367" s="81" t="n"/>
      <c r="F367" s="82" t="n"/>
      <c r="G367" s="84" t="n"/>
      <c r="H367" s="81" t="n"/>
      <c r="I367" s="82" t="n"/>
      <c r="J367" s="81" t="n"/>
      <c r="K367" s="84" t="n"/>
      <c r="L367" s="86" t="n"/>
      <c r="M367" s="87">
        <f>IF(AND($A367&lt;&gt;"",ISNUMBER($J367)),IF(INT($J367)-TODAY()&lt;=Set_DueSoonDays,INT($J367)+ROW()/10000,""),"")</f>
        <v/>
      </c>
    </row>
    <row r="368">
      <c r="A368" s="82" t="n"/>
      <c r="B368" s="82" t="n"/>
      <c r="C368" s="82" t="n"/>
      <c r="D368" s="83" t="n"/>
      <c r="E368" s="81" t="n"/>
      <c r="F368" s="82" t="n"/>
      <c r="G368" s="84" t="n"/>
      <c r="H368" s="81" t="n"/>
      <c r="I368" s="82" t="n"/>
      <c r="J368" s="81" t="n"/>
      <c r="K368" s="84" t="n"/>
      <c r="L368" s="86" t="n"/>
      <c r="M368" s="87">
        <f>IF(AND($A368&lt;&gt;"",ISNUMBER($J368)),IF(INT($J368)-TODAY()&lt;=Set_DueSoonDays,INT($J368)+ROW()/10000,""),"")</f>
        <v/>
      </c>
    </row>
    <row r="369">
      <c r="A369" s="82" t="n"/>
      <c r="B369" s="82" t="n"/>
      <c r="C369" s="82" t="n"/>
      <c r="D369" s="83" t="n"/>
      <c r="E369" s="81" t="n"/>
      <c r="F369" s="82" t="n"/>
      <c r="G369" s="84" t="n"/>
      <c r="H369" s="81" t="n"/>
      <c r="I369" s="82" t="n"/>
      <c r="J369" s="81" t="n"/>
      <c r="K369" s="84" t="n"/>
      <c r="L369" s="86" t="n"/>
      <c r="M369" s="87">
        <f>IF(AND($A369&lt;&gt;"",ISNUMBER($J369)),IF(INT($J369)-TODAY()&lt;=Set_DueSoonDays,INT($J369)+ROW()/10000,""),"")</f>
        <v/>
      </c>
    </row>
    <row r="370">
      <c r="A370" s="82" t="n"/>
      <c r="B370" s="82" t="n"/>
      <c r="C370" s="82" t="n"/>
      <c r="D370" s="83" t="n"/>
      <c r="E370" s="81" t="n"/>
      <c r="F370" s="82" t="n"/>
      <c r="G370" s="84" t="n"/>
      <c r="H370" s="81" t="n"/>
      <c r="I370" s="82" t="n"/>
      <c r="J370" s="81" t="n"/>
      <c r="K370" s="84" t="n"/>
      <c r="L370" s="86" t="n"/>
      <c r="M370" s="87">
        <f>IF(AND($A370&lt;&gt;"",ISNUMBER($J370)),IF(INT($J370)-TODAY()&lt;=Set_DueSoonDays,INT($J370)+ROW()/10000,""),"")</f>
        <v/>
      </c>
    </row>
    <row r="371">
      <c r="A371" s="82" t="n"/>
      <c r="B371" s="82" t="n"/>
      <c r="C371" s="82" t="n"/>
      <c r="D371" s="83" t="n"/>
      <c r="E371" s="81" t="n"/>
      <c r="F371" s="82" t="n"/>
      <c r="G371" s="84" t="n"/>
      <c r="H371" s="81" t="n"/>
      <c r="I371" s="82" t="n"/>
      <c r="J371" s="81" t="n"/>
      <c r="K371" s="84" t="n"/>
      <c r="L371" s="86" t="n"/>
      <c r="M371" s="87">
        <f>IF(AND($A371&lt;&gt;"",ISNUMBER($J371)),IF(INT($J371)-TODAY()&lt;=Set_DueSoonDays,INT($J371)+ROW()/10000,""),"")</f>
        <v/>
      </c>
    </row>
    <row r="372">
      <c r="A372" s="82" t="n"/>
      <c r="B372" s="82" t="n"/>
      <c r="C372" s="82" t="n"/>
      <c r="D372" s="83" t="n"/>
      <c r="E372" s="81" t="n"/>
      <c r="F372" s="82" t="n"/>
      <c r="G372" s="84" t="n"/>
      <c r="H372" s="81" t="n"/>
      <c r="I372" s="82" t="n"/>
      <c r="J372" s="81" t="n"/>
      <c r="K372" s="84" t="n"/>
      <c r="L372" s="86" t="n"/>
      <c r="M372" s="87">
        <f>IF(AND($A372&lt;&gt;"",ISNUMBER($J372)),IF(INT($J372)-TODAY()&lt;=Set_DueSoonDays,INT($J372)+ROW()/10000,""),"")</f>
        <v/>
      </c>
    </row>
    <row r="373">
      <c r="A373" s="82" t="n"/>
      <c r="B373" s="82" t="n"/>
      <c r="C373" s="82" t="n"/>
      <c r="D373" s="83" t="n"/>
      <c r="E373" s="81" t="n"/>
      <c r="F373" s="82" t="n"/>
      <c r="G373" s="84" t="n"/>
      <c r="H373" s="81" t="n"/>
      <c r="I373" s="82" t="n"/>
      <c r="J373" s="81" t="n"/>
      <c r="K373" s="84" t="n"/>
      <c r="L373" s="86" t="n"/>
      <c r="M373" s="87">
        <f>IF(AND($A373&lt;&gt;"",ISNUMBER($J373)),IF(INT($J373)-TODAY()&lt;=Set_DueSoonDays,INT($J373)+ROW()/10000,""),"")</f>
        <v/>
      </c>
    </row>
    <row r="374">
      <c r="A374" s="82" t="n"/>
      <c r="B374" s="82" t="n"/>
      <c r="C374" s="82" t="n"/>
      <c r="D374" s="83" t="n"/>
      <c r="E374" s="81" t="n"/>
      <c r="F374" s="82" t="n"/>
      <c r="G374" s="84" t="n"/>
      <c r="H374" s="81" t="n"/>
      <c r="I374" s="82" t="n"/>
      <c r="J374" s="81" t="n"/>
      <c r="K374" s="84" t="n"/>
      <c r="L374" s="86" t="n"/>
      <c r="M374" s="87">
        <f>IF(AND($A374&lt;&gt;"",ISNUMBER($J374)),IF(INT($J374)-TODAY()&lt;=Set_DueSoonDays,INT($J374)+ROW()/10000,""),"")</f>
        <v/>
      </c>
    </row>
    <row r="375">
      <c r="A375" s="82" t="n"/>
      <c r="B375" s="82" t="n"/>
      <c r="C375" s="82" t="n"/>
      <c r="D375" s="83" t="n"/>
      <c r="E375" s="81" t="n"/>
      <c r="F375" s="82" t="n"/>
      <c r="G375" s="84" t="n"/>
      <c r="H375" s="81" t="n"/>
      <c r="I375" s="82" t="n"/>
      <c r="J375" s="81" t="n"/>
      <c r="K375" s="84" t="n"/>
      <c r="L375" s="86" t="n"/>
      <c r="M375" s="87">
        <f>IF(AND($A375&lt;&gt;"",ISNUMBER($J375)),IF(INT($J375)-TODAY()&lt;=Set_DueSoonDays,INT($J375)+ROW()/10000,""),"")</f>
        <v/>
      </c>
    </row>
    <row r="376">
      <c r="A376" s="82" t="n"/>
      <c r="B376" s="82" t="n"/>
      <c r="C376" s="82" t="n"/>
      <c r="D376" s="83" t="n"/>
      <c r="E376" s="81" t="n"/>
      <c r="F376" s="82" t="n"/>
      <c r="G376" s="84" t="n"/>
      <c r="H376" s="81" t="n"/>
      <c r="I376" s="82" t="n"/>
      <c r="J376" s="81" t="n"/>
      <c r="K376" s="84" t="n"/>
      <c r="L376" s="86" t="n"/>
      <c r="M376" s="87">
        <f>IF(AND($A376&lt;&gt;"",ISNUMBER($J376)),IF(INT($J376)-TODAY()&lt;=Set_DueSoonDays,INT($J376)+ROW()/10000,""),"")</f>
        <v/>
      </c>
    </row>
    <row r="377">
      <c r="A377" s="82" t="n"/>
      <c r="B377" s="82" t="n"/>
      <c r="C377" s="82" t="n"/>
      <c r="D377" s="83" t="n"/>
      <c r="E377" s="81" t="n"/>
      <c r="F377" s="82" t="n"/>
      <c r="G377" s="84" t="n"/>
      <c r="H377" s="81" t="n"/>
      <c r="I377" s="82" t="n"/>
      <c r="J377" s="81" t="n"/>
      <c r="K377" s="84" t="n"/>
      <c r="L377" s="86" t="n"/>
      <c r="M377" s="87">
        <f>IF(AND($A377&lt;&gt;"",ISNUMBER($J377)),IF(INT($J377)-TODAY()&lt;=Set_DueSoonDays,INT($J377)+ROW()/10000,""),"")</f>
        <v/>
      </c>
    </row>
    <row r="378">
      <c r="A378" s="82" t="n"/>
      <c r="B378" s="82" t="n"/>
      <c r="C378" s="82" t="n"/>
      <c r="D378" s="83" t="n"/>
      <c r="E378" s="81" t="n"/>
      <c r="F378" s="82" t="n"/>
      <c r="G378" s="84" t="n"/>
      <c r="H378" s="81" t="n"/>
      <c r="I378" s="82" t="n"/>
      <c r="J378" s="81" t="n"/>
      <c r="K378" s="84" t="n"/>
      <c r="L378" s="86" t="n"/>
      <c r="M378" s="87">
        <f>IF(AND($A378&lt;&gt;"",ISNUMBER($J378)),IF(INT($J378)-TODAY()&lt;=Set_DueSoonDays,INT($J378)+ROW()/10000,""),"")</f>
        <v/>
      </c>
    </row>
    <row r="379">
      <c r="A379" s="82" t="n"/>
      <c r="B379" s="82" t="n"/>
      <c r="C379" s="82" t="n"/>
      <c r="D379" s="83" t="n"/>
      <c r="E379" s="81" t="n"/>
      <c r="F379" s="82" t="n"/>
      <c r="G379" s="84" t="n"/>
      <c r="H379" s="81" t="n"/>
      <c r="I379" s="82" t="n"/>
      <c r="J379" s="81" t="n"/>
      <c r="K379" s="84" t="n"/>
      <c r="L379" s="86" t="n"/>
      <c r="M379" s="87">
        <f>IF(AND($A379&lt;&gt;"",ISNUMBER($J379)),IF(INT($J379)-TODAY()&lt;=Set_DueSoonDays,INT($J379)+ROW()/10000,""),"")</f>
        <v/>
      </c>
    </row>
    <row r="380">
      <c r="A380" s="82" t="n"/>
      <c r="B380" s="82" t="n"/>
      <c r="C380" s="82" t="n"/>
      <c r="D380" s="83" t="n"/>
      <c r="E380" s="81" t="n"/>
      <c r="F380" s="82" t="n"/>
      <c r="G380" s="84" t="n"/>
      <c r="H380" s="81" t="n"/>
      <c r="I380" s="82" t="n"/>
      <c r="J380" s="81" t="n"/>
      <c r="K380" s="84" t="n"/>
      <c r="L380" s="86" t="n"/>
      <c r="M380" s="87">
        <f>IF(AND($A380&lt;&gt;"",ISNUMBER($J380)),IF(INT($J380)-TODAY()&lt;=Set_DueSoonDays,INT($J380)+ROW()/10000,""),"")</f>
        <v/>
      </c>
    </row>
    <row r="381">
      <c r="A381" s="82" t="n"/>
      <c r="B381" s="82" t="n"/>
      <c r="C381" s="82" t="n"/>
      <c r="D381" s="83" t="n"/>
      <c r="E381" s="81" t="n"/>
      <c r="F381" s="82" t="n"/>
      <c r="G381" s="84" t="n"/>
      <c r="H381" s="81" t="n"/>
      <c r="I381" s="82" t="n"/>
      <c r="J381" s="81" t="n"/>
      <c r="K381" s="84" t="n"/>
      <c r="L381" s="86" t="n"/>
      <c r="M381" s="87">
        <f>IF(AND($A381&lt;&gt;"",ISNUMBER($J381)),IF(INT($J381)-TODAY()&lt;=Set_DueSoonDays,INT($J381)+ROW()/10000,""),"")</f>
        <v/>
      </c>
    </row>
    <row r="382">
      <c r="A382" s="82" t="n"/>
      <c r="B382" s="82" t="n"/>
      <c r="C382" s="82" t="n"/>
      <c r="D382" s="83" t="n"/>
      <c r="E382" s="81" t="n"/>
      <c r="F382" s="82" t="n"/>
      <c r="G382" s="84" t="n"/>
      <c r="H382" s="81" t="n"/>
      <c r="I382" s="82" t="n"/>
      <c r="J382" s="81" t="n"/>
      <c r="K382" s="84" t="n"/>
      <c r="L382" s="86" t="n"/>
      <c r="M382" s="87">
        <f>IF(AND($A382&lt;&gt;"",ISNUMBER($J382)),IF(INT($J382)-TODAY()&lt;=Set_DueSoonDays,INT($J382)+ROW()/10000,""),"")</f>
        <v/>
      </c>
    </row>
    <row r="383">
      <c r="A383" s="82" t="n"/>
      <c r="B383" s="82" t="n"/>
      <c r="C383" s="82" t="n"/>
      <c r="D383" s="83" t="n"/>
      <c r="E383" s="81" t="n"/>
      <c r="F383" s="82" t="n"/>
      <c r="G383" s="84" t="n"/>
      <c r="H383" s="81" t="n"/>
      <c r="I383" s="82" t="n"/>
      <c r="J383" s="81" t="n"/>
      <c r="K383" s="84" t="n"/>
      <c r="L383" s="86" t="n"/>
      <c r="M383" s="87">
        <f>IF(AND($A383&lt;&gt;"",ISNUMBER($J383)),IF(INT($J383)-TODAY()&lt;=Set_DueSoonDays,INT($J383)+ROW()/10000,""),"")</f>
        <v/>
      </c>
    </row>
    <row r="384">
      <c r="A384" s="82" t="n"/>
      <c r="B384" s="82" t="n"/>
      <c r="C384" s="82" t="n"/>
      <c r="D384" s="83" t="n"/>
      <c r="E384" s="81" t="n"/>
      <c r="F384" s="82" t="n"/>
      <c r="G384" s="84" t="n"/>
      <c r="H384" s="81" t="n"/>
      <c r="I384" s="82" t="n"/>
      <c r="J384" s="81" t="n"/>
      <c r="K384" s="84" t="n"/>
      <c r="L384" s="86" t="n"/>
      <c r="M384" s="87">
        <f>IF(AND($A384&lt;&gt;"",ISNUMBER($J384)),IF(INT($J384)-TODAY()&lt;=Set_DueSoonDays,INT($J384)+ROW()/10000,""),"")</f>
        <v/>
      </c>
    </row>
    <row r="385">
      <c r="A385" s="82" t="n"/>
      <c r="B385" s="82" t="n"/>
      <c r="C385" s="82" t="n"/>
      <c r="D385" s="83" t="n"/>
      <c r="E385" s="81" t="n"/>
      <c r="F385" s="82" t="n"/>
      <c r="G385" s="84" t="n"/>
      <c r="H385" s="81" t="n"/>
      <c r="I385" s="82" t="n"/>
      <c r="J385" s="81" t="n"/>
      <c r="K385" s="84" t="n"/>
      <c r="L385" s="86" t="n"/>
      <c r="M385" s="87">
        <f>IF(AND($A385&lt;&gt;"",ISNUMBER($J385)),IF(INT($J385)-TODAY()&lt;=Set_DueSoonDays,INT($J385)+ROW()/10000,""),"")</f>
        <v/>
      </c>
    </row>
    <row r="386">
      <c r="A386" s="82" t="n"/>
      <c r="B386" s="82" t="n"/>
      <c r="C386" s="82" t="n"/>
      <c r="D386" s="83" t="n"/>
      <c r="E386" s="81" t="n"/>
      <c r="F386" s="82" t="n"/>
      <c r="G386" s="84" t="n"/>
      <c r="H386" s="81" t="n"/>
      <c r="I386" s="82" t="n"/>
      <c r="J386" s="81" t="n"/>
      <c r="K386" s="84" t="n"/>
      <c r="L386" s="86" t="n"/>
      <c r="M386" s="87">
        <f>IF(AND($A386&lt;&gt;"",ISNUMBER($J386)),IF(INT($J386)-TODAY()&lt;=Set_DueSoonDays,INT($J386)+ROW()/10000,""),"")</f>
        <v/>
      </c>
    </row>
    <row r="387">
      <c r="A387" s="82" t="n"/>
      <c r="B387" s="82" t="n"/>
      <c r="C387" s="82" t="n"/>
      <c r="D387" s="83" t="n"/>
      <c r="E387" s="81" t="n"/>
      <c r="F387" s="82" t="n"/>
      <c r="G387" s="84" t="n"/>
      <c r="H387" s="81" t="n"/>
      <c r="I387" s="82" t="n"/>
      <c r="J387" s="81" t="n"/>
      <c r="K387" s="84" t="n"/>
      <c r="L387" s="86" t="n"/>
      <c r="M387" s="87">
        <f>IF(AND($A387&lt;&gt;"",ISNUMBER($J387)),IF(INT($J387)-TODAY()&lt;=Set_DueSoonDays,INT($J387)+ROW()/10000,""),"")</f>
        <v/>
      </c>
    </row>
    <row r="388">
      <c r="A388" s="82" t="n"/>
      <c r="B388" s="82" t="n"/>
      <c r="C388" s="82" t="n"/>
      <c r="D388" s="83" t="n"/>
      <c r="E388" s="81" t="n"/>
      <c r="F388" s="82" t="n"/>
      <c r="G388" s="84" t="n"/>
      <c r="H388" s="81" t="n"/>
      <c r="I388" s="82" t="n"/>
      <c r="J388" s="81" t="n"/>
      <c r="K388" s="84" t="n"/>
      <c r="L388" s="86" t="n"/>
      <c r="M388" s="87">
        <f>IF(AND($A388&lt;&gt;"",ISNUMBER($J388)),IF(INT($J388)-TODAY()&lt;=Set_DueSoonDays,INT($J388)+ROW()/10000,""),"")</f>
        <v/>
      </c>
    </row>
    <row r="389">
      <c r="A389" s="82" t="n"/>
      <c r="B389" s="82" t="n"/>
      <c r="C389" s="82" t="n"/>
      <c r="D389" s="83" t="n"/>
      <c r="E389" s="81" t="n"/>
      <c r="F389" s="82" t="n"/>
      <c r="G389" s="84" t="n"/>
      <c r="H389" s="81" t="n"/>
      <c r="I389" s="82" t="n"/>
      <c r="J389" s="81" t="n"/>
      <c r="K389" s="84" t="n"/>
      <c r="L389" s="86" t="n"/>
      <c r="M389" s="87">
        <f>IF(AND($A389&lt;&gt;"",ISNUMBER($J389)),IF(INT($J389)-TODAY()&lt;=Set_DueSoonDays,INT($J389)+ROW()/10000,""),"")</f>
        <v/>
      </c>
    </row>
    <row r="390">
      <c r="A390" s="82" t="n"/>
      <c r="B390" s="82" t="n"/>
      <c r="C390" s="82" t="n"/>
      <c r="D390" s="83" t="n"/>
      <c r="E390" s="81" t="n"/>
      <c r="F390" s="82" t="n"/>
      <c r="G390" s="84" t="n"/>
      <c r="H390" s="81" t="n"/>
      <c r="I390" s="82" t="n"/>
      <c r="J390" s="81" t="n"/>
      <c r="K390" s="84" t="n"/>
      <c r="L390" s="86" t="n"/>
      <c r="M390" s="87">
        <f>IF(AND($A390&lt;&gt;"",ISNUMBER($J390)),IF(INT($J390)-TODAY()&lt;=Set_DueSoonDays,INT($J390)+ROW()/10000,""),"")</f>
        <v/>
      </c>
    </row>
    <row r="391">
      <c r="A391" s="82" t="n"/>
      <c r="B391" s="82" t="n"/>
      <c r="C391" s="82" t="n"/>
      <c r="D391" s="83" t="n"/>
      <c r="E391" s="81" t="n"/>
      <c r="F391" s="82" t="n"/>
      <c r="G391" s="84" t="n"/>
      <c r="H391" s="81" t="n"/>
      <c r="I391" s="82" t="n"/>
      <c r="J391" s="81" t="n"/>
      <c r="K391" s="84" t="n"/>
      <c r="L391" s="86" t="n"/>
      <c r="M391" s="87">
        <f>IF(AND($A391&lt;&gt;"",ISNUMBER($J391)),IF(INT($J391)-TODAY()&lt;=Set_DueSoonDays,INT($J391)+ROW()/10000,""),"")</f>
        <v/>
      </c>
    </row>
    <row r="392">
      <c r="A392" s="82" t="n"/>
      <c r="B392" s="82" t="n"/>
      <c r="C392" s="82" t="n"/>
      <c r="D392" s="83" t="n"/>
      <c r="E392" s="81" t="n"/>
      <c r="F392" s="82" t="n"/>
      <c r="G392" s="84" t="n"/>
      <c r="H392" s="81" t="n"/>
      <c r="I392" s="82" t="n"/>
      <c r="J392" s="81" t="n"/>
      <c r="K392" s="84" t="n"/>
      <c r="L392" s="86" t="n"/>
      <c r="M392" s="87">
        <f>IF(AND($A392&lt;&gt;"",ISNUMBER($J392)),IF(INT($J392)-TODAY()&lt;=Set_DueSoonDays,INT($J392)+ROW()/10000,""),"")</f>
        <v/>
      </c>
    </row>
    <row r="393">
      <c r="A393" s="82" t="n"/>
      <c r="B393" s="82" t="n"/>
      <c r="C393" s="82" t="n"/>
      <c r="D393" s="83" t="n"/>
      <c r="E393" s="81" t="n"/>
      <c r="F393" s="82" t="n"/>
      <c r="G393" s="84" t="n"/>
      <c r="H393" s="81" t="n"/>
      <c r="I393" s="82" t="n"/>
      <c r="J393" s="81" t="n"/>
      <c r="K393" s="84" t="n"/>
      <c r="L393" s="86" t="n"/>
      <c r="M393" s="87">
        <f>IF(AND($A393&lt;&gt;"",ISNUMBER($J393)),IF(INT($J393)-TODAY()&lt;=Set_DueSoonDays,INT($J393)+ROW()/10000,""),"")</f>
        <v/>
      </c>
    </row>
    <row r="394">
      <c r="A394" s="82" t="n"/>
      <c r="B394" s="82" t="n"/>
      <c r="C394" s="82" t="n"/>
      <c r="D394" s="83" t="n"/>
      <c r="E394" s="81" t="n"/>
      <c r="F394" s="82" t="n"/>
      <c r="G394" s="84" t="n"/>
      <c r="H394" s="81" t="n"/>
      <c r="I394" s="82" t="n"/>
      <c r="J394" s="81" t="n"/>
      <c r="K394" s="84" t="n"/>
      <c r="L394" s="86" t="n"/>
      <c r="M394" s="87">
        <f>IF(AND($A394&lt;&gt;"",ISNUMBER($J394)),IF(INT($J394)-TODAY()&lt;=Set_DueSoonDays,INT($J394)+ROW()/10000,""),"")</f>
        <v/>
      </c>
    </row>
    <row r="395">
      <c r="A395" s="82" t="n"/>
      <c r="B395" s="82" t="n"/>
      <c r="C395" s="82" t="n"/>
      <c r="D395" s="83" t="n"/>
      <c r="E395" s="81" t="n"/>
      <c r="F395" s="82" t="n"/>
      <c r="G395" s="84" t="n"/>
      <c r="H395" s="81" t="n"/>
      <c r="I395" s="82" t="n"/>
      <c r="J395" s="81" t="n"/>
      <c r="K395" s="84" t="n"/>
      <c r="L395" s="86" t="n"/>
      <c r="M395" s="87">
        <f>IF(AND($A395&lt;&gt;"",ISNUMBER($J395)),IF(INT($J395)-TODAY()&lt;=Set_DueSoonDays,INT($J395)+ROW()/10000,""),"")</f>
        <v/>
      </c>
    </row>
    <row r="396">
      <c r="A396" s="82" t="n"/>
      <c r="B396" s="82" t="n"/>
      <c r="C396" s="82" t="n"/>
      <c r="D396" s="83" t="n"/>
      <c r="E396" s="81" t="n"/>
      <c r="F396" s="82" t="n"/>
      <c r="G396" s="84" t="n"/>
      <c r="H396" s="81" t="n"/>
      <c r="I396" s="82" t="n"/>
      <c r="J396" s="81" t="n"/>
      <c r="K396" s="84" t="n"/>
      <c r="L396" s="86" t="n"/>
      <c r="M396" s="87">
        <f>IF(AND($A396&lt;&gt;"",ISNUMBER($J396)),IF(INT($J396)-TODAY()&lt;=Set_DueSoonDays,INT($J396)+ROW()/10000,""),"")</f>
        <v/>
      </c>
    </row>
    <row r="397">
      <c r="A397" s="82" t="n"/>
      <c r="B397" s="82" t="n"/>
      <c r="C397" s="82" t="n"/>
      <c r="D397" s="83" t="n"/>
      <c r="E397" s="81" t="n"/>
      <c r="F397" s="82" t="n"/>
      <c r="G397" s="84" t="n"/>
      <c r="H397" s="81" t="n"/>
      <c r="I397" s="82" t="n"/>
      <c r="J397" s="81" t="n"/>
      <c r="K397" s="84" t="n"/>
      <c r="L397" s="86" t="n"/>
      <c r="M397" s="87">
        <f>IF(AND($A397&lt;&gt;"",ISNUMBER($J397)),IF(INT($J397)-TODAY()&lt;=Set_DueSoonDays,INT($J397)+ROW()/10000,""),"")</f>
        <v/>
      </c>
    </row>
    <row r="398">
      <c r="A398" s="82" t="n"/>
      <c r="B398" s="82" t="n"/>
      <c r="C398" s="82" t="n"/>
      <c r="D398" s="83" t="n"/>
      <c r="E398" s="81" t="n"/>
      <c r="F398" s="82" t="n"/>
      <c r="G398" s="84" t="n"/>
      <c r="H398" s="81" t="n"/>
      <c r="I398" s="82" t="n"/>
      <c r="J398" s="81" t="n"/>
      <c r="K398" s="84" t="n"/>
      <c r="L398" s="86" t="n"/>
      <c r="M398" s="87">
        <f>IF(AND($A398&lt;&gt;"",ISNUMBER($J398)),IF(INT($J398)-TODAY()&lt;=Set_DueSoonDays,INT($J398)+ROW()/10000,""),"")</f>
        <v/>
      </c>
    </row>
    <row r="399">
      <c r="A399" s="82" t="n"/>
      <c r="B399" s="82" t="n"/>
      <c r="C399" s="82" t="n"/>
      <c r="D399" s="83" t="n"/>
      <c r="E399" s="81" t="n"/>
      <c r="F399" s="82" t="n"/>
      <c r="G399" s="84" t="n"/>
      <c r="H399" s="81" t="n"/>
      <c r="I399" s="82" t="n"/>
      <c r="J399" s="81" t="n"/>
      <c r="K399" s="84" t="n"/>
      <c r="L399" s="86" t="n"/>
      <c r="M399" s="87">
        <f>IF(AND($A399&lt;&gt;"",ISNUMBER($J399)),IF(INT($J399)-TODAY()&lt;=Set_DueSoonDays,INT($J399)+ROW()/10000,""),"")</f>
        <v/>
      </c>
    </row>
    <row r="400">
      <c r="A400" s="82" t="n"/>
      <c r="B400" s="82" t="n"/>
      <c r="C400" s="82" t="n"/>
      <c r="D400" s="83" t="n"/>
      <c r="E400" s="81" t="n"/>
      <c r="F400" s="82" t="n"/>
      <c r="G400" s="84" t="n"/>
      <c r="H400" s="81" t="n"/>
      <c r="I400" s="82" t="n"/>
      <c r="J400" s="81" t="n"/>
      <c r="K400" s="84" t="n"/>
      <c r="L400" s="86" t="n"/>
      <c r="M400" s="87">
        <f>IF(AND($A400&lt;&gt;"",ISNUMBER($J400)),IF(INT($J400)-TODAY()&lt;=Set_DueSoonDays,INT($J400)+ROW()/10000,""),"")</f>
        <v/>
      </c>
    </row>
    <row r="401">
      <c r="A401" s="82" t="n"/>
      <c r="B401" s="82" t="n"/>
      <c r="C401" s="82" t="n"/>
      <c r="D401" s="83" t="n"/>
      <c r="E401" s="81" t="n"/>
      <c r="F401" s="82" t="n"/>
      <c r="G401" s="84" t="n"/>
      <c r="H401" s="81" t="n"/>
      <c r="I401" s="82" t="n"/>
      <c r="J401" s="81" t="n"/>
      <c r="K401" s="84" t="n"/>
      <c r="L401" s="86" t="n"/>
      <c r="M401" s="87">
        <f>IF(AND($A401&lt;&gt;"",ISNUMBER($J401)),IF(INT($J401)-TODAY()&lt;=Set_DueSoonDays,INT($J401)+ROW()/10000,""),"")</f>
        <v/>
      </c>
    </row>
    <row r="402">
      <c r="A402" s="82" t="n"/>
      <c r="B402" s="82" t="n"/>
      <c r="C402" s="82" t="n"/>
      <c r="D402" s="83" t="n"/>
      <c r="E402" s="81" t="n"/>
      <c r="F402" s="82" t="n"/>
      <c r="G402" s="84" t="n"/>
      <c r="H402" s="81" t="n"/>
      <c r="I402" s="82" t="n"/>
      <c r="J402" s="81" t="n"/>
      <c r="K402" s="84" t="n"/>
      <c r="L402" s="86" t="n"/>
      <c r="M402" s="87">
        <f>IF(AND($A402&lt;&gt;"",ISNUMBER($J402)),IF(INT($J402)-TODAY()&lt;=Set_DueSoonDays,INT($J402)+ROW()/10000,""),"")</f>
        <v/>
      </c>
    </row>
    <row r="403">
      <c r="A403" s="82" t="n"/>
      <c r="B403" s="82" t="n"/>
      <c r="C403" s="82" t="n"/>
      <c r="D403" s="83" t="n"/>
      <c r="E403" s="81" t="n"/>
      <c r="F403" s="82" t="n"/>
      <c r="G403" s="84" t="n"/>
      <c r="H403" s="81" t="n"/>
      <c r="I403" s="82" t="n"/>
      <c r="J403" s="81" t="n"/>
      <c r="K403" s="84" t="n"/>
      <c r="L403" s="86" t="n"/>
      <c r="M403" s="87">
        <f>IF(AND($A403&lt;&gt;"",ISNUMBER($J403)),IF(INT($J403)-TODAY()&lt;=Set_DueSoonDays,INT($J403)+ROW()/10000,""),"")</f>
        <v/>
      </c>
    </row>
    <row r="404">
      <c r="A404" s="82" t="n"/>
      <c r="B404" s="82" t="n"/>
      <c r="C404" s="82" t="n"/>
      <c r="D404" s="83" t="n"/>
      <c r="E404" s="81" t="n"/>
      <c r="F404" s="82" t="n"/>
      <c r="G404" s="84" t="n"/>
      <c r="H404" s="81" t="n"/>
      <c r="I404" s="82" t="n"/>
      <c r="J404" s="81" t="n"/>
      <c r="K404" s="84" t="n"/>
      <c r="L404" s="86" t="n"/>
      <c r="M404" s="87">
        <f>IF(AND($A404&lt;&gt;"",ISNUMBER($J404)),IF(INT($J404)-TODAY()&lt;=Set_DueSoonDays,INT($J404)+ROW()/10000,""),"")</f>
        <v/>
      </c>
    </row>
    <row r="405">
      <c r="A405" s="82" t="n"/>
      <c r="B405" s="82" t="n"/>
      <c r="C405" s="82" t="n"/>
      <c r="D405" s="83" t="n"/>
      <c r="E405" s="81" t="n"/>
      <c r="F405" s="82" t="n"/>
      <c r="G405" s="84" t="n"/>
      <c r="H405" s="81" t="n"/>
      <c r="I405" s="82" t="n"/>
      <c r="J405" s="81" t="n"/>
      <c r="K405" s="84" t="n"/>
      <c r="L405" s="86" t="n"/>
      <c r="M405" s="87">
        <f>IF(AND($A405&lt;&gt;"",ISNUMBER($J405)),IF(INT($J405)-TODAY()&lt;=Set_DueSoonDays,INT($J405)+ROW()/10000,""),"")</f>
        <v/>
      </c>
    </row>
    <row r="406">
      <c r="A406" s="82" t="n"/>
      <c r="B406" s="82" t="n"/>
      <c r="C406" s="82" t="n"/>
      <c r="D406" s="83" t="n"/>
      <c r="E406" s="81" t="n"/>
      <c r="F406" s="82" t="n"/>
      <c r="G406" s="84" t="n"/>
      <c r="H406" s="81" t="n"/>
      <c r="I406" s="82" t="n"/>
      <c r="J406" s="81" t="n"/>
      <c r="K406" s="84" t="n"/>
      <c r="L406" s="86" t="n"/>
      <c r="M406" s="87">
        <f>IF(AND($A406&lt;&gt;"",ISNUMBER($J406)),IF(INT($J406)-TODAY()&lt;=Set_DueSoonDays,INT($J406)+ROW()/10000,""),"")</f>
        <v/>
      </c>
    </row>
    <row r="407">
      <c r="A407" s="82" t="n"/>
      <c r="B407" s="82" t="n"/>
      <c r="C407" s="82" t="n"/>
      <c r="D407" s="83" t="n"/>
      <c r="E407" s="81" t="n"/>
      <c r="F407" s="82" t="n"/>
      <c r="G407" s="84" t="n"/>
      <c r="H407" s="81" t="n"/>
      <c r="I407" s="82" t="n"/>
      <c r="J407" s="81" t="n"/>
      <c r="K407" s="84" t="n"/>
      <c r="L407" s="86" t="n"/>
      <c r="M407" s="87">
        <f>IF(AND($A407&lt;&gt;"",ISNUMBER($J407)),IF(INT($J407)-TODAY()&lt;=Set_DueSoonDays,INT($J407)+ROW()/10000,""),"")</f>
        <v/>
      </c>
    </row>
    <row r="408">
      <c r="A408" s="82" t="n"/>
      <c r="B408" s="82" t="n"/>
      <c r="C408" s="82" t="n"/>
      <c r="D408" s="83" t="n"/>
      <c r="E408" s="81" t="n"/>
      <c r="F408" s="82" t="n"/>
      <c r="G408" s="84" t="n"/>
      <c r="H408" s="81" t="n"/>
      <c r="I408" s="82" t="n"/>
      <c r="J408" s="81" t="n"/>
      <c r="K408" s="84" t="n"/>
      <c r="L408" s="86" t="n"/>
      <c r="M408" s="87">
        <f>IF(AND($A408&lt;&gt;"",ISNUMBER($J408)),IF(INT($J408)-TODAY()&lt;=Set_DueSoonDays,INT($J408)+ROW()/10000,""),"")</f>
        <v/>
      </c>
    </row>
    <row r="409">
      <c r="A409" s="82" t="n"/>
      <c r="B409" s="82" t="n"/>
      <c r="C409" s="82" t="n"/>
      <c r="D409" s="83" t="n"/>
      <c r="E409" s="81" t="n"/>
      <c r="F409" s="82" t="n"/>
      <c r="G409" s="84" t="n"/>
      <c r="H409" s="81" t="n"/>
      <c r="I409" s="82" t="n"/>
      <c r="J409" s="81" t="n"/>
      <c r="K409" s="84" t="n"/>
      <c r="L409" s="86" t="n"/>
      <c r="M409" s="87">
        <f>IF(AND($A409&lt;&gt;"",ISNUMBER($J409)),IF(INT($J409)-TODAY()&lt;=Set_DueSoonDays,INT($J409)+ROW()/10000,""),"")</f>
        <v/>
      </c>
    </row>
    <row r="410">
      <c r="A410" s="82" t="n"/>
      <c r="B410" s="82" t="n"/>
      <c r="C410" s="82" t="n"/>
      <c r="D410" s="83" t="n"/>
      <c r="E410" s="81" t="n"/>
      <c r="F410" s="82" t="n"/>
      <c r="G410" s="84" t="n"/>
      <c r="H410" s="81" t="n"/>
      <c r="I410" s="82" t="n"/>
      <c r="J410" s="81" t="n"/>
      <c r="K410" s="84" t="n"/>
      <c r="L410" s="86" t="n"/>
      <c r="M410" s="87">
        <f>IF(AND($A410&lt;&gt;"",ISNUMBER($J410)),IF(INT($J410)-TODAY()&lt;=Set_DueSoonDays,INT($J410)+ROW()/10000,""),"")</f>
        <v/>
      </c>
    </row>
    <row r="411">
      <c r="A411" s="82" t="n"/>
      <c r="B411" s="82" t="n"/>
      <c r="C411" s="82" t="n"/>
      <c r="D411" s="83" t="n"/>
      <c r="E411" s="81" t="n"/>
      <c r="F411" s="82" t="n"/>
      <c r="G411" s="84" t="n"/>
      <c r="H411" s="81" t="n"/>
      <c r="I411" s="82" t="n"/>
      <c r="J411" s="81" t="n"/>
      <c r="K411" s="84" t="n"/>
      <c r="L411" s="86" t="n"/>
      <c r="M411" s="87">
        <f>IF(AND($A411&lt;&gt;"",ISNUMBER($J411)),IF(INT($J411)-TODAY()&lt;=Set_DueSoonDays,INT($J411)+ROW()/10000,""),"")</f>
        <v/>
      </c>
    </row>
    <row r="412">
      <c r="A412" s="82" t="n"/>
      <c r="B412" s="82" t="n"/>
      <c r="C412" s="82" t="n"/>
      <c r="D412" s="83" t="n"/>
      <c r="E412" s="81" t="n"/>
      <c r="F412" s="82" t="n"/>
      <c r="G412" s="84" t="n"/>
      <c r="H412" s="81" t="n"/>
      <c r="I412" s="82" t="n"/>
      <c r="J412" s="81" t="n"/>
      <c r="K412" s="84" t="n"/>
      <c r="L412" s="86" t="n"/>
      <c r="M412" s="87">
        <f>IF(AND($A412&lt;&gt;"",ISNUMBER($J412)),IF(INT($J412)-TODAY()&lt;=Set_DueSoonDays,INT($J412)+ROW()/10000,""),"")</f>
        <v/>
      </c>
    </row>
    <row r="413">
      <c r="A413" s="82" t="n"/>
      <c r="B413" s="82" t="n"/>
      <c r="C413" s="82" t="n"/>
      <c r="D413" s="83" t="n"/>
      <c r="E413" s="81" t="n"/>
      <c r="F413" s="82" t="n"/>
      <c r="G413" s="84" t="n"/>
      <c r="H413" s="81" t="n"/>
      <c r="I413" s="82" t="n"/>
      <c r="J413" s="81" t="n"/>
      <c r="K413" s="84" t="n"/>
      <c r="L413" s="86" t="n"/>
      <c r="M413" s="87">
        <f>IF(AND($A413&lt;&gt;"",ISNUMBER($J413)),IF(INT($J413)-TODAY()&lt;=Set_DueSoonDays,INT($J413)+ROW()/10000,""),"")</f>
        <v/>
      </c>
    </row>
    <row r="414">
      <c r="A414" s="82" t="n"/>
      <c r="B414" s="82" t="n"/>
      <c r="C414" s="82" t="n"/>
      <c r="D414" s="83" t="n"/>
      <c r="E414" s="81" t="n"/>
      <c r="F414" s="82" t="n"/>
      <c r="G414" s="84" t="n"/>
      <c r="H414" s="81" t="n"/>
      <c r="I414" s="82" t="n"/>
      <c r="J414" s="81" t="n"/>
      <c r="K414" s="84" t="n"/>
      <c r="L414" s="86" t="n"/>
      <c r="M414" s="87">
        <f>IF(AND($A414&lt;&gt;"",ISNUMBER($J414)),IF(INT($J414)-TODAY()&lt;=Set_DueSoonDays,INT($J414)+ROW()/10000,""),"")</f>
        <v/>
      </c>
    </row>
    <row r="415">
      <c r="A415" s="82" t="n"/>
      <c r="B415" s="82" t="n"/>
      <c r="C415" s="82" t="n"/>
      <c r="D415" s="83" t="n"/>
      <c r="E415" s="81" t="n"/>
      <c r="F415" s="82" t="n"/>
      <c r="G415" s="84" t="n"/>
      <c r="H415" s="81" t="n"/>
      <c r="I415" s="82" t="n"/>
      <c r="J415" s="81" t="n"/>
      <c r="K415" s="84" t="n"/>
      <c r="L415" s="86" t="n"/>
      <c r="M415" s="87">
        <f>IF(AND($A415&lt;&gt;"",ISNUMBER($J415)),IF(INT($J415)-TODAY()&lt;=Set_DueSoonDays,INT($J415)+ROW()/10000,""),"")</f>
        <v/>
      </c>
    </row>
    <row r="416">
      <c r="A416" s="82" t="n"/>
      <c r="B416" s="82" t="n"/>
      <c r="C416" s="82" t="n"/>
      <c r="D416" s="83" t="n"/>
      <c r="E416" s="81" t="n"/>
      <c r="F416" s="82" t="n"/>
      <c r="G416" s="84" t="n"/>
      <c r="H416" s="81" t="n"/>
      <c r="I416" s="82" t="n"/>
      <c r="J416" s="81" t="n"/>
      <c r="K416" s="84" t="n"/>
      <c r="L416" s="86" t="n"/>
      <c r="M416" s="87">
        <f>IF(AND($A416&lt;&gt;"",ISNUMBER($J416)),IF(INT($J416)-TODAY()&lt;=Set_DueSoonDays,INT($J416)+ROW()/10000,""),"")</f>
        <v/>
      </c>
    </row>
    <row r="417">
      <c r="A417" s="82" t="n"/>
      <c r="B417" s="82" t="n"/>
      <c r="C417" s="82" t="n"/>
      <c r="D417" s="83" t="n"/>
      <c r="E417" s="81" t="n"/>
      <c r="F417" s="82" t="n"/>
      <c r="G417" s="84" t="n"/>
      <c r="H417" s="81" t="n"/>
      <c r="I417" s="82" t="n"/>
      <c r="J417" s="81" t="n"/>
      <c r="K417" s="84" t="n"/>
      <c r="L417" s="86" t="n"/>
      <c r="M417" s="87">
        <f>IF(AND($A417&lt;&gt;"",ISNUMBER($J417)),IF(INT($J417)-TODAY()&lt;=Set_DueSoonDays,INT($J417)+ROW()/10000,""),"")</f>
        <v/>
      </c>
    </row>
    <row r="418">
      <c r="A418" s="82" t="n"/>
      <c r="B418" s="82" t="n"/>
      <c r="C418" s="82" t="n"/>
      <c r="D418" s="83" t="n"/>
      <c r="E418" s="81" t="n"/>
      <c r="F418" s="82" t="n"/>
      <c r="G418" s="84" t="n"/>
      <c r="H418" s="81" t="n"/>
      <c r="I418" s="82" t="n"/>
      <c r="J418" s="81" t="n"/>
      <c r="K418" s="84" t="n"/>
      <c r="L418" s="86" t="n"/>
      <c r="M418" s="87">
        <f>IF(AND($A418&lt;&gt;"",ISNUMBER($J418)),IF(INT($J418)-TODAY()&lt;=Set_DueSoonDays,INT($J418)+ROW()/10000,""),"")</f>
        <v/>
      </c>
    </row>
    <row r="419">
      <c r="A419" s="82" t="n"/>
      <c r="B419" s="82" t="n"/>
      <c r="C419" s="82" t="n"/>
      <c r="D419" s="83" t="n"/>
      <c r="E419" s="81" t="n"/>
      <c r="F419" s="82" t="n"/>
      <c r="G419" s="84" t="n"/>
      <c r="H419" s="81" t="n"/>
      <c r="I419" s="82" t="n"/>
      <c r="J419" s="81" t="n"/>
      <c r="K419" s="84" t="n"/>
      <c r="L419" s="86" t="n"/>
      <c r="M419" s="87">
        <f>IF(AND($A419&lt;&gt;"",ISNUMBER($J419)),IF(INT($J419)-TODAY()&lt;=Set_DueSoonDays,INT($J419)+ROW()/10000,""),"")</f>
        <v/>
      </c>
    </row>
    <row r="420">
      <c r="A420" s="82" t="n"/>
      <c r="B420" s="82" t="n"/>
      <c r="C420" s="82" t="n"/>
      <c r="D420" s="83" t="n"/>
      <c r="E420" s="81" t="n"/>
      <c r="F420" s="82" t="n"/>
      <c r="G420" s="84" t="n"/>
      <c r="H420" s="81" t="n"/>
      <c r="I420" s="82" t="n"/>
      <c r="J420" s="81" t="n"/>
      <c r="K420" s="84" t="n"/>
      <c r="L420" s="86" t="n"/>
      <c r="M420" s="87">
        <f>IF(AND($A420&lt;&gt;"",ISNUMBER($J420)),IF(INT($J420)-TODAY()&lt;=Set_DueSoonDays,INT($J420)+ROW()/10000,""),"")</f>
        <v/>
      </c>
    </row>
    <row r="421">
      <c r="A421" s="82" t="n"/>
      <c r="B421" s="82" t="n"/>
      <c r="C421" s="82" t="n"/>
      <c r="D421" s="83" t="n"/>
      <c r="E421" s="81" t="n"/>
      <c r="F421" s="82" t="n"/>
      <c r="G421" s="84" t="n"/>
      <c r="H421" s="81" t="n"/>
      <c r="I421" s="82" t="n"/>
      <c r="J421" s="81" t="n"/>
      <c r="K421" s="84" t="n"/>
      <c r="L421" s="86" t="n"/>
      <c r="M421" s="87">
        <f>IF(AND($A421&lt;&gt;"",ISNUMBER($J421)),IF(INT($J421)-TODAY()&lt;=Set_DueSoonDays,INT($J421)+ROW()/10000,""),"")</f>
        <v/>
      </c>
    </row>
    <row r="422">
      <c r="A422" s="82" t="n"/>
      <c r="B422" s="82" t="n"/>
      <c r="C422" s="82" t="n"/>
      <c r="D422" s="83" t="n"/>
      <c r="E422" s="81" t="n"/>
      <c r="F422" s="82" t="n"/>
      <c r="G422" s="84" t="n"/>
      <c r="H422" s="81" t="n"/>
      <c r="I422" s="82" t="n"/>
      <c r="J422" s="81" t="n"/>
      <c r="K422" s="84" t="n"/>
      <c r="L422" s="86" t="n"/>
      <c r="M422" s="87">
        <f>IF(AND($A422&lt;&gt;"",ISNUMBER($J422)),IF(INT($J422)-TODAY()&lt;=Set_DueSoonDays,INT($J422)+ROW()/10000,""),"")</f>
        <v/>
      </c>
    </row>
    <row r="423">
      <c r="A423" s="82" t="n"/>
      <c r="B423" s="82" t="n"/>
      <c r="C423" s="82" t="n"/>
      <c r="D423" s="83" t="n"/>
      <c r="E423" s="81" t="n"/>
      <c r="F423" s="82" t="n"/>
      <c r="G423" s="84" t="n"/>
      <c r="H423" s="81" t="n"/>
      <c r="I423" s="82" t="n"/>
      <c r="J423" s="81" t="n"/>
      <c r="K423" s="84" t="n"/>
      <c r="L423" s="86" t="n"/>
      <c r="M423" s="87">
        <f>IF(AND($A423&lt;&gt;"",ISNUMBER($J423)),IF(INT($J423)-TODAY()&lt;=Set_DueSoonDays,INT($J423)+ROW()/10000,""),"")</f>
        <v/>
      </c>
    </row>
    <row r="424">
      <c r="A424" s="82" t="n"/>
      <c r="B424" s="82" t="n"/>
      <c r="C424" s="82" t="n"/>
      <c r="D424" s="83" t="n"/>
      <c r="E424" s="81" t="n"/>
      <c r="F424" s="82" t="n"/>
      <c r="G424" s="84" t="n"/>
      <c r="H424" s="81" t="n"/>
      <c r="I424" s="82" t="n"/>
      <c r="J424" s="81" t="n"/>
      <c r="K424" s="84" t="n"/>
      <c r="L424" s="86" t="n"/>
      <c r="M424" s="87">
        <f>IF(AND($A424&lt;&gt;"",ISNUMBER($J424)),IF(INT($J424)-TODAY()&lt;=Set_DueSoonDays,INT($J424)+ROW()/10000,""),"")</f>
        <v/>
      </c>
    </row>
    <row r="425">
      <c r="A425" s="82" t="n"/>
      <c r="B425" s="82" t="n"/>
      <c r="C425" s="82" t="n"/>
      <c r="D425" s="83" t="n"/>
      <c r="E425" s="81" t="n"/>
      <c r="F425" s="82" t="n"/>
      <c r="G425" s="84" t="n"/>
      <c r="H425" s="81" t="n"/>
      <c r="I425" s="82" t="n"/>
      <c r="J425" s="81" t="n"/>
      <c r="K425" s="84" t="n"/>
      <c r="L425" s="86" t="n"/>
      <c r="M425" s="87">
        <f>IF(AND($A425&lt;&gt;"",ISNUMBER($J425)),IF(INT($J425)-TODAY()&lt;=Set_DueSoonDays,INT($J425)+ROW()/10000,""),"")</f>
        <v/>
      </c>
    </row>
    <row r="426">
      <c r="A426" s="82" t="n"/>
      <c r="B426" s="82" t="n"/>
      <c r="C426" s="82" t="n"/>
      <c r="D426" s="83" t="n"/>
      <c r="E426" s="81" t="n"/>
      <c r="F426" s="82" t="n"/>
      <c r="G426" s="84" t="n"/>
      <c r="H426" s="81" t="n"/>
      <c r="I426" s="82" t="n"/>
      <c r="J426" s="81" t="n"/>
      <c r="K426" s="84" t="n"/>
      <c r="L426" s="86" t="n"/>
      <c r="M426" s="87">
        <f>IF(AND($A426&lt;&gt;"",ISNUMBER($J426)),IF(INT($J426)-TODAY()&lt;=Set_DueSoonDays,INT($J426)+ROW()/10000,""),"")</f>
        <v/>
      </c>
    </row>
    <row r="427">
      <c r="A427" s="82" t="n"/>
      <c r="B427" s="82" t="n"/>
      <c r="C427" s="82" t="n"/>
      <c r="D427" s="83" t="n"/>
      <c r="E427" s="81" t="n"/>
      <c r="F427" s="82" t="n"/>
      <c r="G427" s="84" t="n"/>
      <c r="H427" s="81" t="n"/>
      <c r="I427" s="82" t="n"/>
      <c r="J427" s="81" t="n"/>
      <c r="K427" s="84" t="n"/>
      <c r="L427" s="86" t="n"/>
      <c r="M427" s="87">
        <f>IF(AND($A427&lt;&gt;"",ISNUMBER($J427)),IF(INT($J427)-TODAY()&lt;=Set_DueSoonDays,INT($J427)+ROW()/10000,""),"")</f>
        <v/>
      </c>
    </row>
    <row r="428">
      <c r="A428" s="82" t="n"/>
      <c r="B428" s="82" t="n"/>
      <c r="C428" s="82" t="n"/>
      <c r="D428" s="83" t="n"/>
      <c r="E428" s="81" t="n"/>
      <c r="F428" s="82" t="n"/>
      <c r="G428" s="84" t="n"/>
      <c r="H428" s="81" t="n"/>
      <c r="I428" s="82" t="n"/>
      <c r="J428" s="81" t="n"/>
      <c r="K428" s="84" t="n"/>
      <c r="L428" s="86" t="n"/>
      <c r="M428" s="87">
        <f>IF(AND($A428&lt;&gt;"",ISNUMBER($J428)),IF(INT($J428)-TODAY()&lt;=Set_DueSoonDays,INT($J428)+ROW()/10000,""),"")</f>
        <v/>
      </c>
    </row>
    <row r="429">
      <c r="A429" s="82" t="n"/>
      <c r="B429" s="82" t="n"/>
      <c r="C429" s="82" t="n"/>
      <c r="D429" s="83" t="n"/>
      <c r="E429" s="81" t="n"/>
      <c r="F429" s="82" t="n"/>
      <c r="G429" s="84" t="n"/>
      <c r="H429" s="81" t="n"/>
      <c r="I429" s="82" t="n"/>
      <c r="J429" s="81" t="n"/>
      <c r="K429" s="84" t="n"/>
      <c r="L429" s="86" t="n"/>
      <c r="M429" s="87">
        <f>IF(AND($A429&lt;&gt;"",ISNUMBER($J429)),IF(INT($J429)-TODAY()&lt;=Set_DueSoonDays,INT($J429)+ROW()/10000,""),"")</f>
        <v/>
      </c>
    </row>
    <row r="430">
      <c r="A430" s="82" t="n"/>
      <c r="B430" s="82" t="n"/>
      <c r="C430" s="82" t="n"/>
      <c r="D430" s="83" t="n"/>
      <c r="E430" s="81" t="n"/>
      <c r="F430" s="82" t="n"/>
      <c r="G430" s="84" t="n"/>
      <c r="H430" s="81" t="n"/>
      <c r="I430" s="82" t="n"/>
      <c r="J430" s="81" t="n"/>
      <c r="K430" s="84" t="n"/>
      <c r="L430" s="86" t="n"/>
      <c r="M430" s="87">
        <f>IF(AND($A430&lt;&gt;"",ISNUMBER($J430)),IF(INT($J430)-TODAY()&lt;=Set_DueSoonDays,INT($J430)+ROW()/10000,""),"")</f>
        <v/>
      </c>
    </row>
    <row r="431">
      <c r="A431" s="82" t="n"/>
      <c r="B431" s="82" t="n"/>
      <c r="C431" s="82" t="n"/>
      <c r="D431" s="83" t="n"/>
      <c r="E431" s="81" t="n"/>
      <c r="F431" s="82" t="n"/>
      <c r="G431" s="84" t="n"/>
      <c r="H431" s="81" t="n"/>
      <c r="I431" s="82" t="n"/>
      <c r="J431" s="81" t="n"/>
      <c r="K431" s="84" t="n"/>
      <c r="L431" s="86" t="n"/>
      <c r="M431" s="87">
        <f>IF(AND($A431&lt;&gt;"",ISNUMBER($J431)),IF(INT($J431)-TODAY()&lt;=Set_DueSoonDays,INT($J431)+ROW()/10000,""),"")</f>
        <v/>
      </c>
    </row>
    <row r="432">
      <c r="A432" s="82" t="n"/>
      <c r="B432" s="82" t="n"/>
      <c r="C432" s="82" t="n"/>
      <c r="D432" s="83" t="n"/>
      <c r="E432" s="81" t="n"/>
      <c r="F432" s="82" t="n"/>
      <c r="G432" s="84" t="n"/>
      <c r="H432" s="81" t="n"/>
      <c r="I432" s="82" t="n"/>
      <c r="J432" s="81" t="n"/>
      <c r="K432" s="84" t="n"/>
      <c r="L432" s="86" t="n"/>
      <c r="M432" s="87">
        <f>IF(AND($A432&lt;&gt;"",ISNUMBER($J432)),IF(INT($J432)-TODAY()&lt;=Set_DueSoonDays,INT($J432)+ROW()/10000,""),"")</f>
        <v/>
      </c>
    </row>
    <row r="433">
      <c r="A433" s="82" t="n"/>
      <c r="B433" s="82" t="n"/>
      <c r="C433" s="82" t="n"/>
      <c r="D433" s="83" t="n"/>
      <c r="E433" s="81" t="n"/>
      <c r="F433" s="82" t="n"/>
      <c r="G433" s="84" t="n"/>
      <c r="H433" s="81" t="n"/>
      <c r="I433" s="82" t="n"/>
      <c r="J433" s="81" t="n"/>
      <c r="K433" s="84" t="n"/>
      <c r="L433" s="86" t="n"/>
      <c r="M433" s="87">
        <f>IF(AND($A433&lt;&gt;"",ISNUMBER($J433)),IF(INT($J433)-TODAY()&lt;=Set_DueSoonDays,INT($J433)+ROW()/10000,""),"")</f>
        <v/>
      </c>
    </row>
    <row r="434">
      <c r="A434" s="82" t="n"/>
      <c r="B434" s="82" t="n"/>
      <c r="C434" s="82" t="n"/>
      <c r="D434" s="83" t="n"/>
      <c r="E434" s="81" t="n"/>
      <c r="F434" s="82" t="n"/>
      <c r="G434" s="84" t="n"/>
      <c r="H434" s="81" t="n"/>
      <c r="I434" s="82" t="n"/>
      <c r="J434" s="81" t="n"/>
      <c r="K434" s="84" t="n"/>
      <c r="L434" s="86" t="n"/>
      <c r="M434" s="87">
        <f>IF(AND($A434&lt;&gt;"",ISNUMBER($J434)),IF(INT($J434)-TODAY()&lt;=Set_DueSoonDays,INT($J434)+ROW()/10000,""),"")</f>
        <v/>
      </c>
    </row>
    <row r="435">
      <c r="A435" s="82" t="n"/>
      <c r="B435" s="82" t="n"/>
      <c r="C435" s="82" t="n"/>
      <c r="D435" s="83" t="n"/>
      <c r="E435" s="81" t="n"/>
      <c r="F435" s="82" t="n"/>
      <c r="G435" s="84" t="n"/>
      <c r="H435" s="81" t="n"/>
      <c r="I435" s="82" t="n"/>
      <c r="J435" s="81" t="n"/>
      <c r="K435" s="84" t="n"/>
      <c r="L435" s="86" t="n"/>
      <c r="M435" s="87">
        <f>IF(AND($A435&lt;&gt;"",ISNUMBER($J435)),IF(INT($J435)-TODAY()&lt;=Set_DueSoonDays,INT($J435)+ROW()/10000,""),"")</f>
        <v/>
      </c>
    </row>
    <row r="436">
      <c r="A436" s="82" t="n"/>
      <c r="B436" s="82" t="n"/>
      <c r="C436" s="82" t="n"/>
      <c r="D436" s="83" t="n"/>
      <c r="E436" s="81" t="n"/>
      <c r="F436" s="82" t="n"/>
      <c r="G436" s="84" t="n"/>
      <c r="H436" s="81" t="n"/>
      <c r="I436" s="82" t="n"/>
      <c r="J436" s="81" t="n"/>
      <c r="K436" s="84" t="n"/>
      <c r="L436" s="86" t="n"/>
      <c r="M436" s="87">
        <f>IF(AND($A436&lt;&gt;"",ISNUMBER($J436)),IF(INT($J436)-TODAY()&lt;=Set_DueSoonDays,INT($J436)+ROW()/10000,""),"")</f>
        <v/>
      </c>
    </row>
    <row r="437">
      <c r="A437" s="82" t="n"/>
      <c r="B437" s="82" t="n"/>
      <c r="C437" s="82" t="n"/>
      <c r="D437" s="83" t="n"/>
      <c r="E437" s="81" t="n"/>
      <c r="F437" s="82" t="n"/>
      <c r="G437" s="84" t="n"/>
      <c r="H437" s="81" t="n"/>
      <c r="I437" s="82" t="n"/>
      <c r="J437" s="81" t="n"/>
      <c r="K437" s="84" t="n"/>
      <c r="L437" s="86" t="n"/>
      <c r="M437" s="87">
        <f>IF(AND($A437&lt;&gt;"",ISNUMBER($J437)),IF(INT($J437)-TODAY()&lt;=Set_DueSoonDays,INT($J437)+ROW()/10000,""),"")</f>
        <v/>
      </c>
    </row>
    <row r="438">
      <c r="A438" s="82" t="n"/>
      <c r="B438" s="82" t="n"/>
      <c r="C438" s="82" t="n"/>
      <c r="D438" s="83" t="n"/>
      <c r="E438" s="81" t="n"/>
      <c r="F438" s="82" t="n"/>
      <c r="G438" s="84" t="n"/>
      <c r="H438" s="81" t="n"/>
      <c r="I438" s="82" t="n"/>
      <c r="J438" s="81" t="n"/>
      <c r="K438" s="84" t="n"/>
      <c r="L438" s="86" t="n"/>
      <c r="M438" s="87">
        <f>IF(AND($A438&lt;&gt;"",ISNUMBER($J438)),IF(INT($J438)-TODAY()&lt;=Set_DueSoonDays,INT($J438)+ROW()/10000,""),"")</f>
        <v/>
      </c>
    </row>
    <row r="439">
      <c r="A439" s="82" t="n"/>
      <c r="B439" s="82" t="n"/>
      <c r="C439" s="82" t="n"/>
      <c r="D439" s="83" t="n"/>
      <c r="E439" s="81" t="n"/>
      <c r="F439" s="82" t="n"/>
      <c r="G439" s="84" t="n"/>
      <c r="H439" s="81" t="n"/>
      <c r="I439" s="82" t="n"/>
      <c r="J439" s="81" t="n"/>
      <c r="K439" s="84" t="n"/>
      <c r="L439" s="86" t="n"/>
      <c r="M439" s="87">
        <f>IF(AND($A439&lt;&gt;"",ISNUMBER($J439)),IF(INT($J439)-TODAY()&lt;=Set_DueSoonDays,INT($J439)+ROW()/10000,""),"")</f>
        <v/>
      </c>
    </row>
    <row r="440">
      <c r="A440" s="82" t="n"/>
      <c r="B440" s="82" t="n"/>
      <c r="C440" s="82" t="n"/>
      <c r="D440" s="83" t="n"/>
      <c r="E440" s="81" t="n"/>
      <c r="F440" s="82" t="n"/>
      <c r="G440" s="84" t="n"/>
      <c r="H440" s="81" t="n"/>
      <c r="I440" s="82" t="n"/>
      <c r="J440" s="81" t="n"/>
      <c r="K440" s="84" t="n"/>
      <c r="L440" s="86" t="n"/>
      <c r="M440" s="87">
        <f>IF(AND($A440&lt;&gt;"",ISNUMBER($J440)),IF(INT($J440)-TODAY()&lt;=Set_DueSoonDays,INT($J440)+ROW()/10000,""),"")</f>
        <v/>
      </c>
    </row>
    <row r="441">
      <c r="A441" s="82" t="n"/>
      <c r="B441" s="82" t="n"/>
      <c r="C441" s="82" t="n"/>
      <c r="D441" s="83" t="n"/>
      <c r="E441" s="81" t="n"/>
      <c r="F441" s="82" t="n"/>
      <c r="G441" s="84" t="n"/>
      <c r="H441" s="81" t="n"/>
      <c r="I441" s="82" t="n"/>
      <c r="J441" s="81" t="n"/>
      <c r="K441" s="84" t="n"/>
      <c r="L441" s="86" t="n"/>
      <c r="M441" s="87">
        <f>IF(AND($A441&lt;&gt;"",ISNUMBER($J441)),IF(INT($J441)-TODAY()&lt;=Set_DueSoonDays,INT($J441)+ROW()/10000,""),"")</f>
        <v/>
      </c>
    </row>
    <row r="442">
      <c r="A442" s="82" t="n"/>
      <c r="B442" s="82" t="n"/>
      <c r="C442" s="82" t="n"/>
      <c r="D442" s="83" t="n"/>
      <c r="E442" s="81" t="n"/>
      <c r="F442" s="82" t="n"/>
      <c r="G442" s="84" t="n"/>
      <c r="H442" s="81" t="n"/>
      <c r="I442" s="82" t="n"/>
      <c r="J442" s="81" t="n"/>
      <c r="K442" s="84" t="n"/>
      <c r="L442" s="86" t="n"/>
      <c r="M442" s="87">
        <f>IF(AND($A442&lt;&gt;"",ISNUMBER($J442)),IF(INT($J442)-TODAY()&lt;=Set_DueSoonDays,INT($J442)+ROW()/10000,""),"")</f>
        <v/>
      </c>
    </row>
    <row r="443">
      <c r="A443" s="82" t="n"/>
      <c r="B443" s="82" t="n"/>
      <c r="C443" s="82" t="n"/>
      <c r="D443" s="83" t="n"/>
      <c r="E443" s="81" t="n"/>
      <c r="F443" s="82" t="n"/>
      <c r="G443" s="84" t="n"/>
      <c r="H443" s="81" t="n"/>
      <c r="I443" s="82" t="n"/>
      <c r="J443" s="81" t="n"/>
      <c r="K443" s="84" t="n"/>
      <c r="L443" s="86" t="n"/>
      <c r="M443" s="87">
        <f>IF(AND($A443&lt;&gt;"",ISNUMBER($J443)),IF(INT($J443)-TODAY()&lt;=Set_DueSoonDays,INT($J443)+ROW()/10000,""),"")</f>
        <v/>
      </c>
    </row>
    <row r="444">
      <c r="A444" s="82" t="n"/>
      <c r="B444" s="82" t="n"/>
      <c r="C444" s="82" t="n"/>
      <c r="D444" s="83" t="n"/>
      <c r="E444" s="81" t="n"/>
      <c r="F444" s="82" t="n"/>
      <c r="G444" s="84" t="n"/>
      <c r="H444" s="81" t="n"/>
      <c r="I444" s="82" t="n"/>
      <c r="J444" s="81" t="n"/>
      <c r="K444" s="84" t="n"/>
      <c r="L444" s="86" t="n"/>
      <c r="M444" s="87">
        <f>IF(AND($A444&lt;&gt;"",ISNUMBER($J444)),IF(INT($J444)-TODAY()&lt;=Set_DueSoonDays,INT($J444)+ROW()/10000,""),"")</f>
        <v/>
      </c>
    </row>
    <row r="445">
      <c r="A445" s="82" t="n"/>
      <c r="B445" s="82" t="n"/>
      <c r="C445" s="82" t="n"/>
      <c r="D445" s="83" t="n"/>
      <c r="E445" s="81" t="n"/>
      <c r="F445" s="82" t="n"/>
      <c r="G445" s="84" t="n"/>
      <c r="H445" s="81" t="n"/>
      <c r="I445" s="82" t="n"/>
      <c r="J445" s="81" t="n"/>
      <c r="K445" s="84" t="n"/>
      <c r="L445" s="86" t="n"/>
      <c r="M445" s="87">
        <f>IF(AND($A445&lt;&gt;"",ISNUMBER($J445)),IF(INT($J445)-TODAY()&lt;=Set_DueSoonDays,INT($J445)+ROW()/10000,""),"")</f>
        <v/>
      </c>
    </row>
    <row r="446">
      <c r="A446" s="82" t="n"/>
      <c r="B446" s="82" t="n"/>
      <c r="C446" s="82" t="n"/>
      <c r="D446" s="83" t="n"/>
      <c r="E446" s="81" t="n"/>
      <c r="F446" s="82" t="n"/>
      <c r="G446" s="84" t="n"/>
      <c r="H446" s="81" t="n"/>
      <c r="I446" s="82" t="n"/>
      <c r="J446" s="81" t="n"/>
      <c r="K446" s="84" t="n"/>
      <c r="L446" s="86" t="n"/>
      <c r="M446" s="87">
        <f>IF(AND($A446&lt;&gt;"",ISNUMBER($J446)),IF(INT($J446)-TODAY()&lt;=Set_DueSoonDays,INT($J446)+ROW()/10000,""),"")</f>
        <v/>
      </c>
    </row>
    <row r="447">
      <c r="A447" s="82" t="n"/>
      <c r="B447" s="82" t="n"/>
      <c r="C447" s="82" t="n"/>
      <c r="D447" s="83" t="n"/>
      <c r="E447" s="81" t="n"/>
      <c r="F447" s="82" t="n"/>
      <c r="G447" s="84" t="n"/>
      <c r="H447" s="81" t="n"/>
      <c r="I447" s="82" t="n"/>
      <c r="J447" s="81" t="n"/>
      <c r="K447" s="84" t="n"/>
      <c r="L447" s="86" t="n"/>
      <c r="M447" s="87">
        <f>IF(AND($A447&lt;&gt;"",ISNUMBER($J447)),IF(INT($J447)-TODAY()&lt;=Set_DueSoonDays,INT($J447)+ROW()/10000,""),"")</f>
        <v/>
      </c>
    </row>
    <row r="448">
      <c r="A448" s="82" t="n"/>
      <c r="B448" s="82" t="n"/>
      <c r="C448" s="82" t="n"/>
      <c r="D448" s="83" t="n"/>
      <c r="E448" s="81" t="n"/>
      <c r="F448" s="82" t="n"/>
      <c r="G448" s="84" t="n"/>
      <c r="H448" s="81" t="n"/>
      <c r="I448" s="82" t="n"/>
      <c r="J448" s="81" t="n"/>
      <c r="K448" s="84" t="n"/>
      <c r="L448" s="86" t="n"/>
      <c r="M448" s="87">
        <f>IF(AND($A448&lt;&gt;"",ISNUMBER($J448)),IF(INT($J448)-TODAY()&lt;=Set_DueSoonDays,INT($J448)+ROW()/10000,""),"")</f>
        <v/>
      </c>
    </row>
    <row r="449">
      <c r="A449" s="82" t="n"/>
      <c r="B449" s="82" t="n"/>
      <c r="C449" s="82" t="n"/>
      <c r="D449" s="83" t="n"/>
      <c r="E449" s="81" t="n"/>
      <c r="F449" s="82" t="n"/>
      <c r="G449" s="84" t="n"/>
      <c r="H449" s="81" t="n"/>
      <c r="I449" s="82" t="n"/>
      <c r="J449" s="81" t="n"/>
      <c r="K449" s="84" t="n"/>
      <c r="L449" s="86" t="n"/>
      <c r="M449" s="87">
        <f>IF(AND($A449&lt;&gt;"",ISNUMBER($J449)),IF(INT($J449)-TODAY()&lt;=Set_DueSoonDays,INT($J449)+ROW()/10000,""),"")</f>
        <v/>
      </c>
    </row>
    <row r="450">
      <c r="A450" s="82" t="n"/>
      <c r="B450" s="82" t="n"/>
      <c r="C450" s="82" t="n"/>
      <c r="D450" s="83" t="n"/>
      <c r="E450" s="81" t="n"/>
      <c r="F450" s="82" t="n"/>
      <c r="G450" s="84" t="n"/>
      <c r="H450" s="81" t="n"/>
      <c r="I450" s="82" t="n"/>
      <c r="J450" s="81" t="n"/>
      <c r="K450" s="84" t="n"/>
      <c r="L450" s="86" t="n"/>
      <c r="M450" s="87">
        <f>IF(AND($A450&lt;&gt;"",ISNUMBER($J450)),IF(INT($J450)-TODAY()&lt;=Set_DueSoonDays,INT($J450)+ROW()/10000,""),"")</f>
        <v/>
      </c>
    </row>
    <row r="451">
      <c r="A451" s="82" t="n"/>
      <c r="B451" s="82" t="n"/>
      <c r="C451" s="82" t="n"/>
      <c r="D451" s="83" t="n"/>
      <c r="E451" s="81" t="n"/>
      <c r="F451" s="82" t="n"/>
      <c r="G451" s="84" t="n"/>
      <c r="H451" s="81" t="n"/>
      <c r="I451" s="82" t="n"/>
      <c r="J451" s="81" t="n"/>
      <c r="K451" s="84" t="n"/>
      <c r="L451" s="86" t="n"/>
      <c r="M451" s="87">
        <f>IF(AND($A451&lt;&gt;"",ISNUMBER($J451)),IF(INT($J451)-TODAY()&lt;=Set_DueSoonDays,INT($J451)+ROW()/10000,""),"")</f>
        <v/>
      </c>
    </row>
    <row r="452">
      <c r="A452" s="82" t="n"/>
      <c r="B452" s="82" t="n"/>
      <c r="C452" s="82" t="n"/>
      <c r="D452" s="83" t="n"/>
      <c r="E452" s="81" t="n"/>
      <c r="F452" s="82" t="n"/>
      <c r="G452" s="84" t="n"/>
      <c r="H452" s="81" t="n"/>
      <c r="I452" s="82" t="n"/>
      <c r="J452" s="81" t="n"/>
      <c r="K452" s="84" t="n"/>
      <c r="L452" s="86" t="n"/>
      <c r="M452" s="87">
        <f>IF(AND($A452&lt;&gt;"",ISNUMBER($J452)),IF(INT($J452)-TODAY()&lt;=Set_DueSoonDays,INT($J452)+ROW()/10000,""),"")</f>
        <v/>
      </c>
    </row>
    <row r="453">
      <c r="A453" s="82" t="n"/>
      <c r="B453" s="82" t="n"/>
      <c r="C453" s="82" t="n"/>
      <c r="D453" s="83" t="n"/>
      <c r="E453" s="81" t="n"/>
      <c r="F453" s="82" t="n"/>
      <c r="G453" s="84" t="n"/>
      <c r="H453" s="81" t="n"/>
      <c r="I453" s="82" t="n"/>
      <c r="J453" s="81" t="n"/>
      <c r="K453" s="84" t="n"/>
      <c r="L453" s="86" t="n"/>
      <c r="M453" s="87">
        <f>IF(AND($A453&lt;&gt;"",ISNUMBER($J453)),IF(INT($J453)-TODAY()&lt;=Set_DueSoonDays,INT($J453)+ROW()/10000,""),"")</f>
        <v/>
      </c>
    </row>
    <row r="454">
      <c r="A454" s="82" t="n"/>
      <c r="B454" s="82" t="n"/>
      <c r="C454" s="82" t="n"/>
      <c r="D454" s="83" t="n"/>
      <c r="E454" s="81" t="n"/>
      <c r="F454" s="82" t="n"/>
      <c r="G454" s="84" t="n"/>
      <c r="H454" s="81" t="n"/>
      <c r="I454" s="82" t="n"/>
      <c r="J454" s="81" t="n"/>
      <c r="K454" s="84" t="n"/>
      <c r="L454" s="86" t="n"/>
      <c r="M454" s="87">
        <f>IF(AND($A454&lt;&gt;"",ISNUMBER($J454)),IF(INT($J454)-TODAY()&lt;=Set_DueSoonDays,INT($J454)+ROW()/10000,""),"")</f>
        <v/>
      </c>
    </row>
    <row r="455">
      <c r="A455" s="82" t="n"/>
      <c r="B455" s="82" t="n"/>
      <c r="C455" s="82" t="n"/>
      <c r="D455" s="83" t="n"/>
      <c r="E455" s="81" t="n"/>
      <c r="F455" s="82" t="n"/>
      <c r="G455" s="84" t="n"/>
      <c r="H455" s="81" t="n"/>
      <c r="I455" s="82" t="n"/>
      <c r="J455" s="81" t="n"/>
      <c r="K455" s="84" t="n"/>
      <c r="L455" s="86" t="n"/>
      <c r="M455" s="87">
        <f>IF(AND($A455&lt;&gt;"",ISNUMBER($J455)),IF(INT($J455)-TODAY()&lt;=Set_DueSoonDays,INT($J455)+ROW()/10000,""),"")</f>
        <v/>
      </c>
    </row>
    <row r="456">
      <c r="A456" s="82" t="n"/>
      <c r="B456" s="82" t="n"/>
      <c r="C456" s="82" t="n"/>
      <c r="D456" s="83" t="n"/>
      <c r="E456" s="81" t="n"/>
      <c r="F456" s="82" t="n"/>
      <c r="G456" s="84" t="n"/>
      <c r="H456" s="81" t="n"/>
      <c r="I456" s="82" t="n"/>
      <c r="J456" s="81" t="n"/>
      <c r="K456" s="84" t="n"/>
      <c r="L456" s="86" t="n"/>
      <c r="M456" s="87">
        <f>IF(AND($A456&lt;&gt;"",ISNUMBER($J456)),IF(INT($J456)-TODAY()&lt;=Set_DueSoonDays,INT($J456)+ROW()/10000,""),"")</f>
        <v/>
      </c>
    </row>
    <row r="457">
      <c r="A457" s="82" t="n"/>
      <c r="B457" s="82" t="n"/>
      <c r="C457" s="82" t="n"/>
      <c r="D457" s="83" t="n"/>
      <c r="E457" s="81" t="n"/>
      <c r="F457" s="82" t="n"/>
      <c r="G457" s="84" t="n"/>
      <c r="H457" s="81" t="n"/>
      <c r="I457" s="82" t="n"/>
      <c r="J457" s="81" t="n"/>
      <c r="K457" s="84" t="n"/>
      <c r="L457" s="86" t="n"/>
      <c r="M457" s="87">
        <f>IF(AND($A457&lt;&gt;"",ISNUMBER($J457)),IF(INT($J457)-TODAY()&lt;=Set_DueSoonDays,INT($J457)+ROW()/10000,""),"")</f>
        <v/>
      </c>
    </row>
    <row r="458">
      <c r="A458" s="82" t="n"/>
      <c r="B458" s="82" t="n"/>
      <c r="C458" s="82" t="n"/>
      <c r="D458" s="83" t="n"/>
      <c r="E458" s="81" t="n"/>
      <c r="F458" s="82" t="n"/>
      <c r="G458" s="84" t="n"/>
      <c r="H458" s="81" t="n"/>
      <c r="I458" s="82" t="n"/>
      <c r="J458" s="81" t="n"/>
      <c r="K458" s="84" t="n"/>
      <c r="L458" s="86" t="n"/>
      <c r="M458" s="87">
        <f>IF(AND($A458&lt;&gt;"",ISNUMBER($J458)),IF(INT($J458)-TODAY()&lt;=Set_DueSoonDays,INT($J458)+ROW()/10000,""),"")</f>
        <v/>
      </c>
    </row>
    <row r="459">
      <c r="A459" s="82" t="n"/>
      <c r="B459" s="82" t="n"/>
      <c r="C459" s="82" t="n"/>
      <c r="D459" s="83" t="n"/>
      <c r="E459" s="81" t="n"/>
      <c r="F459" s="82" t="n"/>
      <c r="G459" s="84" t="n"/>
      <c r="H459" s="81" t="n"/>
      <c r="I459" s="82" t="n"/>
      <c r="J459" s="81" t="n"/>
      <c r="K459" s="84" t="n"/>
      <c r="L459" s="86" t="n"/>
      <c r="M459" s="87">
        <f>IF(AND($A459&lt;&gt;"",ISNUMBER($J459)),IF(INT($J459)-TODAY()&lt;=Set_DueSoonDays,INT($J459)+ROW()/10000,""),"")</f>
        <v/>
      </c>
    </row>
    <row r="460">
      <c r="A460" s="82" t="n"/>
      <c r="B460" s="82" t="n"/>
      <c r="C460" s="82" t="n"/>
      <c r="D460" s="83" t="n"/>
      <c r="E460" s="81" t="n"/>
      <c r="F460" s="82" t="n"/>
      <c r="G460" s="84" t="n"/>
      <c r="H460" s="81" t="n"/>
      <c r="I460" s="82" t="n"/>
      <c r="J460" s="81" t="n"/>
      <c r="K460" s="84" t="n"/>
      <c r="L460" s="86" t="n"/>
      <c r="M460" s="87">
        <f>IF(AND($A460&lt;&gt;"",ISNUMBER($J460)),IF(INT($J460)-TODAY()&lt;=Set_DueSoonDays,INT($J460)+ROW()/10000,""),"")</f>
        <v/>
      </c>
    </row>
    <row r="461">
      <c r="A461" s="82" t="n"/>
      <c r="B461" s="82" t="n"/>
      <c r="C461" s="82" t="n"/>
      <c r="D461" s="83" t="n"/>
      <c r="E461" s="81" t="n"/>
      <c r="F461" s="82" t="n"/>
      <c r="G461" s="84" t="n"/>
      <c r="H461" s="81" t="n"/>
      <c r="I461" s="82" t="n"/>
      <c r="J461" s="81" t="n"/>
      <c r="K461" s="84" t="n"/>
      <c r="L461" s="86" t="n"/>
      <c r="M461" s="87">
        <f>IF(AND($A461&lt;&gt;"",ISNUMBER($J461)),IF(INT($J461)-TODAY()&lt;=Set_DueSoonDays,INT($J461)+ROW()/10000,""),"")</f>
        <v/>
      </c>
    </row>
    <row r="462">
      <c r="A462" s="82" t="n"/>
      <c r="B462" s="82" t="n"/>
      <c r="C462" s="82" t="n"/>
      <c r="D462" s="83" t="n"/>
      <c r="E462" s="81" t="n"/>
      <c r="F462" s="82" t="n"/>
      <c r="G462" s="84" t="n"/>
      <c r="H462" s="81" t="n"/>
      <c r="I462" s="82" t="n"/>
      <c r="J462" s="81" t="n"/>
      <c r="K462" s="84" t="n"/>
      <c r="L462" s="86" t="n"/>
      <c r="M462" s="87">
        <f>IF(AND($A462&lt;&gt;"",ISNUMBER($J462)),IF(INT($J462)-TODAY()&lt;=Set_DueSoonDays,INT($J462)+ROW()/10000,""),"")</f>
        <v/>
      </c>
    </row>
    <row r="463">
      <c r="A463" s="82" t="n"/>
      <c r="B463" s="82" t="n"/>
      <c r="C463" s="82" t="n"/>
      <c r="D463" s="83" t="n"/>
      <c r="E463" s="81" t="n"/>
      <c r="F463" s="82" t="n"/>
      <c r="G463" s="84" t="n"/>
      <c r="H463" s="81" t="n"/>
      <c r="I463" s="82" t="n"/>
      <c r="J463" s="81" t="n"/>
      <c r="K463" s="84" t="n"/>
      <c r="L463" s="86" t="n"/>
      <c r="M463" s="87">
        <f>IF(AND($A463&lt;&gt;"",ISNUMBER($J463)),IF(INT($J463)-TODAY()&lt;=Set_DueSoonDays,INT($J463)+ROW()/10000,""),"")</f>
        <v/>
      </c>
    </row>
    <row r="464">
      <c r="A464" s="82" t="n"/>
      <c r="B464" s="82" t="n"/>
      <c r="C464" s="82" t="n"/>
      <c r="D464" s="83" t="n"/>
      <c r="E464" s="81" t="n"/>
      <c r="F464" s="82" t="n"/>
      <c r="G464" s="84" t="n"/>
      <c r="H464" s="81" t="n"/>
      <c r="I464" s="82" t="n"/>
      <c r="J464" s="81" t="n"/>
      <c r="K464" s="84" t="n"/>
      <c r="L464" s="86" t="n"/>
      <c r="M464" s="87">
        <f>IF(AND($A464&lt;&gt;"",ISNUMBER($J464)),IF(INT($J464)-TODAY()&lt;=Set_DueSoonDays,INT($J464)+ROW()/10000,""),"")</f>
        <v/>
      </c>
    </row>
    <row r="465">
      <c r="A465" s="82" t="n"/>
      <c r="B465" s="82" t="n"/>
      <c r="C465" s="82" t="n"/>
      <c r="D465" s="83" t="n"/>
      <c r="E465" s="81" t="n"/>
      <c r="F465" s="82" t="n"/>
      <c r="G465" s="84" t="n"/>
      <c r="H465" s="81" t="n"/>
      <c r="I465" s="82" t="n"/>
      <c r="J465" s="81" t="n"/>
      <c r="K465" s="84" t="n"/>
      <c r="L465" s="86" t="n"/>
      <c r="M465" s="87">
        <f>IF(AND($A465&lt;&gt;"",ISNUMBER($J465)),IF(INT($J465)-TODAY()&lt;=Set_DueSoonDays,INT($J465)+ROW()/10000,""),"")</f>
        <v/>
      </c>
    </row>
    <row r="466">
      <c r="A466" s="82" t="n"/>
      <c r="B466" s="82" t="n"/>
      <c r="C466" s="82" t="n"/>
      <c r="D466" s="83" t="n"/>
      <c r="E466" s="81" t="n"/>
      <c r="F466" s="82" t="n"/>
      <c r="G466" s="84" t="n"/>
      <c r="H466" s="81" t="n"/>
      <c r="I466" s="82" t="n"/>
      <c r="J466" s="81" t="n"/>
      <c r="K466" s="84" t="n"/>
      <c r="L466" s="86" t="n"/>
      <c r="M466" s="87">
        <f>IF(AND($A466&lt;&gt;"",ISNUMBER($J466)),IF(INT($J466)-TODAY()&lt;=Set_DueSoonDays,INT($J466)+ROW()/10000,""),"")</f>
        <v/>
      </c>
    </row>
    <row r="467">
      <c r="A467" s="82" t="n"/>
      <c r="B467" s="82" t="n"/>
      <c r="C467" s="82" t="n"/>
      <c r="D467" s="83" t="n"/>
      <c r="E467" s="81" t="n"/>
      <c r="F467" s="82" t="n"/>
      <c r="G467" s="84" t="n"/>
      <c r="H467" s="81" t="n"/>
      <c r="I467" s="82" t="n"/>
      <c r="J467" s="81" t="n"/>
      <c r="K467" s="84" t="n"/>
      <c r="L467" s="86" t="n"/>
      <c r="M467" s="87">
        <f>IF(AND($A467&lt;&gt;"",ISNUMBER($J467)),IF(INT($J467)-TODAY()&lt;=Set_DueSoonDays,INT($J467)+ROW()/10000,""),"")</f>
        <v/>
      </c>
    </row>
    <row r="468">
      <c r="A468" s="82" t="n"/>
      <c r="B468" s="82" t="n"/>
      <c r="C468" s="82" t="n"/>
      <c r="D468" s="83" t="n"/>
      <c r="E468" s="81" t="n"/>
      <c r="F468" s="82" t="n"/>
      <c r="G468" s="84" t="n"/>
      <c r="H468" s="81" t="n"/>
      <c r="I468" s="82" t="n"/>
      <c r="J468" s="81" t="n"/>
      <c r="K468" s="84" t="n"/>
      <c r="L468" s="86" t="n"/>
      <c r="M468" s="87">
        <f>IF(AND($A468&lt;&gt;"",ISNUMBER($J468)),IF(INT($J468)-TODAY()&lt;=Set_DueSoonDays,INT($J468)+ROW()/10000,""),"")</f>
        <v/>
      </c>
    </row>
    <row r="469">
      <c r="A469" s="82" t="n"/>
      <c r="B469" s="82" t="n"/>
      <c r="C469" s="82" t="n"/>
      <c r="D469" s="83" t="n"/>
      <c r="E469" s="81" t="n"/>
      <c r="F469" s="82" t="n"/>
      <c r="G469" s="84" t="n"/>
      <c r="H469" s="81" t="n"/>
      <c r="I469" s="82" t="n"/>
      <c r="J469" s="81" t="n"/>
      <c r="K469" s="84" t="n"/>
      <c r="L469" s="86" t="n"/>
      <c r="M469" s="87">
        <f>IF(AND($A469&lt;&gt;"",ISNUMBER($J469)),IF(INT($J469)-TODAY()&lt;=Set_DueSoonDays,INT($J469)+ROW()/10000,""),"")</f>
        <v/>
      </c>
    </row>
    <row r="470">
      <c r="A470" s="82" t="n"/>
      <c r="B470" s="82" t="n"/>
      <c r="C470" s="82" t="n"/>
      <c r="D470" s="83" t="n"/>
      <c r="E470" s="81" t="n"/>
      <c r="F470" s="82" t="n"/>
      <c r="G470" s="84" t="n"/>
      <c r="H470" s="81" t="n"/>
      <c r="I470" s="82" t="n"/>
      <c r="J470" s="81" t="n"/>
      <c r="K470" s="84" t="n"/>
      <c r="L470" s="86" t="n"/>
      <c r="M470" s="87">
        <f>IF(AND($A470&lt;&gt;"",ISNUMBER($J470)),IF(INT($J470)-TODAY()&lt;=Set_DueSoonDays,INT($J470)+ROW()/10000,""),"")</f>
        <v/>
      </c>
    </row>
    <row r="471">
      <c r="A471" s="82" t="n"/>
      <c r="B471" s="82" t="n"/>
      <c r="C471" s="82" t="n"/>
      <c r="D471" s="83" t="n"/>
      <c r="E471" s="81" t="n"/>
      <c r="F471" s="82" t="n"/>
      <c r="G471" s="84" t="n"/>
      <c r="H471" s="81" t="n"/>
      <c r="I471" s="82" t="n"/>
      <c r="J471" s="81" t="n"/>
      <c r="K471" s="84" t="n"/>
      <c r="L471" s="86" t="n"/>
      <c r="M471" s="87">
        <f>IF(AND($A471&lt;&gt;"",ISNUMBER($J471)),IF(INT($J471)-TODAY()&lt;=Set_DueSoonDays,INT($J471)+ROW()/10000,""),"")</f>
        <v/>
      </c>
    </row>
    <row r="472">
      <c r="A472" s="82" t="n"/>
      <c r="B472" s="82" t="n"/>
      <c r="C472" s="82" t="n"/>
      <c r="D472" s="83" t="n"/>
      <c r="E472" s="81" t="n"/>
      <c r="F472" s="82" t="n"/>
      <c r="G472" s="84" t="n"/>
      <c r="H472" s="81" t="n"/>
      <c r="I472" s="82" t="n"/>
      <c r="J472" s="81" t="n"/>
      <c r="K472" s="84" t="n"/>
      <c r="L472" s="86" t="n"/>
      <c r="M472" s="87">
        <f>IF(AND($A472&lt;&gt;"",ISNUMBER($J472)),IF(INT($J472)-TODAY()&lt;=Set_DueSoonDays,INT($J472)+ROW()/10000,""),"")</f>
        <v/>
      </c>
    </row>
    <row r="473">
      <c r="A473" s="82" t="n"/>
      <c r="B473" s="82" t="n"/>
      <c r="C473" s="82" t="n"/>
      <c r="D473" s="83" t="n"/>
      <c r="E473" s="81" t="n"/>
      <c r="F473" s="82" t="n"/>
      <c r="G473" s="84" t="n"/>
      <c r="H473" s="81" t="n"/>
      <c r="I473" s="82" t="n"/>
      <c r="J473" s="81" t="n"/>
      <c r="K473" s="84" t="n"/>
      <c r="L473" s="86" t="n"/>
      <c r="M473" s="87">
        <f>IF(AND($A473&lt;&gt;"",ISNUMBER($J473)),IF(INT($J473)-TODAY()&lt;=Set_DueSoonDays,INT($J473)+ROW()/10000,""),"")</f>
        <v/>
      </c>
    </row>
    <row r="474">
      <c r="A474" s="82" t="n"/>
      <c r="B474" s="82" t="n"/>
      <c r="C474" s="82" t="n"/>
      <c r="D474" s="83" t="n"/>
      <c r="E474" s="81" t="n"/>
      <c r="F474" s="82" t="n"/>
      <c r="G474" s="84" t="n"/>
      <c r="H474" s="81" t="n"/>
      <c r="I474" s="82" t="n"/>
      <c r="J474" s="81" t="n"/>
      <c r="K474" s="84" t="n"/>
      <c r="L474" s="86" t="n"/>
      <c r="M474" s="87">
        <f>IF(AND($A474&lt;&gt;"",ISNUMBER($J474)),IF(INT($J474)-TODAY()&lt;=Set_DueSoonDays,INT($J474)+ROW()/10000,""),"")</f>
        <v/>
      </c>
    </row>
    <row r="475">
      <c r="A475" s="82" t="n"/>
      <c r="B475" s="82" t="n"/>
      <c r="C475" s="82" t="n"/>
      <c r="D475" s="83" t="n"/>
      <c r="E475" s="81" t="n"/>
      <c r="F475" s="82" t="n"/>
      <c r="G475" s="84" t="n"/>
      <c r="H475" s="81" t="n"/>
      <c r="I475" s="82" t="n"/>
      <c r="J475" s="81" t="n"/>
      <c r="K475" s="84" t="n"/>
      <c r="L475" s="86" t="n"/>
      <c r="M475" s="87">
        <f>IF(AND($A475&lt;&gt;"",ISNUMBER($J475)),IF(INT($J475)-TODAY()&lt;=Set_DueSoonDays,INT($J475)+ROW()/10000,""),"")</f>
        <v/>
      </c>
    </row>
    <row r="476">
      <c r="A476" s="82" t="n"/>
      <c r="B476" s="82" t="n"/>
      <c r="C476" s="82" t="n"/>
      <c r="D476" s="83" t="n"/>
      <c r="E476" s="81" t="n"/>
      <c r="F476" s="82" t="n"/>
      <c r="G476" s="84" t="n"/>
      <c r="H476" s="81" t="n"/>
      <c r="I476" s="82" t="n"/>
      <c r="J476" s="81" t="n"/>
      <c r="K476" s="84" t="n"/>
      <c r="L476" s="86" t="n"/>
      <c r="M476" s="87">
        <f>IF(AND($A476&lt;&gt;"",ISNUMBER($J476)),IF(INT($J476)-TODAY()&lt;=Set_DueSoonDays,INT($J476)+ROW()/10000,""),"")</f>
        <v/>
      </c>
    </row>
    <row r="477">
      <c r="A477" s="82" t="n"/>
      <c r="B477" s="82" t="n"/>
      <c r="C477" s="82" t="n"/>
      <c r="D477" s="83" t="n"/>
      <c r="E477" s="81" t="n"/>
      <c r="F477" s="82" t="n"/>
      <c r="G477" s="84" t="n"/>
      <c r="H477" s="81" t="n"/>
      <c r="I477" s="82" t="n"/>
      <c r="J477" s="81" t="n"/>
      <c r="K477" s="84" t="n"/>
      <c r="L477" s="86" t="n"/>
      <c r="M477" s="87">
        <f>IF(AND($A477&lt;&gt;"",ISNUMBER($J477)),IF(INT($J477)-TODAY()&lt;=Set_DueSoonDays,INT($J477)+ROW()/10000,""),"")</f>
        <v/>
      </c>
    </row>
    <row r="478">
      <c r="A478" s="82" t="n"/>
      <c r="B478" s="82" t="n"/>
      <c r="C478" s="82" t="n"/>
      <c r="D478" s="83" t="n"/>
      <c r="E478" s="81" t="n"/>
      <c r="F478" s="82" t="n"/>
      <c r="G478" s="84" t="n"/>
      <c r="H478" s="81" t="n"/>
      <c r="I478" s="82" t="n"/>
      <c r="J478" s="81" t="n"/>
      <c r="K478" s="84" t="n"/>
      <c r="L478" s="86" t="n"/>
      <c r="M478" s="87">
        <f>IF(AND($A478&lt;&gt;"",ISNUMBER($J478)),IF(INT($J478)-TODAY()&lt;=Set_DueSoonDays,INT($J478)+ROW()/10000,""),"")</f>
        <v/>
      </c>
    </row>
    <row r="479">
      <c r="A479" s="82" t="n"/>
      <c r="B479" s="82" t="n"/>
      <c r="C479" s="82" t="n"/>
      <c r="D479" s="83" t="n"/>
      <c r="E479" s="81" t="n"/>
      <c r="F479" s="82" t="n"/>
      <c r="G479" s="84" t="n"/>
      <c r="H479" s="81" t="n"/>
      <c r="I479" s="82" t="n"/>
      <c r="J479" s="81" t="n"/>
      <c r="K479" s="84" t="n"/>
      <c r="L479" s="86" t="n"/>
      <c r="M479" s="87">
        <f>IF(AND($A479&lt;&gt;"",ISNUMBER($J479)),IF(INT($J479)-TODAY()&lt;=Set_DueSoonDays,INT($J479)+ROW()/10000,""),"")</f>
        <v/>
      </c>
    </row>
    <row r="480">
      <c r="A480" s="82" t="n"/>
      <c r="B480" s="82" t="n"/>
      <c r="C480" s="82" t="n"/>
      <c r="D480" s="83" t="n"/>
      <c r="E480" s="81" t="n"/>
      <c r="F480" s="82" t="n"/>
      <c r="G480" s="84" t="n"/>
      <c r="H480" s="81" t="n"/>
      <c r="I480" s="82" t="n"/>
      <c r="J480" s="81" t="n"/>
      <c r="K480" s="84" t="n"/>
      <c r="L480" s="86" t="n"/>
      <c r="M480" s="87">
        <f>IF(AND($A480&lt;&gt;"",ISNUMBER($J480)),IF(INT($J480)-TODAY()&lt;=Set_DueSoonDays,INT($J480)+ROW()/10000,""),"")</f>
        <v/>
      </c>
    </row>
    <row r="481">
      <c r="A481" s="82" t="n"/>
      <c r="B481" s="82" t="n"/>
      <c r="C481" s="82" t="n"/>
      <c r="D481" s="83" t="n"/>
      <c r="E481" s="81" t="n"/>
      <c r="F481" s="82" t="n"/>
      <c r="G481" s="84" t="n"/>
      <c r="H481" s="81" t="n"/>
      <c r="I481" s="82" t="n"/>
      <c r="J481" s="81" t="n"/>
      <c r="K481" s="84" t="n"/>
      <c r="L481" s="86" t="n"/>
      <c r="M481" s="87">
        <f>IF(AND($A481&lt;&gt;"",ISNUMBER($J481)),IF(INT($J481)-TODAY()&lt;=Set_DueSoonDays,INT($J481)+ROW()/10000,""),"")</f>
        <v/>
      </c>
    </row>
    <row r="482">
      <c r="A482" s="82" t="n"/>
      <c r="B482" s="82" t="n"/>
      <c r="C482" s="82" t="n"/>
      <c r="D482" s="83" t="n"/>
      <c r="E482" s="81" t="n"/>
      <c r="F482" s="82" t="n"/>
      <c r="G482" s="84" t="n"/>
      <c r="H482" s="81" t="n"/>
      <c r="I482" s="82" t="n"/>
      <c r="J482" s="81" t="n"/>
      <c r="K482" s="84" t="n"/>
      <c r="L482" s="86" t="n"/>
      <c r="M482" s="87">
        <f>IF(AND($A482&lt;&gt;"",ISNUMBER($J482)),IF(INT($J482)-TODAY()&lt;=Set_DueSoonDays,INT($J482)+ROW()/10000,""),"")</f>
        <v/>
      </c>
    </row>
    <row r="483">
      <c r="A483" s="82" t="n"/>
      <c r="B483" s="82" t="n"/>
      <c r="C483" s="82" t="n"/>
      <c r="D483" s="83" t="n"/>
      <c r="E483" s="81" t="n"/>
      <c r="F483" s="82" t="n"/>
      <c r="G483" s="84" t="n"/>
      <c r="H483" s="81" t="n"/>
      <c r="I483" s="82" t="n"/>
      <c r="J483" s="81" t="n"/>
      <c r="K483" s="84" t="n"/>
      <c r="L483" s="86" t="n"/>
      <c r="M483" s="87">
        <f>IF(AND($A483&lt;&gt;"",ISNUMBER($J483)),IF(INT($J483)-TODAY()&lt;=Set_DueSoonDays,INT($J483)+ROW()/10000,""),"")</f>
        <v/>
      </c>
    </row>
    <row r="484">
      <c r="A484" s="82" t="n"/>
      <c r="B484" s="82" t="n"/>
      <c r="C484" s="82" t="n"/>
      <c r="D484" s="83" t="n"/>
      <c r="E484" s="81" t="n"/>
      <c r="F484" s="82" t="n"/>
      <c r="G484" s="84" t="n"/>
      <c r="H484" s="81" t="n"/>
      <c r="I484" s="82" t="n"/>
      <c r="J484" s="81" t="n"/>
      <c r="K484" s="84" t="n"/>
      <c r="L484" s="86" t="n"/>
      <c r="M484" s="87">
        <f>IF(AND($A484&lt;&gt;"",ISNUMBER($J484)),IF(INT($J484)-TODAY()&lt;=Set_DueSoonDays,INT($J484)+ROW()/10000,""),"")</f>
        <v/>
      </c>
    </row>
    <row r="485">
      <c r="A485" s="82" t="n"/>
      <c r="B485" s="82" t="n"/>
      <c r="C485" s="82" t="n"/>
      <c r="D485" s="83" t="n"/>
      <c r="E485" s="81" t="n"/>
      <c r="F485" s="82" t="n"/>
      <c r="G485" s="84" t="n"/>
      <c r="H485" s="81" t="n"/>
      <c r="I485" s="82" t="n"/>
      <c r="J485" s="81" t="n"/>
      <c r="K485" s="84" t="n"/>
      <c r="L485" s="86" t="n"/>
      <c r="M485" s="87">
        <f>IF(AND($A485&lt;&gt;"",ISNUMBER($J485)),IF(INT($J485)-TODAY()&lt;=Set_DueSoonDays,INT($J485)+ROW()/10000,""),"")</f>
        <v/>
      </c>
    </row>
    <row r="486">
      <c r="A486" s="82" t="n"/>
      <c r="B486" s="82" t="n"/>
      <c r="C486" s="82" t="n"/>
      <c r="D486" s="83" t="n"/>
      <c r="E486" s="81" t="n"/>
      <c r="F486" s="82" t="n"/>
      <c r="G486" s="84" t="n"/>
      <c r="H486" s="81" t="n"/>
      <c r="I486" s="82" t="n"/>
      <c r="J486" s="81" t="n"/>
      <c r="K486" s="84" t="n"/>
      <c r="L486" s="86" t="n"/>
      <c r="M486" s="87">
        <f>IF(AND($A486&lt;&gt;"",ISNUMBER($J486)),IF(INT($J486)-TODAY()&lt;=Set_DueSoonDays,INT($J486)+ROW()/10000,""),"")</f>
        <v/>
      </c>
    </row>
    <row r="487">
      <c r="A487" s="82" t="n"/>
      <c r="B487" s="82" t="n"/>
      <c r="C487" s="82" t="n"/>
      <c r="D487" s="83" t="n"/>
      <c r="E487" s="81" t="n"/>
      <c r="F487" s="82" t="n"/>
      <c r="G487" s="84" t="n"/>
      <c r="H487" s="81" t="n"/>
      <c r="I487" s="82" t="n"/>
      <c r="J487" s="81" t="n"/>
      <c r="K487" s="84" t="n"/>
      <c r="L487" s="86" t="n"/>
      <c r="M487" s="87">
        <f>IF(AND($A487&lt;&gt;"",ISNUMBER($J487)),IF(INT($J487)-TODAY()&lt;=Set_DueSoonDays,INT($J487)+ROW()/10000,""),"")</f>
        <v/>
      </c>
    </row>
    <row r="488">
      <c r="A488" s="82" t="n"/>
      <c r="B488" s="82" t="n"/>
      <c r="C488" s="82" t="n"/>
      <c r="D488" s="83" t="n"/>
      <c r="E488" s="81" t="n"/>
      <c r="F488" s="82" t="n"/>
      <c r="G488" s="84" t="n"/>
      <c r="H488" s="81" t="n"/>
      <c r="I488" s="82" t="n"/>
      <c r="J488" s="81" t="n"/>
      <c r="K488" s="84" t="n"/>
      <c r="L488" s="86" t="n"/>
      <c r="M488" s="87">
        <f>IF(AND($A488&lt;&gt;"",ISNUMBER($J488)),IF(INT($J488)-TODAY()&lt;=Set_DueSoonDays,INT($J488)+ROW()/10000,""),"")</f>
        <v/>
      </c>
    </row>
    <row r="489">
      <c r="A489" s="82" t="n"/>
      <c r="B489" s="82" t="n"/>
      <c r="C489" s="82" t="n"/>
      <c r="D489" s="83" t="n"/>
      <c r="E489" s="81" t="n"/>
      <c r="F489" s="82" t="n"/>
      <c r="G489" s="84" t="n"/>
      <c r="H489" s="81" t="n"/>
      <c r="I489" s="82" t="n"/>
      <c r="J489" s="81" t="n"/>
      <c r="K489" s="84" t="n"/>
      <c r="L489" s="86" t="n"/>
      <c r="M489" s="87">
        <f>IF(AND($A489&lt;&gt;"",ISNUMBER($J489)),IF(INT($J489)-TODAY()&lt;=Set_DueSoonDays,INT($J489)+ROW()/10000,""),"")</f>
        <v/>
      </c>
    </row>
    <row r="490">
      <c r="A490" s="82" t="n"/>
      <c r="B490" s="82" t="n"/>
      <c r="C490" s="82" t="n"/>
      <c r="D490" s="83" t="n"/>
      <c r="E490" s="81" t="n"/>
      <c r="F490" s="82" t="n"/>
      <c r="G490" s="84" t="n"/>
      <c r="H490" s="81" t="n"/>
      <c r="I490" s="82" t="n"/>
      <c r="J490" s="81" t="n"/>
      <c r="K490" s="84" t="n"/>
      <c r="L490" s="86" t="n"/>
      <c r="M490" s="87">
        <f>IF(AND($A490&lt;&gt;"",ISNUMBER($J490)),IF(INT($J490)-TODAY()&lt;=Set_DueSoonDays,INT($J490)+ROW()/10000,""),"")</f>
        <v/>
      </c>
    </row>
    <row r="491">
      <c r="A491" s="82" t="n"/>
      <c r="B491" s="82" t="n"/>
      <c r="C491" s="82" t="n"/>
      <c r="D491" s="83" t="n"/>
      <c r="E491" s="81" t="n"/>
      <c r="F491" s="82" t="n"/>
      <c r="G491" s="84" t="n"/>
      <c r="H491" s="81" t="n"/>
      <c r="I491" s="82" t="n"/>
      <c r="J491" s="81" t="n"/>
      <c r="K491" s="84" t="n"/>
      <c r="L491" s="86" t="n"/>
      <c r="M491" s="87">
        <f>IF(AND($A491&lt;&gt;"",ISNUMBER($J491)),IF(INT($J491)-TODAY()&lt;=Set_DueSoonDays,INT($J491)+ROW()/10000,""),"")</f>
        <v/>
      </c>
    </row>
    <row r="492">
      <c r="A492" s="82" t="n"/>
      <c r="B492" s="82" t="n"/>
      <c r="C492" s="82" t="n"/>
      <c r="D492" s="83" t="n"/>
      <c r="E492" s="81" t="n"/>
      <c r="F492" s="82" t="n"/>
      <c r="G492" s="84" t="n"/>
      <c r="H492" s="81" t="n"/>
      <c r="I492" s="82" t="n"/>
      <c r="J492" s="81" t="n"/>
      <c r="K492" s="84" t="n"/>
      <c r="L492" s="86" t="n"/>
      <c r="M492" s="87">
        <f>IF(AND($A492&lt;&gt;"",ISNUMBER($J492)),IF(INT($J492)-TODAY()&lt;=Set_DueSoonDays,INT($J492)+ROW()/10000,""),"")</f>
        <v/>
      </c>
    </row>
    <row r="493">
      <c r="A493" s="82" t="n"/>
      <c r="B493" s="82" t="n"/>
      <c r="C493" s="82" t="n"/>
      <c r="D493" s="83" t="n"/>
      <c r="E493" s="81" t="n"/>
      <c r="F493" s="82" t="n"/>
      <c r="G493" s="84" t="n"/>
      <c r="H493" s="81" t="n"/>
      <c r="I493" s="82" t="n"/>
      <c r="J493" s="81" t="n"/>
      <c r="K493" s="84" t="n"/>
      <c r="L493" s="86" t="n"/>
      <c r="M493" s="87">
        <f>IF(AND($A493&lt;&gt;"",ISNUMBER($J493)),IF(INT($J493)-TODAY()&lt;=Set_DueSoonDays,INT($J493)+ROW()/10000,""),"")</f>
        <v/>
      </c>
    </row>
    <row r="494">
      <c r="A494" s="82" t="n"/>
      <c r="B494" s="82" t="n"/>
      <c r="C494" s="82" t="n"/>
      <c r="D494" s="83" t="n"/>
      <c r="E494" s="81" t="n"/>
      <c r="F494" s="82" t="n"/>
      <c r="G494" s="84" t="n"/>
      <c r="H494" s="81" t="n"/>
      <c r="I494" s="82" t="n"/>
      <c r="J494" s="81" t="n"/>
      <c r="K494" s="84" t="n"/>
      <c r="L494" s="86" t="n"/>
      <c r="M494" s="87">
        <f>IF(AND($A494&lt;&gt;"",ISNUMBER($J494)),IF(INT($J494)-TODAY()&lt;=Set_DueSoonDays,INT($J494)+ROW()/10000,""),"")</f>
        <v/>
      </c>
    </row>
    <row r="495">
      <c r="A495" s="82" t="n"/>
      <c r="B495" s="82" t="n"/>
      <c r="C495" s="82" t="n"/>
      <c r="D495" s="83" t="n"/>
      <c r="E495" s="81" t="n"/>
      <c r="F495" s="82" t="n"/>
      <c r="G495" s="84" t="n"/>
      <c r="H495" s="81" t="n"/>
      <c r="I495" s="82" t="n"/>
      <c r="J495" s="81" t="n"/>
      <c r="K495" s="84" t="n"/>
      <c r="L495" s="86" t="n"/>
      <c r="M495" s="87">
        <f>IF(AND($A495&lt;&gt;"",ISNUMBER($J495)),IF(INT($J495)-TODAY()&lt;=Set_DueSoonDays,INT($J495)+ROW()/10000,""),"")</f>
        <v/>
      </c>
    </row>
    <row r="496">
      <c r="A496" s="82" t="n"/>
      <c r="B496" s="82" t="n"/>
      <c r="C496" s="82" t="n"/>
      <c r="D496" s="83" t="n"/>
      <c r="E496" s="81" t="n"/>
      <c r="F496" s="82" t="n"/>
      <c r="G496" s="84" t="n"/>
      <c r="H496" s="81" t="n"/>
      <c r="I496" s="82" t="n"/>
      <c r="J496" s="81" t="n"/>
      <c r="K496" s="84" t="n"/>
      <c r="L496" s="86" t="n"/>
      <c r="M496" s="87">
        <f>IF(AND($A496&lt;&gt;"",ISNUMBER($J496)),IF(INT($J496)-TODAY()&lt;=Set_DueSoonDays,INT($J496)+ROW()/10000,""),"")</f>
        <v/>
      </c>
    </row>
    <row r="497">
      <c r="A497" s="82" t="n"/>
      <c r="B497" s="82" t="n"/>
      <c r="C497" s="82" t="n"/>
      <c r="D497" s="83" t="n"/>
      <c r="E497" s="81" t="n"/>
      <c r="F497" s="82" t="n"/>
      <c r="G497" s="84" t="n"/>
      <c r="H497" s="81" t="n"/>
      <c r="I497" s="82" t="n"/>
      <c r="J497" s="81" t="n"/>
      <c r="K497" s="84" t="n"/>
      <c r="L497" s="86" t="n"/>
      <c r="M497" s="87">
        <f>IF(AND($A497&lt;&gt;"",ISNUMBER($J497)),IF(INT($J497)-TODAY()&lt;=Set_DueSoonDays,INT($J497)+ROW()/10000,""),"")</f>
        <v/>
      </c>
    </row>
    <row r="498">
      <c r="A498" s="82" t="n"/>
      <c r="B498" s="82" t="n"/>
      <c r="C498" s="82" t="n"/>
      <c r="D498" s="83" t="n"/>
      <c r="E498" s="81" t="n"/>
      <c r="F498" s="82" t="n"/>
      <c r="G498" s="84" t="n"/>
      <c r="H498" s="81" t="n"/>
      <c r="I498" s="82" t="n"/>
      <c r="J498" s="81" t="n"/>
      <c r="K498" s="84" t="n"/>
      <c r="L498" s="86" t="n"/>
      <c r="M498" s="87">
        <f>IF(AND($A498&lt;&gt;"",ISNUMBER($J498)),IF(INT($J498)-TODAY()&lt;=Set_DueSoonDays,INT($J498)+ROW()/10000,""),"")</f>
        <v/>
      </c>
    </row>
    <row r="499">
      <c r="A499" s="82" t="n"/>
      <c r="B499" s="82" t="n"/>
      <c r="C499" s="82" t="n"/>
      <c r="D499" s="83" t="n"/>
      <c r="E499" s="81" t="n"/>
      <c r="F499" s="82" t="n"/>
      <c r="G499" s="84" t="n"/>
      <c r="H499" s="81" t="n"/>
      <c r="I499" s="82" t="n"/>
      <c r="J499" s="81" t="n"/>
      <c r="K499" s="84" t="n"/>
      <c r="L499" s="86" t="n"/>
      <c r="M499" s="87">
        <f>IF(AND($A499&lt;&gt;"",ISNUMBER($J499)),IF(INT($J499)-TODAY()&lt;=Set_DueSoonDays,INT($J499)+ROW()/10000,""),"")</f>
        <v/>
      </c>
    </row>
    <row r="500">
      <c r="A500" s="82" t="n"/>
      <c r="B500" s="82" t="n"/>
      <c r="C500" s="82" t="n"/>
      <c r="D500" s="83" t="n"/>
      <c r="E500" s="81" t="n"/>
      <c r="F500" s="82" t="n"/>
      <c r="G500" s="84" t="n"/>
      <c r="H500" s="81" t="n"/>
      <c r="I500" s="82" t="n"/>
      <c r="J500" s="81" t="n"/>
      <c r="K500" s="84" t="n"/>
      <c r="L500" s="86" t="n"/>
      <c r="M500" s="87">
        <f>IF(AND($A500&lt;&gt;"",ISNUMBER($J500)),IF(INT($J500)-TODAY()&lt;=Set_DueSoonDays,INT($J500)+ROW()/10000,""),"")</f>
        <v/>
      </c>
    </row>
    <row r="501">
      <c r="A501" s="82" t="n"/>
      <c r="B501" s="82" t="n"/>
      <c r="C501" s="82" t="n"/>
      <c r="D501" s="83" t="n"/>
      <c r="E501" s="81" t="n"/>
      <c r="F501" s="82" t="n"/>
      <c r="G501" s="84" t="n"/>
      <c r="H501" s="81" t="n"/>
      <c r="I501" s="82" t="n"/>
      <c r="J501" s="81" t="n"/>
      <c r="K501" s="84" t="n"/>
      <c r="L501" s="86" t="n"/>
      <c r="M501" s="87">
        <f>IF(AND($A501&lt;&gt;"",ISNUMBER($J501)),IF(INT($J501)-TODAY()&lt;=Set_DueSoonDays,INT($J501)+ROW()/10000,""),"")</f>
        <v/>
      </c>
    </row>
    <row r="502">
      <c r="A502" s="82" t="n"/>
      <c r="B502" s="82" t="n"/>
      <c r="C502" s="82" t="n"/>
      <c r="D502" s="83" t="n"/>
      <c r="E502" s="81" t="n"/>
      <c r="F502" s="82" t="n"/>
      <c r="G502" s="84" t="n"/>
      <c r="H502" s="81" t="n"/>
      <c r="I502" s="82" t="n"/>
      <c r="J502" s="81" t="n"/>
      <c r="K502" s="84" t="n"/>
      <c r="L502" s="86" t="n"/>
      <c r="M502" s="87">
        <f>IF(AND($A502&lt;&gt;"",ISNUMBER($J502)),IF(INT($J502)-TODAY()&lt;=Set_DueSoonDays,INT($J502)+ROW()/10000,""),"")</f>
        <v/>
      </c>
    </row>
    <row r="503">
      <c r="A503" s="82" t="n"/>
      <c r="B503" s="82" t="n"/>
      <c r="C503" s="82" t="n"/>
      <c r="D503" s="83" t="n"/>
      <c r="E503" s="81" t="n"/>
      <c r="F503" s="82" t="n"/>
      <c r="G503" s="84" t="n"/>
      <c r="H503" s="81" t="n"/>
      <c r="I503" s="82" t="n"/>
      <c r="J503" s="81" t="n"/>
      <c r="K503" s="84" t="n"/>
      <c r="L503" s="86" t="n"/>
      <c r="M503" s="87">
        <f>IF(AND($A503&lt;&gt;"",ISNUMBER($J503)),IF(INT($J503)-TODAY()&lt;=Set_DueSoonDays,INT($J503)+ROW()/10000,""),"")</f>
        <v/>
      </c>
    </row>
    <row r="504">
      <c r="A504" s="82" t="n"/>
      <c r="B504" s="82" t="n"/>
      <c r="C504" s="82" t="n"/>
      <c r="D504" s="83" t="n"/>
      <c r="E504" s="81" t="n"/>
      <c r="F504" s="82" t="n"/>
      <c r="G504" s="84" t="n"/>
      <c r="H504" s="81" t="n"/>
      <c r="I504" s="82" t="n"/>
      <c r="J504" s="81" t="n"/>
      <c r="K504" s="84" t="n"/>
      <c r="L504" s="86" t="n"/>
      <c r="M504" s="87">
        <f>IF(AND($A504&lt;&gt;"",ISNUMBER($J504)),IF(INT($J504)-TODAY()&lt;=Set_DueSoonDays,INT($J504)+ROW()/10000,""),"")</f>
        <v/>
      </c>
    </row>
  </sheetData>
  <autoFilter ref="A4:M504"/>
  <conditionalFormatting sqref="J5:J504">
    <cfRule type="expression" priority="1" dxfId="7" stopIfTrue="1">
      <formula>AND(ISNUMBER($J5),INT($J5)&lt;TODAY())</formula>
    </cfRule>
    <cfRule type="expression" priority="2" dxfId="24" stopIfTrue="1">
      <formula>AND(ISNUMBER($J5),INT($J5)&gt;=TODAY(),INT($J5)-TODAY()&lt;=$M$2)</formula>
    </cfRule>
  </conditionalFormatting>
  <conditionalFormatting sqref="I5:I504">
    <cfRule type="expression" priority="3" dxfId="23" stopIfTrue="1">
      <formula>$I5="Positive"</formula>
    </cfRule>
    <cfRule type="expression" priority="4" dxfId="23" stopIfTrue="1">
      <formula>$I5="Meeting"</formula>
    </cfRule>
    <cfRule type="expression" priority="5" dxfId="23" stopIfTrue="1">
      <formula>$I5="Referral"</formula>
    </cfRule>
    <cfRule type="expression" priority="6" dxfId="28" stopIfTrue="1">
      <formula>$I5="Negative"</formula>
    </cfRule>
    <cfRule type="expression" priority="7" dxfId="29" stopIfTrue="1">
      <formula>$I5="No Response"</formula>
    </cfRule>
  </conditionalFormatting>
  <conditionalFormatting sqref="K5:K504">
    <cfRule type="expression" priority="8" dxfId="23" stopIfTrue="1">
      <formula>$K5="High"</formula>
    </cfRule>
    <cfRule type="expression" priority="9" dxfId="5" stopIfTrue="1">
      <formula>$K5="Medium"</formula>
    </cfRule>
    <cfRule type="expression" priority="10" dxfId="22" stopIfTrue="1">
      <formula>$K5="Low"</formula>
    </cfRule>
    <cfRule type="expression" priority="11" dxfId="29" stopIfTrue="1">
      <formula>$K5="Unknown"</formula>
    </cfRule>
  </conditionalFormatting>
  <conditionalFormatting sqref="G5:G504">
    <cfRule type="expression" priority="12" dxfId="23" stopIfTrue="1">
      <formula>$G5="Yes"</formula>
    </cfRule>
    <cfRule type="expression" priority="13" dxfId="22" stopIfTrue="1">
      <formula>$G5="No"</formula>
    </cfRule>
  </conditionalFormatting>
  <conditionalFormatting sqref="A5:L504">
    <cfRule type="expression" priority="14" dxfId="27" stopIfTrue="0">
      <formula>AND($A5&lt;&gt;"",MOD(ROW(),2)=0)</formula>
    </cfRule>
  </conditionalFormatting>
  <dataValidations count="7">
    <dataValidation sqref="E5:E5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F5:F504" showDropDown="0" showInputMessage="0" showErrorMessage="1" allowBlank="1" errorTitle="Pick from the list" error="Choose a value from the dropdown (list: Settings → Relationship)." type="list" errorStyle="warning">
      <formula1>Settings!$O$13:$O$20</formula1>
    </dataValidation>
    <dataValidation sqref="G5:G504" showDropDown="0" showInputMessage="0" showErrorMessage="1" allowBlank="1" errorTitle="Pick from the list" error="Choose a value from the dropdown (list: Settings → Yes / No)." type="list" errorStyle="stop">
      <formula1>Settings!$H$13:$H$14</formula1>
    </dataValidation>
    <dataValidation sqref="H5:H504" showDropDown="0" showInputMessage="1" showErrorMessage="1" allowBlank="1" errorTitle="Date needed" error="Enter a real date, e.g. 05.10.2026 (Ctrl+; inserts today)." promptTitle="Message Sent" prompt="Date you sent your message. Keep the wording in Notes if useful." type="date" operator="between">
      <formula1>43831</formula1>
      <formula2>49674</formula2>
    </dataValidation>
    <dataValidation sqref="I5:I504" showDropDown="0" showInputMessage="0" showErrorMessage="1" allowBlank="1" errorTitle="Pick from the list" error="Choose a value from the dropdown (list: Settings → Response)." type="list" errorStyle="stop">
      <formula1>Settings!$P$13:$P$18</formula1>
    </dataValidation>
    <dataValidation sqref="J5:J504" showDropDown="0" showInputMessage="0" showErrorMessage="1" allowBlank="1" errorTitle="Date needed" error="Enter a real date, e.g. 05.10.2026 (Ctrl+; inserts today)." type="date" operator="between">
      <formula1>43831</formula1>
      <formula2>49674</formula2>
    </dataValidation>
    <dataValidation sqref="K5:K504" showDropDown="0" showInputMessage="0" showErrorMessage="1" allowBlank="1" errorTitle="Pick from the list" error="Choose a value from the dropdown (list: Settings → Referral Potential)." type="list" errorStyle="stop">
      <formula1>Settings!$Q$13:$Q$16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1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2" customWidth="1" min="6" max="6"/>
    <col width="20" customWidth="1" min="7" max="7"/>
    <col hidden="1" width="8" customWidth="1" min="8" max="8"/>
  </cols>
  <sheetData>
    <row r="1" ht="30" customHeight="1">
      <c r="B1" s="64" t="inlineStr">
        <is>
          <t>Analytics</t>
        </is>
      </c>
    </row>
    <row r="2">
      <c r="B2" s="4" t="inlineStr">
        <is>
          <t>What's working? Interview = reached Interview 1 or later (including applications later rejected). Rates use submitted applications (status beyond Wishlist).</t>
        </is>
      </c>
    </row>
    <row r="3">
      <c r="B3" s="63">
        <f>"A group is only called 'best' once it has at least "&amp;Set_MinSample&amp;" applications (Settings) — small samples are noise."</f>
        <v/>
      </c>
    </row>
    <row r="5">
      <c r="B5" s="5" t="inlineStr">
        <is>
          <t>SUMMARY</t>
        </is>
      </c>
    </row>
    <row r="6">
      <c r="B6" s="32" t="inlineStr">
        <is>
          <t>Applications submitted</t>
        </is>
      </c>
      <c r="C6" s="91">
        <f>COUNTIFS(App_Stage,"&gt;=1")</f>
        <v/>
      </c>
    </row>
    <row r="7">
      <c r="B7" s="32" t="inlineStr">
        <is>
          <t>Reached interview (Interview 1+)</t>
        </is>
      </c>
      <c r="C7" s="91">
        <f>COUNTIFS(App_Stage,"&gt;=3")</f>
        <v/>
      </c>
    </row>
    <row r="8">
      <c r="B8" s="32" t="inlineStr">
        <is>
          <t>Application → Interview rate</t>
        </is>
      </c>
      <c r="C8" s="92">
        <f>IF(C6=0,"–",C7/C6)</f>
        <v/>
      </c>
    </row>
    <row r="9">
      <c r="B9" s="32" t="inlineStr">
        <is>
          <t>Avg. Match % · applications that reached interview</t>
        </is>
      </c>
      <c r="C9" s="93">
        <f>IFERROR(AVERAGEIFS(App_Match,App_Stage,"&gt;=3"),"–")</f>
        <v/>
      </c>
    </row>
    <row r="10">
      <c r="B10" s="32" t="inlineStr">
        <is>
          <t>Avg. Match % · applications without an interview</t>
        </is>
      </c>
      <c r="C10" s="93">
        <f>IFERROR(AVERAGEIFS(App_Match,App_Stage,"&gt;=1",App_Stage,"&lt;=2"),"–")</f>
        <v/>
      </c>
    </row>
    <row r="13">
      <c r="B13" s="5" t="inlineStr">
        <is>
          <t>INTERVIEW RATE BY CV VERSION</t>
        </is>
      </c>
    </row>
    <row r="14" ht="26" customHeight="1">
      <c r="B14" s="26" t="inlineStr">
        <is>
          <t>CV Version</t>
        </is>
      </c>
      <c r="C14" s="27" t="inlineStr">
        <is>
          <t>Applications</t>
        </is>
      </c>
      <c r="D14" s="27" t="inlineStr">
        <is>
          <t>Interviews</t>
        </is>
      </c>
      <c r="E14" s="27" t="inlineStr">
        <is>
          <t>Interview Rate</t>
        </is>
      </c>
      <c r="F14" s="27" t="inlineStr">
        <is>
          <t>Offers</t>
        </is>
      </c>
      <c r="G14" s="26" t="inlineStr">
        <is>
          <t>Interview rate</t>
        </is>
      </c>
    </row>
    <row r="15">
      <c r="B15" s="32">
        <f>Settings!$I$13</f>
        <v/>
      </c>
      <c r="C15" s="94">
        <f>COUNTIFS(App_CV,$B15,App_Stage,"&gt;=1")</f>
        <v/>
      </c>
      <c r="D15" s="94">
        <f>COUNTIFS(App_CV,$B15,App_Stage,"&gt;=3")</f>
        <v/>
      </c>
      <c r="E15" s="95">
        <f>IF(C15=0,"–",D15/C15)</f>
        <v/>
      </c>
      <c r="F15" s="94">
        <f>COUNTIFS(App_CV,$B15,App_Stage,"&gt;=6")</f>
        <v/>
      </c>
      <c r="G15" s="53">
        <f>IF(ISNUMBER(E15),IF(E15&gt;0,REPT("█",MAX(1,ROUND(E15*14,0))),""),"")</f>
        <v/>
      </c>
      <c r="H15">
        <f>IF(AND(C15&gt;0,C15&gt;=Set_MinSample),D15/C15,-1)</f>
        <v/>
      </c>
    </row>
    <row r="16">
      <c r="B16" s="32">
        <f>Settings!$I$14</f>
        <v/>
      </c>
      <c r="C16" s="94">
        <f>COUNTIFS(App_CV,$B16,App_Stage,"&gt;=1")</f>
        <v/>
      </c>
      <c r="D16" s="94">
        <f>COUNTIFS(App_CV,$B16,App_Stage,"&gt;=3")</f>
        <v/>
      </c>
      <c r="E16" s="95">
        <f>IF(C16=0,"–",D16/C16)</f>
        <v/>
      </c>
      <c r="F16" s="94">
        <f>COUNTIFS(App_CV,$B16,App_Stage,"&gt;=6")</f>
        <v/>
      </c>
      <c r="G16" s="53">
        <f>IF(ISNUMBER(E16),IF(E16&gt;0,REPT("█",MAX(1,ROUND(E16*14,0))),""),"")</f>
        <v/>
      </c>
      <c r="H16">
        <f>IF(AND(C16&gt;0,C16&gt;=Set_MinSample),D16/C16,-1)</f>
        <v/>
      </c>
    </row>
    <row r="17">
      <c r="B17" s="32">
        <f>Settings!$I$15</f>
        <v/>
      </c>
      <c r="C17" s="94">
        <f>COUNTIFS(App_CV,$B17,App_Stage,"&gt;=1")</f>
        <v/>
      </c>
      <c r="D17" s="94">
        <f>COUNTIFS(App_CV,$B17,App_Stage,"&gt;=3")</f>
        <v/>
      </c>
      <c r="E17" s="95">
        <f>IF(C17=0,"–",D17/C17)</f>
        <v/>
      </c>
      <c r="F17" s="94">
        <f>COUNTIFS(App_CV,$B17,App_Stage,"&gt;=6")</f>
        <v/>
      </c>
      <c r="G17" s="53">
        <f>IF(ISNUMBER(E17),IF(E17&gt;0,REPT("█",MAX(1,ROUND(E17*14,0))),""),"")</f>
        <v/>
      </c>
      <c r="H17">
        <f>IF(AND(C17&gt;0,C17&gt;=Set_MinSample),D17/C17,-1)</f>
        <v/>
      </c>
    </row>
    <row r="18">
      <c r="B18" s="32">
        <f>Settings!$I$16</f>
        <v/>
      </c>
      <c r="C18" s="94">
        <f>COUNTIFS(App_CV,$B18,App_Stage,"&gt;=1")</f>
        <v/>
      </c>
      <c r="D18" s="94">
        <f>COUNTIFS(App_CV,$B18,App_Stage,"&gt;=3")</f>
        <v/>
      </c>
      <c r="E18" s="95">
        <f>IF(C18=0,"–",D18/C18)</f>
        <v/>
      </c>
      <c r="F18" s="94">
        <f>COUNTIFS(App_CV,$B18,App_Stage,"&gt;=6")</f>
        <v/>
      </c>
      <c r="G18" s="53">
        <f>IF(ISNUMBER(E18),IF(E18&gt;0,REPT("█",MAX(1,ROUND(E18*14,0))),""),"")</f>
        <v/>
      </c>
      <c r="H18">
        <f>IF(AND(C18&gt;0,C18&gt;=Set_MinSample),D18/C18,-1)</f>
        <v/>
      </c>
    </row>
    <row r="19">
      <c r="B19" s="32">
        <f>Settings!$I$17</f>
        <v/>
      </c>
      <c r="C19" s="94">
        <f>COUNTIFS(App_CV,$B19,App_Stage,"&gt;=1")</f>
        <v/>
      </c>
      <c r="D19" s="94">
        <f>COUNTIFS(App_CV,$B19,App_Stage,"&gt;=3")</f>
        <v/>
      </c>
      <c r="E19" s="95">
        <f>IF(C19=0,"–",D19/C19)</f>
        <v/>
      </c>
      <c r="F19" s="94">
        <f>COUNTIFS(App_CV,$B19,App_Stage,"&gt;=6")</f>
        <v/>
      </c>
      <c r="G19" s="53">
        <f>IF(ISNUMBER(E19),IF(E19&gt;0,REPT("█",MAX(1,ROUND(E19*14,0))),""),"")</f>
        <v/>
      </c>
      <c r="H19">
        <f>IF(AND(C19&gt;0,C19&gt;=Set_MinSample),D19/C19,-1)</f>
        <v/>
      </c>
    </row>
    <row r="20">
      <c r="B20" s="32">
        <f>Settings!$I$18</f>
        <v/>
      </c>
      <c r="C20" s="94">
        <f>COUNTIFS(App_CV,$B20,App_Stage,"&gt;=1")</f>
        <v/>
      </c>
      <c r="D20" s="94">
        <f>COUNTIFS(App_CV,$B20,App_Stage,"&gt;=3")</f>
        <v/>
      </c>
      <c r="E20" s="95">
        <f>IF(C20=0,"–",D20/C20)</f>
        <v/>
      </c>
      <c r="F20" s="94">
        <f>COUNTIFS(App_CV,$B20,App_Stage,"&gt;=6")</f>
        <v/>
      </c>
      <c r="G20" s="53">
        <f>IF(ISNUMBER(E20),IF(E20&gt;0,REPT("█",MAX(1,ROUND(E20*14,0))),""),"")</f>
        <v/>
      </c>
      <c r="H20">
        <f>IF(AND(C20&gt;0,C20&gt;=Set_MinSample),D20/C20,-1)</f>
        <v/>
      </c>
    </row>
    <row r="21">
      <c r="B21" s="32">
        <f>Settings!$I$19</f>
        <v/>
      </c>
      <c r="C21" s="94">
        <f>COUNTIFS(App_CV,$B21,App_Stage,"&gt;=1")</f>
        <v/>
      </c>
      <c r="D21" s="94">
        <f>COUNTIFS(App_CV,$B21,App_Stage,"&gt;=3")</f>
        <v/>
      </c>
      <c r="E21" s="95">
        <f>IF(C21=0,"–",D21/C21)</f>
        <v/>
      </c>
      <c r="F21" s="94">
        <f>COUNTIFS(App_CV,$B21,App_Stage,"&gt;=6")</f>
        <v/>
      </c>
      <c r="G21" s="53">
        <f>IF(ISNUMBER(E21),IF(E21&gt;0,REPT("█",MAX(1,ROUND(E21*14,0))),""),"")</f>
        <v/>
      </c>
      <c r="H21">
        <f>IF(AND(C21&gt;0,C21&gt;=Set_MinSample),D21/C21,-1)</f>
        <v/>
      </c>
    </row>
    <row r="22">
      <c r="B22" s="54" t="inlineStr">
        <is>
          <t>Not set</t>
        </is>
      </c>
      <c r="C22" s="94">
        <f>MAX(0,$C$6-SUM(C15:C21))</f>
        <v/>
      </c>
      <c r="D22" s="94">
        <f>MAX(0,$C$7-SUM(D15:D21))</f>
        <v/>
      </c>
      <c r="E22" s="95">
        <f>IF(C22=0,"–",D22/C22)</f>
        <v/>
      </c>
      <c r="F22" s="94">
        <f>MAX(0,COUNTIFS(App_Stage,"&gt;=6")-SUM(F15:F21))</f>
        <v/>
      </c>
      <c r="G22" s="53">
        <f>IF(ISNUMBER(E22),IF(E22&gt;0,REPT("█",MAX(1,ROUND(E22*14,0))),""),"")</f>
        <v/>
      </c>
      <c r="H22" t="n">
        <v>-1</v>
      </c>
    </row>
    <row r="23">
      <c r="B23" s="96" t="inlineStr">
        <is>
          <t>Best performer</t>
        </is>
      </c>
      <c r="C23" s="97">
        <f>IF(MAX($H$15:$H$22)&lt;0,"Not enough data yet — min. "&amp;Set_MinSample&amp;" applications per group",IF(MAX($H$15:$H$22)=0,"No interviews yet",INDEX($B$15:$B$22,MATCH(MAX($H$15:$H$22),$H$15:$H$22,0))&amp;"  —  "&amp;ROUND(MAX($H$15:$H$22)*100,0)&amp;"% interview rate ("&amp;INDEX($D$15:$D$22,MATCH(MAX($H$15:$H$22),$H$15:$H$22,0))&amp;" of "&amp;INDEX($C$15:$C$22,MATCH(MAX($H$15:$H$22),$H$15:$H$22,0))&amp;")"))</f>
        <v/>
      </c>
    </row>
    <row r="26">
      <c r="B26" s="5" t="inlineStr">
        <is>
          <t>INTERVIEW RATE BY ROLE CATEGORY</t>
        </is>
      </c>
    </row>
    <row r="27" ht="26" customHeight="1">
      <c r="B27" s="26" t="inlineStr">
        <is>
          <t>Role Category</t>
        </is>
      </c>
      <c r="C27" s="27" t="inlineStr">
        <is>
          <t>Applications</t>
        </is>
      </c>
      <c r="D27" s="27" t="inlineStr">
        <is>
          <t>Interviews</t>
        </is>
      </c>
      <c r="E27" s="27" t="inlineStr">
        <is>
          <t>Interview Rate</t>
        </is>
      </c>
      <c r="F27" s="27" t="inlineStr">
        <is>
          <t>Offers</t>
        </is>
      </c>
      <c r="G27" s="26" t="inlineStr">
        <is>
          <t>Interview rate</t>
        </is>
      </c>
    </row>
    <row r="28">
      <c r="B28" s="32">
        <f>Settings!$J$13</f>
        <v/>
      </c>
      <c r="C28" s="94">
        <f>COUNTIFS(App_Role,$B28,App_Stage,"&gt;=1")</f>
        <v/>
      </c>
      <c r="D28" s="94">
        <f>COUNTIFS(App_Role,$B28,App_Stage,"&gt;=3")</f>
        <v/>
      </c>
      <c r="E28" s="95">
        <f>IF(C28=0,"–",D28/C28)</f>
        <v/>
      </c>
      <c r="F28" s="94">
        <f>COUNTIFS(App_Role,$B28,App_Stage,"&gt;=6")</f>
        <v/>
      </c>
      <c r="G28" s="53">
        <f>IF(ISNUMBER(E28),IF(E28&gt;0,REPT("█",MAX(1,ROUND(E28*14,0))),""),"")</f>
        <v/>
      </c>
      <c r="H28">
        <f>IF(AND(C28&gt;0,C28&gt;=Set_MinSample),D28/C28,-1)</f>
        <v/>
      </c>
    </row>
    <row r="29">
      <c r="B29" s="32">
        <f>Settings!$J$14</f>
        <v/>
      </c>
      <c r="C29" s="94">
        <f>COUNTIFS(App_Role,$B29,App_Stage,"&gt;=1")</f>
        <v/>
      </c>
      <c r="D29" s="94">
        <f>COUNTIFS(App_Role,$B29,App_Stage,"&gt;=3")</f>
        <v/>
      </c>
      <c r="E29" s="95">
        <f>IF(C29=0,"–",D29/C29)</f>
        <v/>
      </c>
      <c r="F29" s="94">
        <f>COUNTIFS(App_Role,$B29,App_Stage,"&gt;=6")</f>
        <v/>
      </c>
      <c r="G29" s="53">
        <f>IF(ISNUMBER(E29),IF(E29&gt;0,REPT("█",MAX(1,ROUND(E29*14,0))),""),"")</f>
        <v/>
      </c>
      <c r="H29">
        <f>IF(AND(C29&gt;0,C29&gt;=Set_MinSample),D29/C29,-1)</f>
        <v/>
      </c>
    </row>
    <row r="30">
      <c r="B30" s="32">
        <f>Settings!$J$15</f>
        <v/>
      </c>
      <c r="C30" s="94">
        <f>COUNTIFS(App_Role,$B30,App_Stage,"&gt;=1")</f>
        <v/>
      </c>
      <c r="D30" s="94">
        <f>COUNTIFS(App_Role,$B30,App_Stage,"&gt;=3")</f>
        <v/>
      </c>
      <c r="E30" s="95">
        <f>IF(C30=0,"–",D30/C30)</f>
        <v/>
      </c>
      <c r="F30" s="94">
        <f>COUNTIFS(App_Role,$B30,App_Stage,"&gt;=6")</f>
        <v/>
      </c>
      <c r="G30" s="53">
        <f>IF(ISNUMBER(E30),IF(E30&gt;0,REPT("█",MAX(1,ROUND(E30*14,0))),""),"")</f>
        <v/>
      </c>
      <c r="H30">
        <f>IF(AND(C30&gt;0,C30&gt;=Set_MinSample),D30/C30,-1)</f>
        <v/>
      </c>
    </row>
    <row r="31">
      <c r="B31" s="32">
        <f>Settings!$J$16</f>
        <v/>
      </c>
      <c r="C31" s="94">
        <f>COUNTIFS(App_Role,$B31,App_Stage,"&gt;=1")</f>
        <v/>
      </c>
      <c r="D31" s="94">
        <f>COUNTIFS(App_Role,$B31,App_Stage,"&gt;=3")</f>
        <v/>
      </c>
      <c r="E31" s="95">
        <f>IF(C31=0,"–",D31/C31)</f>
        <v/>
      </c>
      <c r="F31" s="94">
        <f>COUNTIFS(App_Role,$B31,App_Stage,"&gt;=6")</f>
        <v/>
      </c>
      <c r="G31" s="53">
        <f>IF(ISNUMBER(E31),IF(E31&gt;0,REPT("█",MAX(1,ROUND(E31*14,0))),""),"")</f>
        <v/>
      </c>
      <c r="H31">
        <f>IF(AND(C31&gt;0,C31&gt;=Set_MinSample),D31/C31,-1)</f>
        <v/>
      </c>
    </row>
    <row r="32">
      <c r="B32" s="32">
        <f>Settings!$J$17</f>
        <v/>
      </c>
      <c r="C32" s="94">
        <f>COUNTIFS(App_Role,$B32,App_Stage,"&gt;=1")</f>
        <v/>
      </c>
      <c r="D32" s="94">
        <f>COUNTIFS(App_Role,$B32,App_Stage,"&gt;=3")</f>
        <v/>
      </c>
      <c r="E32" s="95">
        <f>IF(C32=0,"–",D32/C32)</f>
        <v/>
      </c>
      <c r="F32" s="94">
        <f>COUNTIFS(App_Role,$B32,App_Stage,"&gt;=6")</f>
        <v/>
      </c>
      <c r="G32" s="53">
        <f>IF(ISNUMBER(E32),IF(E32&gt;0,REPT("█",MAX(1,ROUND(E32*14,0))),""),"")</f>
        <v/>
      </c>
      <c r="H32">
        <f>IF(AND(C32&gt;0,C32&gt;=Set_MinSample),D32/C32,-1)</f>
        <v/>
      </c>
    </row>
    <row r="33">
      <c r="B33" s="32">
        <f>Settings!$J$18</f>
        <v/>
      </c>
      <c r="C33" s="94">
        <f>COUNTIFS(App_Role,$B33,App_Stage,"&gt;=1")</f>
        <v/>
      </c>
      <c r="D33" s="94">
        <f>COUNTIFS(App_Role,$B33,App_Stage,"&gt;=3")</f>
        <v/>
      </c>
      <c r="E33" s="95">
        <f>IF(C33=0,"–",D33/C33)</f>
        <v/>
      </c>
      <c r="F33" s="94">
        <f>COUNTIFS(App_Role,$B33,App_Stage,"&gt;=6")</f>
        <v/>
      </c>
      <c r="G33" s="53">
        <f>IF(ISNUMBER(E33),IF(E33&gt;0,REPT("█",MAX(1,ROUND(E33*14,0))),""),"")</f>
        <v/>
      </c>
      <c r="H33">
        <f>IF(AND(C33&gt;0,C33&gt;=Set_MinSample),D33/C33,-1)</f>
        <v/>
      </c>
    </row>
    <row r="34">
      <c r="B34" s="32">
        <f>Settings!$J$19</f>
        <v/>
      </c>
      <c r="C34" s="94">
        <f>COUNTIFS(App_Role,$B34,App_Stage,"&gt;=1")</f>
        <v/>
      </c>
      <c r="D34" s="94">
        <f>COUNTIFS(App_Role,$B34,App_Stage,"&gt;=3")</f>
        <v/>
      </c>
      <c r="E34" s="95">
        <f>IF(C34=0,"–",D34/C34)</f>
        <v/>
      </c>
      <c r="F34" s="94">
        <f>COUNTIFS(App_Role,$B34,App_Stage,"&gt;=6")</f>
        <v/>
      </c>
      <c r="G34" s="53">
        <f>IF(ISNUMBER(E34),IF(E34&gt;0,REPT("█",MAX(1,ROUND(E34*14,0))),""),"")</f>
        <v/>
      </c>
      <c r="H34">
        <f>IF(AND(C34&gt;0,C34&gt;=Set_MinSample),D34/C34,-1)</f>
        <v/>
      </c>
    </row>
    <row r="35">
      <c r="B35" s="32">
        <f>Settings!$J$20</f>
        <v/>
      </c>
      <c r="C35" s="94">
        <f>COUNTIFS(App_Role,$B35,App_Stage,"&gt;=1")</f>
        <v/>
      </c>
      <c r="D35" s="94">
        <f>COUNTIFS(App_Role,$B35,App_Stage,"&gt;=3")</f>
        <v/>
      </c>
      <c r="E35" s="95">
        <f>IF(C35=0,"–",D35/C35)</f>
        <v/>
      </c>
      <c r="F35" s="94">
        <f>COUNTIFS(App_Role,$B35,App_Stage,"&gt;=6")</f>
        <v/>
      </c>
      <c r="G35" s="53">
        <f>IF(ISNUMBER(E35),IF(E35&gt;0,REPT("█",MAX(1,ROUND(E35*14,0))),""),"")</f>
        <v/>
      </c>
      <c r="H35">
        <f>IF(AND(C35&gt;0,C35&gt;=Set_MinSample),D35/C35,-1)</f>
        <v/>
      </c>
    </row>
    <row r="36">
      <c r="B36" s="32">
        <f>Settings!$J$21</f>
        <v/>
      </c>
      <c r="C36" s="94">
        <f>COUNTIFS(App_Role,$B36,App_Stage,"&gt;=1")</f>
        <v/>
      </c>
      <c r="D36" s="94">
        <f>COUNTIFS(App_Role,$B36,App_Stage,"&gt;=3")</f>
        <v/>
      </c>
      <c r="E36" s="95">
        <f>IF(C36=0,"–",D36/C36)</f>
        <v/>
      </c>
      <c r="F36" s="94">
        <f>COUNTIFS(App_Role,$B36,App_Stage,"&gt;=6")</f>
        <v/>
      </c>
      <c r="G36" s="53">
        <f>IF(ISNUMBER(E36),IF(E36&gt;0,REPT("█",MAX(1,ROUND(E36*14,0))),""),"")</f>
        <v/>
      </c>
      <c r="H36">
        <f>IF(AND(C36&gt;0,C36&gt;=Set_MinSample),D36/C36,-1)</f>
        <v/>
      </c>
    </row>
    <row r="37">
      <c r="B37" s="32">
        <f>Settings!$J$22</f>
        <v/>
      </c>
      <c r="C37" s="94">
        <f>COUNTIFS(App_Role,$B37,App_Stage,"&gt;=1")</f>
        <v/>
      </c>
      <c r="D37" s="94">
        <f>COUNTIFS(App_Role,$B37,App_Stage,"&gt;=3")</f>
        <v/>
      </c>
      <c r="E37" s="95">
        <f>IF(C37=0,"–",D37/C37)</f>
        <v/>
      </c>
      <c r="F37" s="94">
        <f>COUNTIFS(App_Role,$B37,App_Stage,"&gt;=6")</f>
        <v/>
      </c>
      <c r="G37" s="53">
        <f>IF(ISNUMBER(E37),IF(E37&gt;0,REPT("█",MAX(1,ROUND(E37*14,0))),""),"")</f>
        <v/>
      </c>
      <c r="H37">
        <f>IF(AND(C37&gt;0,C37&gt;=Set_MinSample),D37/C37,-1)</f>
        <v/>
      </c>
    </row>
    <row r="38">
      <c r="B38" s="32">
        <f>Settings!$J$23</f>
        <v/>
      </c>
      <c r="C38" s="94">
        <f>COUNTIFS(App_Role,$B38,App_Stage,"&gt;=1")</f>
        <v/>
      </c>
      <c r="D38" s="94">
        <f>COUNTIFS(App_Role,$B38,App_Stage,"&gt;=3")</f>
        <v/>
      </c>
      <c r="E38" s="95">
        <f>IF(C38=0,"–",D38/C38)</f>
        <v/>
      </c>
      <c r="F38" s="94">
        <f>COUNTIFS(App_Role,$B38,App_Stage,"&gt;=6")</f>
        <v/>
      </c>
      <c r="G38" s="53">
        <f>IF(ISNUMBER(E38),IF(E38&gt;0,REPT("█",MAX(1,ROUND(E38*14,0))),""),"")</f>
        <v/>
      </c>
      <c r="H38">
        <f>IF(AND(C38&gt;0,C38&gt;=Set_MinSample),D38/C38,-1)</f>
        <v/>
      </c>
    </row>
    <row r="39">
      <c r="B39" s="54" t="inlineStr">
        <is>
          <t>Not set</t>
        </is>
      </c>
      <c r="C39" s="94">
        <f>MAX(0,$C$6-SUM(C28:C38))</f>
        <v/>
      </c>
      <c r="D39" s="94">
        <f>MAX(0,$C$7-SUM(D28:D38))</f>
        <v/>
      </c>
      <c r="E39" s="95">
        <f>IF(C39=0,"–",D39/C39)</f>
        <v/>
      </c>
      <c r="F39" s="94">
        <f>MAX(0,COUNTIFS(App_Stage,"&gt;=6")-SUM(F28:F38))</f>
        <v/>
      </c>
      <c r="G39" s="53">
        <f>IF(ISNUMBER(E39),IF(E39&gt;0,REPT("█",MAX(1,ROUND(E39*14,0))),""),"")</f>
        <v/>
      </c>
      <c r="H39" t="n">
        <v>-1</v>
      </c>
    </row>
    <row r="40">
      <c r="B40" s="96" t="inlineStr">
        <is>
          <t>Best performer</t>
        </is>
      </c>
      <c r="C40" s="97">
        <f>IF(MAX($H$28:$H$39)&lt;0,"Not enough data yet — min. "&amp;Set_MinSample&amp;" applications per group",IF(MAX($H$28:$H$39)=0,"No interviews yet",INDEX($B$28:$B$39,MATCH(MAX($H$28:$H$39),$H$28:$H$39,0))&amp;"  —  "&amp;ROUND(MAX($H$28:$H$39)*100,0)&amp;"% interview rate ("&amp;INDEX($D$28:$D$39,MATCH(MAX($H$28:$H$39),$H$28:$H$39,0))&amp;" of "&amp;INDEX($C$28:$C$39,MATCH(MAX($H$28:$H$39),$H$28:$H$39,0))&amp;")"))</f>
        <v/>
      </c>
    </row>
    <row r="43">
      <c r="B43" s="5" t="inlineStr">
        <is>
          <t>INTERVIEW RATE BY SOURCE</t>
        </is>
      </c>
    </row>
    <row r="44" ht="26" customHeight="1">
      <c r="B44" s="26" t="inlineStr">
        <is>
          <t>Source</t>
        </is>
      </c>
      <c r="C44" s="27" t="inlineStr">
        <is>
          <t>Applications</t>
        </is>
      </c>
      <c r="D44" s="27" t="inlineStr">
        <is>
          <t>Interviews</t>
        </is>
      </c>
      <c r="E44" s="27" t="inlineStr">
        <is>
          <t>Interview Rate</t>
        </is>
      </c>
      <c r="F44" s="27" t="inlineStr">
        <is>
          <t>Offers</t>
        </is>
      </c>
      <c r="G44" s="26" t="inlineStr">
        <is>
          <t>Interview rate</t>
        </is>
      </c>
    </row>
    <row r="45">
      <c r="B45" s="32">
        <f>Settings!$D$13</f>
        <v/>
      </c>
      <c r="C45" s="94">
        <f>COUNTIFS(App_Source,$B45,App_Stage,"&gt;=1")</f>
        <v/>
      </c>
      <c r="D45" s="94">
        <f>COUNTIFS(App_Source,$B45,App_Stage,"&gt;=3")</f>
        <v/>
      </c>
      <c r="E45" s="95">
        <f>IF(C45=0,"–",D45/C45)</f>
        <v/>
      </c>
      <c r="F45" s="94">
        <f>COUNTIFS(App_Source,$B45,App_Stage,"&gt;=6")</f>
        <v/>
      </c>
      <c r="G45" s="53">
        <f>IF(ISNUMBER(E45),IF(E45&gt;0,REPT("█",MAX(1,ROUND(E45*14,0))),""),"")</f>
        <v/>
      </c>
      <c r="H45">
        <f>IF(AND(C45&gt;0,C45&gt;=Set_MinSample),D45/C45,-1)</f>
        <v/>
      </c>
    </row>
    <row r="46">
      <c r="B46" s="32">
        <f>Settings!$D$14</f>
        <v/>
      </c>
      <c r="C46" s="94">
        <f>COUNTIFS(App_Source,$B46,App_Stage,"&gt;=1")</f>
        <v/>
      </c>
      <c r="D46" s="94">
        <f>COUNTIFS(App_Source,$B46,App_Stage,"&gt;=3")</f>
        <v/>
      </c>
      <c r="E46" s="95">
        <f>IF(C46=0,"–",D46/C46)</f>
        <v/>
      </c>
      <c r="F46" s="94">
        <f>COUNTIFS(App_Source,$B46,App_Stage,"&gt;=6")</f>
        <v/>
      </c>
      <c r="G46" s="53">
        <f>IF(ISNUMBER(E46),IF(E46&gt;0,REPT("█",MAX(1,ROUND(E46*14,0))),""),"")</f>
        <v/>
      </c>
      <c r="H46">
        <f>IF(AND(C46&gt;0,C46&gt;=Set_MinSample),D46/C46,-1)</f>
        <v/>
      </c>
    </row>
    <row r="47">
      <c r="B47" s="32">
        <f>Settings!$D$15</f>
        <v/>
      </c>
      <c r="C47" s="94">
        <f>COUNTIFS(App_Source,$B47,App_Stage,"&gt;=1")</f>
        <v/>
      </c>
      <c r="D47" s="94">
        <f>COUNTIFS(App_Source,$B47,App_Stage,"&gt;=3")</f>
        <v/>
      </c>
      <c r="E47" s="95">
        <f>IF(C47=0,"–",D47/C47)</f>
        <v/>
      </c>
      <c r="F47" s="94">
        <f>COUNTIFS(App_Source,$B47,App_Stage,"&gt;=6")</f>
        <v/>
      </c>
      <c r="G47" s="53">
        <f>IF(ISNUMBER(E47),IF(E47&gt;0,REPT("█",MAX(1,ROUND(E47*14,0))),""),"")</f>
        <v/>
      </c>
      <c r="H47">
        <f>IF(AND(C47&gt;0,C47&gt;=Set_MinSample),D47/C47,-1)</f>
        <v/>
      </c>
    </row>
    <row r="48">
      <c r="B48" s="32">
        <f>Settings!$D$16</f>
        <v/>
      </c>
      <c r="C48" s="94">
        <f>COUNTIFS(App_Source,$B48,App_Stage,"&gt;=1")</f>
        <v/>
      </c>
      <c r="D48" s="94">
        <f>COUNTIFS(App_Source,$B48,App_Stage,"&gt;=3")</f>
        <v/>
      </c>
      <c r="E48" s="95">
        <f>IF(C48=0,"–",D48/C48)</f>
        <v/>
      </c>
      <c r="F48" s="94">
        <f>COUNTIFS(App_Source,$B48,App_Stage,"&gt;=6")</f>
        <v/>
      </c>
      <c r="G48" s="53">
        <f>IF(ISNUMBER(E48),IF(E48&gt;0,REPT("█",MAX(1,ROUND(E48*14,0))),""),"")</f>
        <v/>
      </c>
      <c r="H48">
        <f>IF(AND(C48&gt;0,C48&gt;=Set_MinSample),D48/C48,-1)</f>
        <v/>
      </c>
    </row>
    <row r="49">
      <c r="B49" s="32">
        <f>Settings!$D$17</f>
        <v/>
      </c>
      <c r="C49" s="94">
        <f>COUNTIFS(App_Source,$B49,App_Stage,"&gt;=1")</f>
        <v/>
      </c>
      <c r="D49" s="94">
        <f>COUNTIFS(App_Source,$B49,App_Stage,"&gt;=3")</f>
        <v/>
      </c>
      <c r="E49" s="95">
        <f>IF(C49=0,"–",D49/C49)</f>
        <v/>
      </c>
      <c r="F49" s="94">
        <f>COUNTIFS(App_Source,$B49,App_Stage,"&gt;=6")</f>
        <v/>
      </c>
      <c r="G49" s="53">
        <f>IF(ISNUMBER(E49),IF(E49&gt;0,REPT("█",MAX(1,ROUND(E49*14,0))),""),"")</f>
        <v/>
      </c>
      <c r="H49">
        <f>IF(AND(C49&gt;0,C49&gt;=Set_MinSample),D49/C49,-1)</f>
        <v/>
      </c>
    </row>
    <row r="50">
      <c r="B50" s="32">
        <f>Settings!$D$18</f>
        <v/>
      </c>
      <c r="C50" s="94">
        <f>COUNTIFS(App_Source,$B50,App_Stage,"&gt;=1")</f>
        <v/>
      </c>
      <c r="D50" s="94">
        <f>COUNTIFS(App_Source,$B50,App_Stage,"&gt;=3")</f>
        <v/>
      </c>
      <c r="E50" s="95">
        <f>IF(C50=0,"–",D50/C50)</f>
        <v/>
      </c>
      <c r="F50" s="94">
        <f>COUNTIFS(App_Source,$B50,App_Stage,"&gt;=6")</f>
        <v/>
      </c>
      <c r="G50" s="53">
        <f>IF(ISNUMBER(E50),IF(E50&gt;0,REPT("█",MAX(1,ROUND(E50*14,0))),""),"")</f>
        <v/>
      </c>
      <c r="H50">
        <f>IF(AND(C50&gt;0,C50&gt;=Set_MinSample),D50/C50,-1)</f>
        <v/>
      </c>
    </row>
    <row r="51">
      <c r="B51" s="32">
        <f>Settings!$D$19</f>
        <v/>
      </c>
      <c r="C51" s="94">
        <f>COUNTIFS(App_Source,$B51,App_Stage,"&gt;=1")</f>
        <v/>
      </c>
      <c r="D51" s="94">
        <f>COUNTIFS(App_Source,$B51,App_Stage,"&gt;=3")</f>
        <v/>
      </c>
      <c r="E51" s="95">
        <f>IF(C51=0,"–",D51/C51)</f>
        <v/>
      </c>
      <c r="F51" s="94">
        <f>COUNTIFS(App_Source,$B51,App_Stage,"&gt;=6")</f>
        <v/>
      </c>
      <c r="G51" s="53">
        <f>IF(ISNUMBER(E51),IF(E51&gt;0,REPT("█",MAX(1,ROUND(E51*14,0))),""),"")</f>
        <v/>
      </c>
      <c r="H51">
        <f>IF(AND(C51&gt;0,C51&gt;=Set_MinSample),D51/C51,-1)</f>
        <v/>
      </c>
    </row>
    <row r="52">
      <c r="B52" s="32">
        <f>Settings!$D$20</f>
        <v/>
      </c>
      <c r="C52" s="94">
        <f>COUNTIFS(App_Source,$B52,App_Stage,"&gt;=1")</f>
        <v/>
      </c>
      <c r="D52" s="94">
        <f>COUNTIFS(App_Source,$B52,App_Stage,"&gt;=3")</f>
        <v/>
      </c>
      <c r="E52" s="95">
        <f>IF(C52=0,"–",D52/C52)</f>
        <v/>
      </c>
      <c r="F52" s="94">
        <f>COUNTIFS(App_Source,$B52,App_Stage,"&gt;=6")</f>
        <v/>
      </c>
      <c r="G52" s="53">
        <f>IF(ISNUMBER(E52),IF(E52&gt;0,REPT("█",MAX(1,ROUND(E52*14,0))),""),"")</f>
        <v/>
      </c>
      <c r="H52">
        <f>IF(AND(C52&gt;0,C52&gt;=Set_MinSample),D52/C52,-1)</f>
        <v/>
      </c>
    </row>
    <row r="53">
      <c r="B53" s="32">
        <f>Settings!$D$21</f>
        <v/>
      </c>
      <c r="C53" s="94">
        <f>COUNTIFS(App_Source,$B53,App_Stage,"&gt;=1")</f>
        <v/>
      </c>
      <c r="D53" s="94">
        <f>COUNTIFS(App_Source,$B53,App_Stage,"&gt;=3")</f>
        <v/>
      </c>
      <c r="E53" s="95">
        <f>IF(C53=0,"–",D53/C53)</f>
        <v/>
      </c>
      <c r="F53" s="94">
        <f>COUNTIFS(App_Source,$B53,App_Stage,"&gt;=6")</f>
        <v/>
      </c>
      <c r="G53" s="53">
        <f>IF(ISNUMBER(E53),IF(E53&gt;0,REPT("█",MAX(1,ROUND(E53*14,0))),""),"")</f>
        <v/>
      </c>
      <c r="H53">
        <f>IF(AND(C53&gt;0,C53&gt;=Set_MinSample),D53/C53,-1)</f>
        <v/>
      </c>
    </row>
    <row r="54">
      <c r="B54" s="32">
        <f>Settings!$D$22</f>
        <v/>
      </c>
      <c r="C54" s="94">
        <f>COUNTIFS(App_Source,$B54,App_Stage,"&gt;=1")</f>
        <v/>
      </c>
      <c r="D54" s="94">
        <f>COUNTIFS(App_Source,$B54,App_Stage,"&gt;=3")</f>
        <v/>
      </c>
      <c r="E54" s="95">
        <f>IF(C54=0,"–",D54/C54)</f>
        <v/>
      </c>
      <c r="F54" s="94">
        <f>COUNTIFS(App_Source,$B54,App_Stage,"&gt;=6")</f>
        <v/>
      </c>
      <c r="G54" s="53">
        <f>IF(ISNUMBER(E54),IF(E54&gt;0,REPT("█",MAX(1,ROUND(E54*14,0))),""),"")</f>
        <v/>
      </c>
      <c r="H54">
        <f>IF(AND(C54&gt;0,C54&gt;=Set_MinSample),D54/C54,-1)</f>
        <v/>
      </c>
    </row>
    <row r="55">
      <c r="B55" s="54" t="inlineStr">
        <is>
          <t>Not set</t>
        </is>
      </c>
      <c r="C55" s="94">
        <f>MAX(0,$C$6-SUM(C45:C54))</f>
        <v/>
      </c>
      <c r="D55" s="94">
        <f>MAX(0,$C$7-SUM(D45:D54))</f>
        <v/>
      </c>
      <c r="E55" s="95">
        <f>IF(C55=0,"–",D55/C55)</f>
        <v/>
      </c>
      <c r="F55" s="94">
        <f>MAX(0,COUNTIFS(App_Stage,"&gt;=6")-SUM(F45:F54))</f>
        <v/>
      </c>
      <c r="G55" s="53">
        <f>IF(ISNUMBER(E55),IF(E55&gt;0,REPT("█",MAX(1,ROUND(E55*14,0))),""),"")</f>
        <v/>
      </c>
      <c r="H55" t="n">
        <v>-1</v>
      </c>
    </row>
    <row r="56">
      <c r="B56" s="96" t="inlineStr">
        <is>
          <t>Best performer</t>
        </is>
      </c>
      <c r="C56" s="97">
        <f>IF(MAX($H$45:$H$55)&lt;0,"Not enough data yet — min. "&amp;Set_MinSample&amp;" applications per group",IF(MAX($H$45:$H$55)=0,"No interviews yet",INDEX($B$45:$B$55,MATCH(MAX($H$45:$H$55),$H$45:$H$55,0))&amp;"  —  "&amp;ROUND(MAX($H$45:$H$55)*100,0)&amp;"% interview rate ("&amp;INDEX($D$45:$D$55,MATCH(MAX($H$45:$H$55),$H$45:$H$55,0))&amp;" of "&amp;INDEX($C$45:$C$55,MATCH(MAX($H$45:$H$55),$H$45:$H$55,0))&amp;")"))</f>
        <v/>
      </c>
    </row>
    <row r="59">
      <c r="B59" s="5" t="inlineStr">
        <is>
          <t>INTERVIEW RATE BY MATCH % (YOUR ASSESSMENT)</t>
        </is>
      </c>
    </row>
    <row r="60" ht="26" customHeight="1">
      <c r="B60" s="26" t="inlineStr">
        <is>
          <t>Match Category</t>
        </is>
      </c>
      <c r="C60" s="27" t="inlineStr">
        <is>
          <t>Applications</t>
        </is>
      </c>
      <c r="D60" s="27" t="inlineStr">
        <is>
          <t>Interviews</t>
        </is>
      </c>
      <c r="E60" s="27" t="inlineStr">
        <is>
          <t>Interview Rate</t>
        </is>
      </c>
      <c r="F60" s="27" t="inlineStr">
        <is>
          <t>Offers</t>
        </is>
      </c>
      <c r="G60" s="26" t="inlineStr">
        <is>
          <t>Interview rate</t>
        </is>
      </c>
    </row>
    <row r="61">
      <c r="B61" s="98" t="inlineStr">
        <is>
          <t>Excellent Match (90–100%)</t>
        </is>
      </c>
      <c r="C61" s="94">
        <f>COUNTIFS(App_MatchCat,"Excellent Match",App_Stage,"&gt;=1")</f>
        <v/>
      </c>
      <c r="D61" s="94">
        <f>COUNTIFS(App_MatchCat,"Excellent Match",App_Stage,"&gt;=3")</f>
        <v/>
      </c>
      <c r="E61" s="95">
        <f>IF(C61=0,"–",D61/C61)</f>
        <v/>
      </c>
      <c r="F61" s="94">
        <f>COUNTIFS(App_MatchCat,"Excellent Match",App_Stage,"&gt;=6")</f>
        <v/>
      </c>
      <c r="G61" s="53">
        <f>IF(ISNUMBER(E61),IF(E61&gt;0,REPT("█",MAX(1,ROUND(E61*14,0))),""),"")</f>
        <v/>
      </c>
      <c r="H61">
        <f>IF(AND(C61&gt;0,C61&gt;=Set_MinSample),D61/C61,-1)</f>
        <v/>
      </c>
    </row>
    <row r="62">
      <c r="B62" s="99" t="inlineStr">
        <is>
          <t>Strong Match (75–89%)</t>
        </is>
      </c>
      <c r="C62" s="94">
        <f>COUNTIFS(App_MatchCat,"Strong Match",App_Stage,"&gt;=1")</f>
        <v/>
      </c>
      <c r="D62" s="94">
        <f>COUNTIFS(App_MatchCat,"Strong Match",App_Stage,"&gt;=3")</f>
        <v/>
      </c>
      <c r="E62" s="95">
        <f>IF(C62=0,"–",D62/C62)</f>
        <v/>
      </c>
      <c r="F62" s="94">
        <f>COUNTIFS(App_MatchCat,"Strong Match",App_Stage,"&gt;=6")</f>
        <v/>
      </c>
      <c r="G62" s="53">
        <f>IF(ISNUMBER(E62),IF(E62&gt;0,REPT("█",MAX(1,ROUND(E62*14,0))),""),"")</f>
        <v/>
      </c>
      <c r="H62">
        <f>IF(AND(C62&gt;0,C62&gt;=Set_MinSample),D62/C62,-1)</f>
        <v/>
      </c>
    </row>
    <row r="63">
      <c r="B63" s="100" t="inlineStr">
        <is>
          <t>Moderate Match (60–74%)</t>
        </is>
      </c>
      <c r="C63" s="94">
        <f>COUNTIFS(App_MatchCat,"Moderate Match",App_Stage,"&gt;=1")</f>
        <v/>
      </c>
      <c r="D63" s="94">
        <f>COUNTIFS(App_MatchCat,"Moderate Match",App_Stage,"&gt;=3")</f>
        <v/>
      </c>
      <c r="E63" s="95">
        <f>IF(C63=0,"–",D63/C63)</f>
        <v/>
      </c>
      <c r="F63" s="94">
        <f>COUNTIFS(App_MatchCat,"Moderate Match",App_Stage,"&gt;=6")</f>
        <v/>
      </c>
      <c r="G63" s="53">
        <f>IF(ISNUMBER(E63),IF(E63&gt;0,REPT("█",MAX(1,ROUND(E63*14,0))),""),"")</f>
        <v/>
      </c>
      <c r="H63">
        <f>IF(AND(C63&gt;0,C63&gt;=Set_MinSample),D63/C63,-1)</f>
        <v/>
      </c>
    </row>
    <row r="64">
      <c r="B64" s="101" t="inlineStr">
        <is>
          <t>Low Match (below 60%)</t>
        </is>
      </c>
      <c r="C64" s="94">
        <f>COUNTIFS(App_MatchCat,"Low Match",App_Stage,"&gt;=1")</f>
        <v/>
      </c>
      <c r="D64" s="94">
        <f>COUNTIFS(App_MatchCat,"Low Match",App_Stage,"&gt;=3")</f>
        <v/>
      </c>
      <c r="E64" s="95">
        <f>IF(C64=0,"–",D64/C64)</f>
        <v/>
      </c>
      <c r="F64" s="94">
        <f>COUNTIFS(App_MatchCat,"Low Match",App_Stage,"&gt;=6")</f>
        <v/>
      </c>
      <c r="G64" s="53">
        <f>IF(ISNUMBER(E64),IF(E64&gt;0,REPT("█",MAX(1,ROUND(E64*14,0))),""),"")</f>
        <v/>
      </c>
      <c r="H64">
        <f>IF(AND(C64&gt;0,C64&gt;=Set_MinSample),D64/C64,-1)</f>
        <v/>
      </c>
    </row>
    <row r="65">
      <c r="B65" s="54" t="inlineStr">
        <is>
          <t>Not rated</t>
        </is>
      </c>
      <c r="C65" s="94">
        <f>MAX(0,$C$6-SUM(C61:C64))</f>
        <v/>
      </c>
      <c r="D65" s="94">
        <f>MAX(0,$C$7-SUM(D61:D64))</f>
        <v/>
      </c>
      <c r="E65" s="95">
        <f>IF(C65=0,"–",D65/C65)</f>
        <v/>
      </c>
      <c r="F65" s="94">
        <f>MAX(0,COUNTIFS(App_Stage,"&gt;=6")-SUM(F61:F64))</f>
        <v/>
      </c>
      <c r="G65" s="53">
        <f>IF(ISNUMBER(E65),IF(E65&gt;0,REPT("█",MAX(1,ROUND(E65*14,0))),""),"")</f>
        <v/>
      </c>
      <c r="H65" t="n">
        <v>-1</v>
      </c>
    </row>
    <row r="66">
      <c r="B66" s="96" t="inlineStr">
        <is>
          <t>Best performer</t>
        </is>
      </c>
      <c r="C66" s="97">
        <f>IF(MAX($H$61:$H$65)&lt;0,"Not enough data yet — min. "&amp;Set_MinSample&amp;" applications per group",IF(MAX($H$61:$H$65)=0,"No interviews yet",INDEX($B$61:$B$65,MATCH(MAX($H$61:$H$65),$H$61:$H$65,0))&amp;"  —  "&amp;ROUND(MAX($H$61:$H$65)*100,0)&amp;"% interview rate ("&amp;INDEX($D$61:$D$65,MATCH(MAX($H$61:$H$65),$H$61:$H$65,0))&amp;" of "&amp;INDEX($C$61:$C$65,MATCH(MAX($H$61:$H$65),$H$61:$H$65,0))&amp;")"))</f>
        <v/>
      </c>
    </row>
    <row r="69">
      <c r="B69" s="5" t="inlineStr">
        <is>
          <t>WEEKLY ACTIVITY — LAST 12 WEEKS (MONDAY TO SUNDAY)</t>
        </is>
      </c>
    </row>
    <row r="70" ht="26" customHeight="1">
      <c r="B70" s="26" t="inlineStr">
        <is>
          <t>Calendar week</t>
        </is>
      </c>
      <c r="C70" s="27" t="inlineStr">
        <is>
          <t>Week of (Mon)</t>
        </is>
      </c>
      <c r="D70" s="27" t="inlineStr">
        <is>
          <t>Applications</t>
        </is>
      </c>
      <c r="E70" s="27" t="inlineStr">
        <is>
          <t>Interviews held</t>
        </is>
      </c>
      <c r="F70" s="27" t="inlineStr"/>
      <c r="G70" s="26" t="inlineStr">
        <is>
          <t>Applications</t>
        </is>
      </c>
    </row>
    <row r="71">
      <c r="B71" s="32">
        <f>"KW "&amp;WEEKNUM(C71,21)&amp;IF(C71=TODAY()-WEEKDAY(TODAY(),2)+1,"  (this week)","")</f>
        <v/>
      </c>
      <c r="C71" s="102">
        <f>TODAY()-WEEKDAY(TODAY(),2)+1-7*11</f>
        <v/>
      </c>
      <c r="D71" s="94">
        <f>COUNTIFS(App_DateApplied,"&gt;="&amp;C71,App_DateApplied,"&lt;"&amp;(C71+7))</f>
        <v/>
      </c>
      <c r="E71" s="94">
        <f>COUNTIFS(Int_Date,"&gt;="&amp;C71,Int_Date,"&lt;"&amp;(C71+7))</f>
        <v/>
      </c>
      <c r="F71" s="29" t="n"/>
      <c r="G71" s="53">
        <f>IF(OR(NOT(ISNUMBER(D71)),MAX($D$71:$D$82)&lt;=0),"",IF(D71&lt;=0,"",REPT("█",MAX(1,ROUND(D71/MAX($D$71:$D$82)*14,0)))))</f>
        <v/>
      </c>
    </row>
    <row r="72">
      <c r="B72" s="32">
        <f>"KW "&amp;WEEKNUM(C72,21)&amp;IF(C72=TODAY()-WEEKDAY(TODAY(),2)+1,"  (this week)","")</f>
        <v/>
      </c>
      <c r="C72" s="102">
        <f>TODAY()-WEEKDAY(TODAY(),2)+1-7*10</f>
        <v/>
      </c>
      <c r="D72" s="94">
        <f>COUNTIFS(App_DateApplied,"&gt;="&amp;C72,App_DateApplied,"&lt;"&amp;(C72+7))</f>
        <v/>
      </c>
      <c r="E72" s="94">
        <f>COUNTIFS(Int_Date,"&gt;="&amp;C72,Int_Date,"&lt;"&amp;(C72+7))</f>
        <v/>
      </c>
      <c r="F72" s="29" t="n"/>
      <c r="G72" s="53">
        <f>IF(OR(NOT(ISNUMBER(D72)),MAX($D$71:$D$82)&lt;=0),"",IF(D72&lt;=0,"",REPT("█",MAX(1,ROUND(D72/MAX($D$71:$D$82)*14,0)))))</f>
        <v/>
      </c>
    </row>
    <row r="73">
      <c r="B73" s="32">
        <f>"KW "&amp;WEEKNUM(C73,21)&amp;IF(C73=TODAY()-WEEKDAY(TODAY(),2)+1,"  (this week)","")</f>
        <v/>
      </c>
      <c r="C73" s="102">
        <f>TODAY()-WEEKDAY(TODAY(),2)+1-7*9</f>
        <v/>
      </c>
      <c r="D73" s="94">
        <f>COUNTIFS(App_DateApplied,"&gt;="&amp;C73,App_DateApplied,"&lt;"&amp;(C73+7))</f>
        <v/>
      </c>
      <c r="E73" s="94">
        <f>COUNTIFS(Int_Date,"&gt;="&amp;C73,Int_Date,"&lt;"&amp;(C73+7))</f>
        <v/>
      </c>
      <c r="F73" s="29" t="n"/>
      <c r="G73" s="53">
        <f>IF(OR(NOT(ISNUMBER(D73)),MAX($D$71:$D$82)&lt;=0),"",IF(D73&lt;=0,"",REPT("█",MAX(1,ROUND(D73/MAX($D$71:$D$82)*14,0)))))</f>
        <v/>
      </c>
    </row>
    <row r="74">
      <c r="B74" s="32">
        <f>"KW "&amp;WEEKNUM(C74,21)&amp;IF(C74=TODAY()-WEEKDAY(TODAY(),2)+1,"  (this week)","")</f>
        <v/>
      </c>
      <c r="C74" s="102">
        <f>TODAY()-WEEKDAY(TODAY(),2)+1-7*8</f>
        <v/>
      </c>
      <c r="D74" s="94">
        <f>COUNTIFS(App_DateApplied,"&gt;="&amp;C74,App_DateApplied,"&lt;"&amp;(C74+7))</f>
        <v/>
      </c>
      <c r="E74" s="94">
        <f>COUNTIFS(Int_Date,"&gt;="&amp;C74,Int_Date,"&lt;"&amp;(C74+7))</f>
        <v/>
      </c>
      <c r="F74" s="29" t="n"/>
      <c r="G74" s="53">
        <f>IF(OR(NOT(ISNUMBER(D74)),MAX($D$71:$D$82)&lt;=0),"",IF(D74&lt;=0,"",REPT("█",MAX(1,ROUND(D74/MAX($D$71:$D$82)*14,0)))))</f>
        <v/>
      </c>
    </row>
    <row r="75">
      <c r="B75" s="32">
        <f>"KW "&amp;WEEKNUM(C75,21)&amp;IF(C75=TODAY()-WEEKDAY(TODAY(),2)+1,"  (this week)","")</f>
        <v/>
      </c>
      <c r="C75" s="102">
        <f>TODAY()-WEEKDAY(TODAY(),2)+1-7*7</f>
        <v/>
      </c>
      <c r="D75" s="94">
        <f>COUNTIFS(App_DateApplied,"&gt;="&amp;C75,App_DateApplied,"&lt;"&amp;(C75+7))</f>
        <v/>
      </c>
      <c r="E75" s="94">
        <f>COUNTIFS(Int_Date,"&gt;="&amp;C75,Int_Date,"&lt;"&amp;(C75+7))</f>
        <v/>
      </c>
      <c r="F75" s="29" t="n"/>
      <c r="G75" s="53">
        <f>IF(OR(NOT(ISNUMBER(D75)),MAX($D$71:$D$82)&lt;=0),"",IF(D75&lt;=0,"",REPT("█",MAX(1,ROUND(D75/MAX($D$71:$D$82)*14,0)))))</f>
        <v/>
      </c>
    </row>
    <row r="76">
      <c r="B76" s="32">
        <f>"KW "&amp;WEEKNUM(C76,21)&amp;IF(C76=TODAY()-WEEKDAY(TODAY(),2)+1,"  (this week)","")</f>
        <v/>
      </c>
      <c r="C76" s="102">
        <f>TODAY()-WEEKDAY(TODAY(),2)+1-7*6</f>
        <v/>
      </c>
      <c r="D76" s="94">
        <f>COUNTIFS(App_DateApplied,"&gt;="&amp;C76,App_DateApplied,"&lt;"&amp;(C76+7))</f>
        <v/>
      </c>
      <c r="E76" s="94">
        <f>COUNTIFS(Int_Date,"&gt;="&amp;C76,Int_Date,"&lt;"&amp;(C76+7))</f>
        <v/>
      </c>
      <c r="F76" s="29" t="n"/>
      <c r="G76" s="53">
        <f>IF(OR(NOT(ISNUMBER(D76)),MAX($D$71:$D$82)&lt;=0),"",IF(D76&lt;=0,"",REPT("█",MAX(1,ROUND(D76/MAX($D$71:$D$82)*14,0)))))</f>
        <v/>
      </c>
    </row>
    <row r="77">
      <c r="B77" s="32">
        <f>"KW "&amp;WEEKNUM(C77,21)&amp;IF(C77=TODAY()-WEEKDAY(TODAY(),2)+1,"  (this week)","")</f>
        <v/>
      </c>
      <c r="C77" s="102">
        <f>TODAY()-WEEKDAY(TODAY(),2)+1-7*5</f>
        <v/>
      </c>
      <c r="D77" s="94">
        <f>COUNTIFS(App_DateApplied,"&gt;="&amp;C77,App_DateApplied,"&lt;"&amp;(C77+7))</f>
        <v/>
      </c>
      <c r="E77" s="94">
        <f>COUNTIFS(Int_Date,"&gt;="&amp;C77,Int_Date,"&lt;"&amp;(C77+7))</f>
        <v/>
      </c>
      <c r="F77" s="29" t="n"/>
      <c r="G77" s="53">
        <f>IF(OR(NOT(ISNUMBER(D77)),MAX($D$71:$D$82)&lt;=0),"",IF(D77&lt;=0,"",REPT("█",MAX(1,ROUND(D77/MAX($D$71:$D$82)*14,0)))))</f>
        <v/>
      </c>
    </row>
    <row r="78">
      <c r="B78" s="32">
        <f>"KW "&amp;WEEKNUM(C78,21)&amp;IF(C78=TODAY()-WEEKDAY(TODAY(),2)+1,"  (this week)","")</f>
        <v/>
      </c>
      <c r="C78" s="102">
        <f>TODAY()-WEEKDAY(TODAY(),2)+1-7*4</f>
        <v/>
      </c>
      <c r="D78" s="94">
        <f>COUNTIFS(App_DateApplied,"&gt;="&amp;C78,App_DateApplied,"&lt;"&amp;(C78+7))</f>
        <v/>
      </c>
      <c r="E78" s="94">
        <f>COUNTIFS(Int_Date,"&gt;="&amp;C78,Int_Date,"&lt;"&amp;(C78+7))</f>
        <v/>
      </c>
      <c r="F78" s="29" t="n"/>
      <c r="G78" s="53">
        <f>IF(OR(NOT(ISNUMBER(D78)),MAX($D$71:$D$82)&lt;=0),"",IF(D78&lt;=0,"",REPT("█",MAX(1,ROUND(D78/MAX($D$71:$D$82)*14,0)))))</f>
        <v/>
      </c>
    </row>
    <row r="79">
      <c r="B79" s="32">
        <f>"KW "&amp;WEEKNUM(C79,21)&amp;IF(C79=TODAY()-WEEKDAY(TODAY(),2)+1,"  (this week)","")</f>
        <v/>
      </c>
      <c r="C79" s="102">
        <f>TODAY()-WEEKDAY(TODAY(),2)+1-7*3</f>
        <v/>
      </c>
      <c r="D79" s="94">
        <f>COUNTIFS(App_DateApplied,"&gt;="&amp;C79,App_DateApplied,"&lt;"&amp;(C79+7))</f>
        <v/>
      </c>
      <c r="E79" s="94">
        <f>COUNTIFS(Int_Date,"&gt;="&amp;C79,Int_Date,"&lt;"&amp;(C79+7))</f>
        <v/>
      </c>
      <c r="F79" s="29" t="n"/>
      <c r="G79" s="53">
        <f>IF(OR(NOT(ISNUMBER(D79)),MAX($D$71:$D$82)&lt;=0),"",IF(D79&lt;=0,"",REPT("█",MAX(1,ROUND(D79/MAX($D$71:$D$82)*14,0)))))</f>
        <v/>
      </c>
    </row>
    <row r="80">
      <c r="B80" s="32">
        <f>"KW "&amp;WEEKNUM(C80,21)&amp;IF(C80=TODAY()-WEEKDAY(TODAY(),2)+1,"  (this week)","")</f>
        <v/>
      </c>
      <c r="C80" s="102">
        <f>TODAY()-WEEKDAY(TODAY(),2)+1-7*2</f>
        <v/>
      </c>
      <c r="D80" s="94">
        <f>COUNTIFS(App_DateApplied,"&gt;="&amp;C80,App_DateApplied,"&lt;"&amp;(C80+7))</f>
        <v/>
      </c>
      <c r="E80" s="94">
        <f>COUNTIFS(Int_Date,"&gt;="&amp;C80,Int_Date,"&lt;"&amp;(C80+7))</f>
        <v/>
      </c>
      <c r="F80" s="29" t="n"/>
      <c r="G80" s="53">
        <f>IF(OR(NOT(ISNUMBER(D80)),MAX($D$71:$D$82)&lt;=0),"",IF(D80&lt;=0,"",REPT("█",MAX(1,ROUND(D80/MAX($D$71:$D$82)*14,0)))))</f>
        <v/>
      </c>
    </row>
    <row r="81">
      <c r="B81" s="32">
        <f>"KW "&amp;WEEKNUM(C81,21)&amp;IF(C81=TODAY()-WEEKDAY(TODAY(),2)+1,"  (this week)","")</f>
        <v/>
      </c>
      <c r="C81" s="102">
        <f>TODAY()-WEEKDAY(TODAY(),2)+1-7*1</f>
        <v/>
      </c>
      <c r="D81" s="94">
        <f>COUNTIFS(App_DateApplied,"&gt;="&amp;C81,App_DateApplied,"&lt;"&amp;(C81+7))</f>
        <v/>
      </c>
      <c r="E81" s="94">
        <f>COUNTIFS(Int_Date,"&gt;="&amp;C81,Int_Date,"&lt;"&amp;(C81+7))</f>
        <v/>
      </c>
      <c r="F81" s="29" t="n"/>
      <c r="G81" s="53">
        <f>IF(OR(NOT(ISNUMBER(D81)),MAX($D$71:$D$82)&lt;=0),"",IF(D81&lt;=0,"",REPT("█",MAX(1,ROUND(D81/MAX($D$71:$D$82)*14,0)))))</f>
        <v/>
      </c>
    </row>
    <row r="82">
      <c r="B82" s="32">
        <f>"KW "&amp;WEEKNUM(C82,21)&amp;IF(C82=TODAY()-WEEKDAY(TODAY(),2)+1,"  (this week)","")</f>
        <v/>
      </c>
      <c r="C82" s="102">
        <f>TODAY()-WEEKDAY(TODAY(),2)+1-7*0</f>
        <v/>
      </c>
      <c r="D82" s="94">
        <f>COUNTIFS(App_DateApplied,"&gt;="&amp;C82,App_DateApplied,"&lt;"&amp;(C82+7))</f>
        <v/>
      </c>
      <c r="E82" s="94">
        <f>COUNTIFS(Int_Date,"&gt;="&amp;C82,Int_Date,"&lt;"&amp;(C82+7))</f>
        <v/>
      </c>
      <c r="F82" s="29" t="n"/>
      <c r="G82" s="53">
        <f>IF(OR(NOT(ISNUMBER(D82)),MAX($D$71:$D$82)&lt;=0),"",IF(D82&lt;=0,"",REPT("█",MAX(1,ROUND(D82/MAX($D$71:$D$82)*14,0)))))</f>
        <v/>
      </c>
    </row>
    <row r="83">
      <c r="B83" s="96" t="inlineStr">
        <is>
          <t>Average per week</t>
        </is>
      </c>
      <c r="D83" s="103">
        <f>AVERAGE(D71:D82)</f>
        <v/>
      </c>
      <c r="E83" s="103">
        <f>AVERAGE(E71:E82)</f>
        <v/>
      </c>
    </row>
    <row r="86">
      <c r="B86" s="5" t="inlineStr">
        <is>
          <t>SKILL TAGS IN YOUR APPLICATIONS (FROM 'KEY TECHNOLOGIES / SKILLS')</t>
        </is>
      </c>
    </row>
    <row r="87" ht="26" customHeight="1">
      <c r="B87" s="26" t="inlineStr">
        <is>
          <t>Skill Tag</t>
        </is>
      </c>
      <c r="C87" s="27" t="inlineStr">
        <is>
          <t>Applications</t>
        </is>
      </c>
      <c r="D87" s="27" t="inlineStr">
        <is>
          <t>Interviews</t>
        </is>
      </c>
      <c r="E87" s="27" t="inlineStr">
        <is>
          <t>Interview Rate</t>
        </is>
      </c>
      <c r="F87" s="27" t="inlineStr">
        <is>
          <t>Offers</t>
        </is>
      </c>
      <c r="G87" s="26" t="inlineStr">
        <is>
          <t>Frequency</t>
        </is>
      </c>
    </row>
    <row r="88">
      <c r="B88" s="32">
        <f>Settings!$V$13</f>
        <v/>
      </c>
      <c r="C88" s="94">
        <f>SUMPRODUCT(ISNUMBER(SEARCH(","&amp;SUBSTITUTE($B88," ","")&amp;",",","&amp;SUBSTITUTE(SUBSTITUTE(App_Skills," ",""),";",",")&amp;","))*ISNUMBER(App_Stage)*(App_Stage&gt;=1))</f>
        <v/>
      </c>
      <c r="D88" s="94">
        <f>SUMPRODUCT(ISNUMBER(SEARCH(","&amp;SUBSTITUTE($B88," ","")&amp;",",","&amp;SUBSTITUTE(SUBSTITUTE(App_Skills," ",""),";",",")&amp;","))*ISNUMBER(App_Stage)*(App_Stage&gt;=3))</f>
        <v/>
      </c>
      <c r="E88" s="95">
        <f>IF(C88=0,"–",D88/C88)</f>
        <v/>
      </c>
      <c r="F88" s="94">
        <f>SUMPRODUCT(ISNUMBER(SEARCH(","&amp;SUBSTITUTE($B88," ","")&amp;",",","&amp;SUBSTITUTE(SUBSTITUTE(App_Skills," ",""),";",",")&amp;","))*ISNUMBER(App_Stage)*(App_Stage&gt;=6))</f>
        <v/>
      </c>
      <c r="G88" s="53">
        <f>IF(OR(NOT(ISNUMBER(C88)),MAX($C$88:$C$101)&lt;=0),"",IF(C88&lt;=0,"",REPT("█",MAX(1,ROUND(C88/MAX($C$88:$C$101)*14,0)))))</f>
        <v/>
      </c>
      <c r="H88" t="n">
        <v>-1</v>
      </c>
    </row>
    <row r="89">
      <c r="B89" s="32">
        <f>Settings!$V$14</f>
        <v/>
      </c>
      <c r="C89" s="94">
        <f>SUMPRODUCT(ISNUMBER(SEARCH(","&amp;SUBSTITUTE($B89," ","")&amp;",",","&amp;SUBSTITUTE(SUBSTITUTE(App_Skills," ",""),";",",")&amp;","))*ISNUMBER(App_Stage)*(App_Stage&gt;=1))</f>
        <v/>
      </c>
      <c r="D89" s="94">
        <f>SUMPRODUCT(ISNUMBER(SEARCH(","&amp;SUBSTITUTE($B89," ","")&amp;",",","&amp;SUBSTITUTE(SUBSTITUTE(App_Skills," ",""),";",",")&amp;","))*ISNUMBER(App_Stage)*(App_Stage&gt;=3))</f>
        <v/>
      </c>
      <c r="E89" s="95">
        <f>IF(C89=0,"–",D89/C89)</f>
        <v/>
      </c>
      <c r="F89" s="94">
        <f>SUMPRODUCT(ISNUMBER(SEARCH(","&amp;SUBSTITUTE($B89," ","")&amp;",",","&amp;SUBSTITUTE(SUBSTITUTE(App_Skills," ",""),";",",")&amp;","))*ISNUMBER(App_Stage)*(App_Stage&gt;=6))</f>
        <v/>
      </c>
      <c r="G89" s="53">
        <f>IF(OR(NOT(ISNUMBER(C89)),MAX($C$88:$C$101)&lt;=0),"",IF(C89&lt;=0,"",REPT("█",MAX(1,ROUND(C89/MAX($C$88:$C$101)*14,0)))))</f>
        <v/>
      </c>
      <c r="H89" t="n">
        <v>-1</v>
      </c>
    </row>
    <row r="90">
      <c r="B90" s="32">
        <f>Settings!$V$15</f>
        <v/>
      </c>
      <c r="C90" s="94">
        <f>SUMPRODUCT(ISNUMBER(SEARCH(","&amp;SUBSTITUTE($B90," ","")&amp;",",","&amp;SUBSTITUTE(SUBSTITUTE(App_Skills," ",""),";",",")&amp;","))*ISNUMBER(App_Stage)*(App_Stage&gt;=1))</f>
        <v/>
      </c>
      <c r="D90" s="94">
        <f>SUMPRODUCT(ISNUMBER(SEARCH(","&amp;SUBSTITUTE($B90," ","")&amp;",",","&amp;SUBSTITUTE(SUBSTITUTE(App_Skills," ",""),";",",")&amp;","))*ISNUMBER(App_Stage)*(App_Stage&gt;=3))</f>
        <v/>
      </c>
      <c r="E90" s="95">
        <f>IF(C90=0,"–",D90/C90)</f>
        <v/>
      </c>
      <c r="F90" s="94">
        <f>SUMPRODUCT(ISNUMBER(SEARCH(","&amp;SUBSTITUTE($B90," ","")&amp;",",","&amp;SUBSTITUTE(SUBSTITUTE(App_Skills," ",""),";",",")&amp;","))*ISNUMBER(App_Stage)*(App_Stage&gt;=6))</f>
        <v/>
      </c>
      <c r="G90" s="53">
        <f>IF(OR(NOT(ISNUMBER(C90)),MAX($C$88:$C$101)&lt;=0),"",IF(C90&lt;=0,"",REPT("█",MAX(1,ROUND(C90/MAX($C$88:$C$101)*14,0)))))</f>
        <v/>
      </c>
      <c r="H90" t="n">
        <v>-1</v>
      </c>
    </row>
    <row r="91">
      <c r="B91" s="32">
        <f>Settings!$V$16</f>
        <v/>
      </c>
      <c r="C91" s="94">
        <f>SUMPRODUCT(ISNUMBER(SEARCH(","&amp;SUBSTITUTE($B91," ","")&amp;",",","&amp;SUBSTITUTE(SUBSTITUTE(App_Skills," ",""),";",",")&amp;","))*ISNUMBER(App_Stage)*(App_Stage&gt;=1))</f>
        <v/>
      </c>
      <c r="D91" s="94">
        <f>SUMPRODUCT(ISNUMBER(SEARCH(","&amp;SUBSTITUTE($B91," ","")&amp;",",","&amp;SUBSTITUTE(SUBSTITUTE(App_Skills," ",""),";",",")&amp;","))*ISNUMBER(App_Stage)*(App_Stage&gt;=3))</f>
        <v/>
      </c>
      <c r="E91" s="95">
        <f>IF(C91=0,"–",D91/C91)</f>
        <v/>
      </c>
      <c r="F91" s="94">
        <f>SUMPRODUCT(ISNUMBER(SEARCH(","&amp;SUBSTITUTE($B91," ","")&amp;",",","&amp;SUBSTITUTE(SUBSTITUTE(App_Skills," ",""),";",",")&amp;","))*ISNUMBER(App_Stage)*(App_Stage&gt;=6))</f>
        <v/>
      </c>
      <c r="G91" s="53">
        <f>IF(OR(NOT(ISNUMBER(C91)),MAX($C$88:$C$101)&lt;=0),"",IF(C91&lt;=0,"",REPT("█",MAX(1,ROUND(C91/MAX($C$88:$C$101)*14,0)))))</f>
        <v/>
      </c>
      <c r="H91" t="n">
        <v>-1</v>
      </c>
    </row>
    <row r="92">
      <c r="B92" s="32">
        <f>Settings!$V$17</f>
        <v/>
      </c>
      <c r="C92" s="94">
        <f>SUMPRODUCT(ISNUMBER(SEARCH(","&amp;SUBSTITUTE($B92," ","")&amp;",",","&amp;SUBSTITUTE(SUBSTITUTE(App_Skills," ",""),";",",")&amp;","))*ISNUMBER(App_Stage)*(App_Stage&gt;=1))</f>
        <v/>
      </c>
      <c r="D92" s="94">
        <f>SUMPRODUCT(ISNUMBER(SEARCH(","&amp;SUBSTITUTE($B92," ","")&amp;",",","&amp;SUBSTITUTE(SUBSTITUTE(App_Skills," ",""),";",",")&amp;","))*ISNUMBER(App_Stage)*(App_Stage&gt;=3))</f>
        <v/>
      </c>
      <c r="E92" s="95">
        <f>IF(C92=0,"–",D92/C92)</f>
        <v/>
      </c>
      <c r="F92" s="94">
        <f>SUMPRODUCT(ISNUMBER(SEARCH(","&amp;SUBSTITUTE($B92," ","")&amp;",",","&amp;SUBSTITUTE(SUBSTITUTE(App_Skills," ",""),";",",")&amp;","))*ISNUMBER(App_Stage)*(App_Stage&gt;=6))</f>
        <v/>
      </c>
      <c r="G92" s="53">
        <f>IF(OR(NOT(ISNUMBER(C92)),MAX($C$88:$C$101)&lt;=0),"",IF(C92&lt;=0,"",REPT("█",MAX(1,ROUND(C92/MAX($C$88:$C$101)*14,0)))))</f>
        <v/>
      </c>
      <c r="H92" t="n">
        <v>-1</v>
      </c>
    </row>
    <row r="93">
      <c r="B93" s="32">
        <f>Settings!$V$18</f>
        <v/>
      </c>
      <c r="C93" s="94">
        <f>SUMPRODUCT(ISNUMBER(SEARCH(","&amp;SUBSTITUTE($B93," ","")&amp;",",","&amp;SUBSTITUTE(SUBSTITUTE(App_Skills," ",""),";",",")&amp;","))*ISNUMBER(App_Stage)*(App_Stage&gt;=1))</f>
        <v/>
      </c>
      <c r="D93" s="94">
        <f>SUMPRODUCT(ISNUMBER(SEARCH(","&amp;SUBSTITUTE($B93," ","")&amp;",",","&amp;SUBSTITUTE(SUBSTITUTE(App_Skills," ",""),";",",")&amp;","))*ISNUMBER(App_Stage)*(App_Stage&gt;=3))</f>
        <v/>
      </c>
      <c r="E93" s="95">
        <f>IF(C93=0,"–",D93/C93)</f>
        <v/>
      </c>
      <c r="F93" s="94">
        <f>SUMPRODUCT(ISNUMBER(SEARCH(","&amp;SUBSTITUTE($B93," ","")&amp;",",","&amp;SUBSTITUTE(SUBSTITUTE(App_Skills," ",""),";",",")&amp;","))*ISNUMBER(App_Stage)*(App_Stage&gt;=6))</f>
        <v/>
      </c>
      <c r="G93" s="53">
        <f>IF(OR(NOT(ISNUMBER(C93)),MAX($C$88:$C$101)&lt;=0),"",IF(C93&lt;=0,"",REPT("█",MAX(1,ROUND(C93/MAX($C$88:$C$101)*14,0)))))</f>
        <v/>
      </c>
      <c r="H93" t="n">
        <v>-1</v>
      </c>
    </row>
    <row r="94">
      <c r="B94" s="32">
        <f>Settings!$V$19</f>
        <v/>
      </c>
      <c r="C94" s="94">
        <f>SUMPRODUCT(ISNUMBER(SEARCH(","&amp;SUBSTITUTE($B94," ","")&amp;",",","&amp;SUBSTITUTE(SUBSTITUTE(App_Skills," ",""),";",",")&amp;","))*ISNUMBER(App_Stage)*(App_Stage&gt;=1))</f>
        <v/>
      </c>
      <c r="D94" s="94">
        <f>SUMPRODUCT(ISNUMBER(SEARCH(","&amp;SUBSTITUTE($B94," ","")&amp;",",","&amp;SUBSTITUTE(SUBSTITUTE(App_Skills," ",""),";",",")&amp;","))*ISNUMBER(App_Stage)*(App_Stage&gt;=3))</f>
        <v/>
      </c>
      <c r="E94" s="95">
        <f>IF(C94=0,"–",D94/C94)</f>
        <v/>
      </c>
      <c r="F94" s="94">
        <f>SUMPRODUCT(ISNUMBER(SEARCH(","&amp;SUBSTITUTE($B94," ","")&amp;",",","&amp;SUBSTITUTE(SUBSTITUTE(App_Skills," ",""),";",",")&amp;","))*ISNUMBER(App_Stage)*(App_Stage&gt;=6))</f>
        <v/>
      </c>
      <c r="G94" s="53">
        <f>IF(OR(NOT(ISNUMBER(C94)),MAX($C$88:$C$101)&lt;=0),"",IF(C94&lt;=0,"",REPT("█",MAX(1,ROUND(C94/MAX($C$88:$C$101)*14,0)))))</f>
        <v/>
      </c>
      <c r="H94" t="n">
        <v>-1</v>
      </c>
    </row>
    <row r="95">
      <c r="B95" s="32">
        <f>Settings!$V$20</f>
        <v/>
      </c>
      <c r="C95" s="94">
        <f>SUMPRODUCT(ISNUMBER(SEARCH(","&amp;SUBSTITUTE($B95," ","")&amp;",",","&amp;SUBSTITUTE(SUBSTITUTE(App_Skills," ",""),";",",")&amp;","))*ISNUMBER(App_Stage)*(App_Stage&gt;=1))</f>
        <v/>
      </c>
      <c r="D95" s="94">
        <f>SUMPRODUCT(ISNUMBER(SEARCH(","&amp;SUBSTITUTE($B95," ","")&amp;",",","&amp;SUBSTITUTE(SUBSTITUTE(App_Skills," ",""),";",",")&amp;","))*ISNUMBER(App_Stage)*(App_Stage&gt;=3))</f>
        <v/>
      </c>
      <c r="E95" s="95">
        <f>IF(C95=0,"–",D95/C95)</f>
        <v/>
      </c>
      <c r="F95" s="94">
        <f>SUMPRODUCT(ISNUMBER(SEARCH(","&amp;SUBSTITUTE($B95," ","")&amp;",",","&amp;SUBSTITUTE(SUBSTITUTE(App_Skills," ",""),";",",")&amp;","))*ISNUMBER(App_Stage)*(App_Stage&gt;=6))</f>
        <v/>
      </c>
      <c r="G95" s="53">
        <f>IF(OR(NOT(ISNUMBER(C95)),MAX($C$88:$C$101)&lt;=0),"",IF(C95&lt;=0,"",REPT("█",MAX(1,ROUND(C95/MAX($C$88:$C$101)*14,0)))))</f>
        <v/>
      </c>
      <c r="H95" t="n">
        <v>-1</v>
      </c>
    </row>
    <row r="96">
      <c r="B96" s="32">
        <f>Settings!$V$21</f>
        <v/>
      </c>
      <c r="C96" s="94">
        <f>SUMPRODUCT(ISNUMBER(SEARCH(","&amp;SUBSTITUTE($B96," ","")&amp;",",","&amp;SUBSTITUTE(SUBSTITUTE(App_Skills," ",""),";",",")&amp;","))*ISNUMBER(App_Stage)*(App_Stage&gt;=1))</f>
        <v/>
      </c>
      <c r="D96" s="94">
        <f>SUMPRODUCT(ISNUMBER(SEARCH(","&amp;SUBSTITUTE($B96," ","")&amp;",",","&amp;SUBSTITUTE(SUBSTITUTE(App_Skills," ",""),";",",")&amp;","))*ISNUMBER(App_Stage)*(App_Stage&gt;=3))</f>
        <v/>
      </c>
      <c r="E96" s="95">
        <f>IF(C96=0,"–",D96/C96)</f>
        <v/>
      </c>
      <c r="F96" s="94">
        <f>SUMPRODUCT(ISNUMBER(SEARCH(","&amp;SUBSTITUTE($B96," ","")&amp;",",","&amp;SUBSTITUTE(SUBSTITUTE(App_Skills," ",""),";",",")&amp;","))*ISNUMBER(App_Stage)*(App_Stage&gt;=6))</f>
        <v/>
      </c>
      <c r="G96" s="53">
        <f>IF(OR(NOT(ISNUMBER(C96)),MAX($C$88:$C$101)&lt;=0),"",IF(C96&lt;=0,"",REPT("█",MAX(1,ROUND(C96/MAX($C$88:$C$101)*14,0)))))</f>
        <v/>
      </c>
      <c r="H96" t="n">
        <v>-1</v>
      </c>
    </row>
    <row r="97">
      <c r="B97" s="32">
        <f>Settings!$V$22</f>
        <v/>
      </c>
      <c r="C97" s="94">
        <f>SUMPRODUCT(ISNUMBER(SEARCH(","&amp;SUBSTITUTE($B97," ","")&amp;",",","&amp;SUBSTITUTE(SUBSTITUTE(App_Skills," ",""),";",",")&amp;","))*ISNUMBER(App_Stage)*(App_Stage&gt;=1))</f>
        <v/>
      </c>
      <c r="D97" s="94">
        <f>SUMPRODUCT(ISNUMBER(SEARCH(","&amp;SUBSTITUTE($B97," ","")&amp;",",","&amp;SUBSTITUTE(SUBSTITUTE(App_Skills," ",""),";",",")&amp;","))*ISNUMBER(App_Stage)*(App_Stage&gt;=3))</f>
        <v/>
      </c>
      <c r="E97" s="95">
        <f>IF(C97=0,"–",D97/C97)</f>
        <v/>
      </c>
      <c r="F97" s="94">
        <f>SUMPRODUCT(ISNUMBER(SEARCH(","&amp;SUBSTITUTE($B97," ","")&amp;",",","&amp;SUBSTITUTE(SUBSTITUTE(App_Skills," ",""),";",",")&amp;","))*ISNUMBER(App_Stage)*(App_Stage&gt;=6))</f>
        <v/>
      </c>
      <c r="G97" s="53">
        <f>IF(OR(NOT(ISNUMBER(C97)),MAX($C$88:$C$101)&lt;=0),"",IF(C97&lt;=0,"",REPT("█",MAX(1,ROUND(C97/MAX($C$88:$C$101)*14,0)))))</f>
        <v/>
      </c>
      <c r="H97" t="n">
        <v>-1</v>
      </c>
    </row>
    <row r="98">
      <c r="B98" s="32">
        <f>Settings!$V$23</f>
        <v/>
      </c>
      <c r="C98" s="94">
        <f>SUMPRODUCT(ISNUMBER(SEARCH(","&amp;SUBSTITUTE($B98," ","")&amp;",",","&amp;SUBSTITUTE(SUBSTITUTE(App_Skills," ",""),";",",")&amp;","))*ISNUMBER(App_Stage)*(App_Stage&gt;=1))</f>
        <v/>
      </c>
      <c r="D98" s="94">
        <f>SUMPRODUCT(ISNUMBER(SEARCH(","&amp;SUBSTITUTE($B98," ","")&amp;",",","&amp;SUBSTITUTE(SUBSTITUTE(App_Skills," ",""),";",",")&amp;","))*ISNUMBER(App_Stage)*(App_Stage&gt;=3))</f>
        <v/>
      </c>
      <c r="E98" s="95">
        <f>IF(C98=0,"–",D98/C98)</f>
        <v/>
      </c>
      <c r="F98" s="94">
        <f>SUMPRODUCT(ISNUMBER(SEARCH(","&amp;SUBSTITUTE($B98," ","")&amp;",",","&amp;SUBSTITUTE(SUBSTITUTE(App_Skills," ",""),";",",")&amp;","))*ISNUMBER(App_Stage)*(App_Stage&gt;=6))</f>
        <v/>
      </c>
      <c r="G98" s="53">
        <f>IF(OR(NOT(ISNUMBER(C98)),MAX($C$88:$C$101)&lt;=0),"",IF(C98&lt;=0,"",REPT("█",MAX(1,ROUND(C98/MAX($C$88:$C$101)*14,0)))))</f>
        <v/>
      </c>
      <c r="H98" t="n">
        <v>-1</v>
      </c>
    </row>
    <row r="99">
      <c r="B99" s="32">
        <f>Settings!$V$24</f>
        <v/>
      </c>
      <c r="C99" s="94">
        <f>SUMPRODUCT(ISNUMBER(SEARCH(","&amp;SUBSTITUTE($B99," ","")&amp;",",","&amp;SUBSTITUTE(SUBSTITUTE(App_Skills," ",""),";",",")&amp;","))*ISNUMBER(App_Stage)*(App_Stage&gt;=1))</f>
        <v/>
      </c>
      <c r="D99" s="94">
        <f>SUMPRODUCT(ISNUMBER(SEARCH(","&amp;SUBSTITUTE($B99," ","")&amp;",",","&amp;SUBSTITUTE(SUBSTITUTE(App_Skills," ",""),";",",")&amp;","))*ISNUMBER(App_Stage)*(App_Stage&gt;=3))</f>
        <v/>
      </c>
      <c r="E99" s="95">
        <f>IF(C99=0,"–",D99/C99)</f>
        <v/>
      </c>
      <c r="F99" s="94">
        <f>SUMPRODUCT(ISNUMBER(SEARCH(","&amp;SUBSTITUTE($B99," ","")&amp;",",","&amp;SUBSTITUTE(SUBSTITUTE(App_Skills," ",""),";",",")&amp;","))*ISNUMBER(App_Stage)*(App_Stage&gt;=6))</f>
        <v/>
      </c>
      <c r="G99" s="53">
        <f>IF(OR(NOT(ISNUMBER(C99)),MAX($C$88:$C$101)&lt;=0),"",IF(C99&lt;=0,"",REPT("█",MAX(1,ROUND(C99/MAX($C$88:$C$101)*14,0)))))</f>
        <v/>
      </c>
      <c r="H99" t="n">
        <v>-1</v>
      </c>
    </row>
    <row r="100">
      <c r="B100" s="32">
        <f>Settings!$V$25</f>
        <v/>
      </c>
      <c r="C100" s="94">
        <f>SUMPRODUCT(ISNUMBER(SEARCH(","&amp;SUBSTITUTE($B100," ","")&amp;",",","&amp;SUBSTITUTE(SUBSTITUTE(App_Skills," ",""),";",",")&amp;","))*ISNUMBER(App_Stage)*(App_Stage&gt;=1))</f>
        <v/>
      </c>
      <c r="D100" s="94">
        <f>SUMPRODUCT(ISNUMBER(SEARCH(","&amp;SUBSTITUTE($B100," ","")&amp;",",","&amp;SUBSTITUTE(SUBSTITUTE(App_Skills," ",""),";",",")&amp;","))*ISNUMBER(App_Stage)*(App_Stage&gt;=3))</f>
        <v/>
      </c>
      <c r="E100" s="95">
        <f>IF(C100=0,"–",D100/C100)</f>
        <v/>
      </c>
      <c r="F100" s="94">
        <f>SUMPRODUCT(ISNUMBER(SEARCH(","&amp;SUBSTITUTE($B100," ","")&amp;",",","&amp;SUBSTITUTE(SUBSTITUTE(App_Skills," ",""),";",",")&amp;","))*ISNUMBER(App_Stage)*(App_Stage&gt;=6))</f>
        <v/>
      </c>
      <c r="G100" s="53">
        <f>IF(OR(NOT(ISNUMBER(C100)),MAX($C$88:$C$101)&lt;=0),"",IF(C100&lt;=0,"",REPT("█",MAX(1,ROUND(C100/MAX($C$88:$C$101)*14,0)))))</f>
        <v/>
      </c>
      <c r="H100" t="n">
        <v>-1</v>
      </c>
    </row>
    <row r="101">
      <c r="B101" s="32">
        <f>Settings!$V$26</f>
        <v/>
      </c>
      <c r="C101" s="94">
        <f>SUMPRODUCT(ISNUMBER(SEARCH(","&amp;SUBSTITUTE($B101," ","")&amp;",",","&amp;SUBSTITUTE(SUBSTITUTE(App_Skills," ",""),";",",")&amp;","))*ISNUMBER(App_Stage)*(App_Stage&gt;=1))</f>
        <v/>
      </c>
      <c r="D101" s="94">
        <f>SUMPRODUCT(ISNUMBER(SEARCH(","&amp;SUBSTITUTE($B101," ","")&amp;",",","&amp;SUBSTITUTE(SUBSTITUTE(App_Skills," ",""),";",",")&amp;","))*ISNUMBER(App_Stage)*(App_Stage&gt;=3))</f>
        <v/>
      </c>
      <c r="E101" s="95">
        <f>IF(C101=0,"–",D101/C101)</f>
        <v/>
      </c>
      <c r="F101" s="94">
        <f>SUMPRODUCT(ISNUMBER(SEARCH(","&amp;SUBSTITUTE($B101," ","")&amp;",",","&amp;SUBSTITUTE(SUBSTITUTE(App_Skills," ",""),";",",")&amp;","))*ISNUMBER(App_Stage)*(App_Stage&gt;=6))</f>
        <v/>
      </c>
      <c r="G101" s="53">
        <f>IF(OR(NOT(ISNUMBER(C101)),MAX($C$88:$C$101)&lt;=0),"",IF(C101&lt;=0,"",REPT("█",MAX(1,ROUND(C101/MAX($C$88:$C$101)*14,0)))))</f>
        <v/>
      </c>
      <c r="H101" t="n">
        <v>-1</v>
      </c>
    </row>
    <row r="104">
      <c r="B104" s="5" t="inlineStr">
        <is>
          <t>ACTIVE APPLICATIONS — FURTHEST ALONG FIRST</t>
        </is>
      </c>
    </row>
    <row r="105" ht="26" customHeight="1">
      <c r="B105" s="26" t="inlineStr">
        <is>
          <t>Company — Job Title</t>
        </is>
      </c>
      <c r="C105" s="26" t="inlineStr">
        <is>
          <t>Status</t>
        </is>
      </c>
      <c r="D105" s="27" t="inlineStr">
        <is>
          <t>Date Applied</t>
        </is>
      </c>
      <c r="E105" s="27" t="inlineStr">
        <is>
          <t>Days Since Applied</t>
        </is>
      </c>
      <c r="F105" s="26" t="inlineStr">
        <is>
          <t>Priority</t>
        </is>
      </c>
      <c r="G105" s="27" t="inlineStr">
        <is>
          <t>Next Action Date</t>
        </is>
      </c>
    </row>
    <row r="106" ht="18" customHeight="1">
      <c r="B106" s="67">
        <f>IF($H106="","",INDEX(App_Company,$H106)&amp;IF(INDEX(App_JobTitle,$H106)="",""," — "&amp;INDEX(App_JobTitle,$H106)))</f>
        <v/>
      </c>
      <c r="C106" s="67">
        <f>IF($H106="","",INDEX(App_Status,$H106)&amp;"")</f>
        <v/>
      </c>
      <c r="D106" s="68">
        <f>IF($H106="","",IF(ISNUMBER(INDEX(App_DateApplied,$H106)),INDEX(App_DateApplied,$H106),""))</f>
        <v/>
      </c>
      <c r="E106" s="69">
        <f>IF($H106="","",IF(ISNUMBER(INDEX(App_DateApplied,$H106)),TODAY()-INT(INDEX(App_DateApplied,$H106)),""))</f>
        <v/>
      </c>
      <c r="F106" s="67">
        <f>IF($H106="","",INDEX(App_Priority,$H106)&amp;"")</f>
        <v/>
      </c>
      <c r="G106" s="68">
        <f>IF($H106="","",IF(ISNUMBER(INDEX(App_NextDate,$H106)),INDEX(App_NextDate,$H106),""))</f>
        <v/>
      </c>
      <c r="H106">
        <f>IFERROR(MATCH(SMALL(App_ActiveKey,1),App_ActiveKey,0),"")</f>
        <v/>
      </c>
    </row>
    <row r="107" ht="18" customHeight="1">
      <c r="B107" s="67">
        <f>IF($H107="","",INDEX(App_Company,$H107)&amp;IF(INDEX(App_JobTitle,$H107)="",""," — "&amp;INDEX(App_JobTitle,$H107)))</f>
        <v/>
      </c>
      <c r="C107" s="67">
        <f>IF($H107="","",INDEX(App_Status,$H107)&amp;"")</f>
        <v/>
      </c>
      <c r="D107" s="68">
        <f>IF($H107="","",IF(ISNUMBER(INDEX(App_DateApplied,$H107)),INDEX(App_DateApplied,$H107),""))</f>
        <v/>
      </c>
      <c r="E107" s="69">
        <f>IF($H107="","",IF(ISNUMBER(INDEX(App_DateApplied,$H107)),TODAY()-INT(INDEX(App_DateApplied,$H107)),""))</f>
        <v/>
      </c>
      <c r="F107" s="67">
        <f>IF($H107="","",INDEX(App_Priority,$H107)&amp;"")</f>
        <v/>
      </c>
      <c r="G107" s="68">
        <f>IF($H107="","",IF(ISNUMBER(INDEX(App_NextDate,$H107)),INDEX(App_NextDate,$H107),""))</f>
        <v/>
      </c>
      <c r="H107">
        <f>IFERROR(MATCH(SMALL(App_ActiveKey,2),App_ActiveKey,0),"")</f>
        <v/>
      </c>
    </row>
    <row r="108" ht="18" customHeight="1">
      <c r="B108" s="67">
        <f>IF($H108="","",INDEX(App_Company,$H108)&amp;IF(INDEX(App_JobTitle,$H108)="",""," — "&amp;INDEX(App_JobTitle,$H108)))</f>
        <v/>
      </c>
      <c r="C108" s="67">
        <f>IF($H108="","",INDEX(App_Status,$H108)&amp;"")</f>
        <v/>
      </c>
      <c r="D108" s="68">
        <f>IF($H108="","",IF(ISNUMBER(INDEX(App_DateApplied,$H108)),INDEX(App_DateApplied,$H108),""))</f>
        <v/>
      </c>
      <c r="E108" s="69">
        <f>IF($H108="","",IF(ISNUMBER(INDEX(App_DateApplied,$H108)),TODAY()-INT(INDEX(App_DateApplied,$H108)),""))</f>
        <v/>
      </c>
      <c r="F108" s="67">
        <f>IF($H108="","",INDEX(App_Priority,$H108)&amp;"")</f>
        <v/>
      </c>
      <c r="G108" s="68">
        <f>IF($H108="","",IF(ISNUMBER(INDEX(App_NextDate,$H108)),INDEX(App_NextDate,$H108),""))</f>
        <v/>
      </c>
      <c r="H108">
        <f>IFERROR(MATCH(SMALL(App_ActiveKey,3),App_ActiveKey,0),"")</f>
        <v/>
      </c>
    </row>
    <row r="109" ht="18" customHeight="1">
      <c r="B109" s="67">
        <f>IF($H109="","",INDEX(App_Company,$H109)&amp;IF(INDEX(App_JobTitle,$H109)="",""," — "&amp;INDEX(App_JobTitle,$H109)))</f>
        <v/>
      </c>
      <c r="C109" s="67">
        <f>IF($H109="","",INDEX(App_Status,$H109)&amp;"")</f>
        <v/>
      </c>
      <c r="D109" s="68">
        <f>IF($H109="","",IF(ISNUMBER(INDEX(App_DateApplied,$H109)),INDEX(App_DateApplied,$H109),""))</f>
        <v/>
      </c>
      <c r="E109" s="69">
        <f>IF($H109="","",IF(ISNUMBER(INDEX(App_DateApplied,$H109)),TODAY()-INT(INDEX(App_DateApplied,$H109)),""))</f>
        <v/>
      </c>
      <c r="F109" s="67">
        <f>IF($H109="","",INDEX(App_Priority,$H109)&amp;"")</f>
        <v/>
      </c>
      <c r="G109" s="68">
        <f>IF($H109="","",IF(ISNUMBER(INDEX(App_NextDate,$H109)),INDEX(App_NextDate,$H109),""))</f>
        <v/>
      </c>
      <c r="H109">
        <f>IFERROR(MATCH(SMALL(App_ActiveKey,4),App_ActiveKey,0),"")</f>
        <v/>
      </c>
    </row>
    <row r="110" ht="18" customHeight="1">
      <c r="B110" s="67">
        <f>IF($H110="","",INDEX(App_Company,$H110)&amp;IF(INDEX(App_JobTitle,$H110)="",""," — "&amp;INDEX(App_JobTitle,$H110)))</f>
        <v/>
      </c>
      <c r="C110" s="67">
        <f>IF($H110="","",INDEX(App_Status,$H110)&amp;"")</f>
        <v/>
      </c>
      <c r="D110" s="68">
        <f>IF($H110="","",IF(ISNUMBER(INDEX(App_DateApplied,$H110)),INDEX(App_DateApplied,$H110),""))</f>
        <v/>
      </c>
      <c r="E110" s="69">
        <f>IF($H110="","",IF(ISNUMBER(INDEX(App_DateApplied,$H110)),TODAY()-INT(INDEX(App_DateApplied,$H110)),""))</f>
        <v/>
      </c>
      <c r="F110" s="67">
        <f>IF($H110="","",INDEX(App_Priority,$H110)&amp;"")</f>
        <v/>
      </c>
      <c r="G110" s="68">
        <f>IF($H110="","",IF(ISNUMBER(INDEX(App_NextDate,$H110)),INDEX(App_NextDate,$H110),""))</f>
        <v/>
      </c>
      <c r="H110">
        <f>IFERROR(MATCH(SMALL(App_ActiveKey,5),App_ActiveKey,0),"")</f>
        <v/>
      </c>
    </row>
    <row r="111" ht="18" customHeight="1">
      <c r="B111" s="67">
        <f>IF($H111="","",INDEX(App_Company,$H111)&amp;IF(INDEX(App_JobTitle,$H111)="",""," — "&amp;INDEX(App_JobTitle,$H111)))</f>
        <v/>
      </c>
      <c r="C111" s="67">
        <f>IF($H111="","",INDEX(App_Status,$H111)&amp;"")</f>
        <v/>
      </c>
      <c r="D111" s="68">
        <f>IF($H111="","",IF(ISNUMBER(INDEX(App_DateApplied,$H111)),INDEX(App_DateApplied,$H111),""))</f>
        <v/>
      </c>
      <c r="E111" s="69">
        <f>IF($H111="","",IF(ISNUMBER(INDEX(App_DateApplied,$H111)),TODAY()-INT(INDEX(App_DateApplied,$H111)),""))</f>
        <v/>
      </c>
      <c r="F111" s="67">
        <f>IF($H111="","",INDEX(App_Priority,$H111)&amp;"")</f>
        <v/>
      </c>
      <c r="G111" s="68">
        <f>IF($H111="","",IF(ISNUMBER(INDEX(App_NextDate,$H111)),INDEX(App_NextDate,$H111),""))</f>
        <v/>
      </c>
      <c r="H111">
        <f>IFERROR(MATCH(SMALL(App_ActiveKey,6),App_ActiveKey,0),"")</f>
        <v/>
      </c>
    </row>
    <row r="112" ht="18" customHeight="1">
      <c r="B112" s="67">
        <f>IF($H112="","",INDEX(App_Company,$H112)&amp;IF(INDEX(App_JobTitle,$H112)="",""," — "&amp;INDEX(App_JobTitle,$H112)))</f>
        <v/>
      </c>
      <c r="C112" s="67">
        <f>IF($H112="","",INDEX(App_Status,$H112)&amp;"")</f>
        <v/>
      </c>
      <c r="D112" s="68">
        <f>IF($H112="","",IF(ISNUMBER(INDEX(App_DateApplied,$H112)),INDEX(App_DateApplied,$H112),""))</f>
        <v/>
      </c>
      <c r="E112" s="69">
        <f>IF($H112="","",IF(ISNUMBER(INDEX(App_DateApplied,$H112)),TODAY()-INT(INDEX(App_DateApplied,$H112)),""))</f>
        <v/>
      </c>
      <c r="F112" s="67">
        <f>IF($H112="","",INDEX(App_Priority,$H112)&amp;"")</f>
        <v/>
      </c>
      <c r="G112" s="68">
        <f>IF($H112="","",IF(ISNUMBER(INDEX(App_NextDate,$H112)),INDEX(App_NextDate,$H112),""))</f>
        <v/>
      </c>
      <c r="H112">
        <f>IFERROR(MATCH(SMALL(App_ActiveKey,7),App_ActiveKey,0),"")</f>
        <v/>
      </c>
    </row>
    <row r="113" ht="18" customHeight="1">
      <c r="B113" s="67">
        <f>IF($H113="","",INDEX(App_Company,$H113)&amp;IF(INDEX(App_JobTitle,$H113)="",""," — "&amp;INDEX(App_JobTitle,$H113)))</f>
        <v/>
      </c>
      <c r="C113" s="67">
        <f>IF($H113="","",INDEX(App_Status,$H113)&amp;"")</f>
        <v/>
      </c>
      <c r="D113" s="68">
        <f>IF($H113="","",IF(ISNUMBER(INDEX(App_DateApplied,$H113)),INDEX(App_DateApplied,$H113),""))</f>
        <v/>
      </c>
      <c r="E113" s="69">
        <f>IF($H113="","",IF(ISNUMBER(INDEX(App_DateApplied,$H113)),TODAY()-INT(INDEX(App_DateApplied,$H113)),""))</f>
        <v/>
      </c>
      <c r="F113" s="67">
        <f>IF($H113="","",INDEX(App_Priority,$H113)&amp;"")</f>
        <v/>
      </c>
      <c r="G113" s="68">
        <f>IF($H113="","",IF(ISNUMBER(INDEX(App_NextDate,$H113)),INDEX(App_NextDate,$H113),""))</f>
        <v/>
      </c>
      <c r="H113">
        <f>IFERROR(MATCH(SMALL(App_ActiveKey,8),App_ActiveKey,0),"")</f>
        <v/>
      </c>
    </row>
    <row r="114" ht="18" customHeight="1">
      <c r="B114" s="67">
        <f>IF($H114="","",INDEX(App_Company,$H114)&amp;IF(INDEX(App_JobTitle,$H114)="",""," — "&amp;INDEX(App_JobTitle,$H114)))</f>
        <v/>
      </c>
      <c r="C114" s="67">
        <f>IF($H114="","",INDEX(App_Status,$H114)&amp;"")</f>
        <v/>
      </c>
      <c r="D114" s="68">
        <f>IF($H114="","",IF(ISNUMBER(INDEX(App_DateApplied,$H114)),INDEX(App_DateApplied,$H114),""))</f>
        <v/>
      </c>
      <c r="E114" s="69">
        <f>IF($H114="","",IF(ISNUMBER(INDEX(App_DateApplied,$H114)),TODAY()-INT(INDEX(App_DateApplied,$H114)),""))</f>
        <v/>
      </c>
      <c r="F114" s="67">
        <f>IF($H114="","",INDEX(App_Priority,$H114)&amp;"")</f>
        <v/>
      </c>
      <c r="G114" s="68">
        <f>IF($H114="","",IF(ISNUMBER(INDEX(App_NextDate,$H114)),INDEX(App_NextDate,$H114),""))</f>
        <v/>
      </c>
      <c r="H114">
        <f>IFERROR(MATCH(SMALL(App_ActiveKey,9),App_ActiveKey,0),"")</f>
        <v/>
      </c>
    </row>
    <row r="115" ht="18" customHeight="1">
      <c r="B115" s="67">
        <f>IF($H115="","",INDEX(App_Company,$H115)&amp;IF(INDEX(App_JobTitle,$H115)="",""," — "&amp;INDEX(App_JobTitle,$H115)))</f>
        <v/>
      </c>
      <c r="C115" s="67">
        <f>IF($H115="","",INDEX(App_Status,$H115)&amp;"")</f>
        <v/>
      </c>
      <c r="D115" s="68">
        <f>IF($H115="","",IF(ISNUMBER(INDEX(App_DateApplied,$H115)),INDEX(App_DateApplied,$H115),""))</f>
        <v/>
      </c>
      <c r="E115" s="69">
        <f>IF($H115="","",IF(ISNUMBER(INDEX(App_DateApplied,$H115)),TODAY()-INT(INDEX(App_DateApplied,$H115)),""))</f>
        <v/>
      </c>
      <c r="F115" s="67">
        <f>IF($H115="","",INDEX(App_Priority,$H115)&amp;"")</f>
        <v/>
      </c>
      <c r="G115" s="68">
        <f>IF($H115="","",IF(ISNUMBER(INDEX(App_NextDate,$H115)),INDEX(App_NextDate,$H115),""))</f>
        <v/>
      </c>
      <c r="H115">
        <f>IFERROR(MATCH(SMALL(App_ActiveKey,10),App_ActiveKey,0),"")</f>
        <v/>
      </c>
    </row>
    <row r="116" ht="18" customHeight="1">
      <c r="B116" s="67">
        <f>IF($H116="","",INDEX(App_Company,$H116)&amp;IF(INDEX(App_JobTitle,$H116)="",""," — "&amp;INDEX(App_JobTitle,$H116)))</f>
        <v/>
      </c>
      <c r="C116" s="67">
        <f>IF($H116="","",INDEX(App_Status,$H116)&amp;"")</f>
        <v/>
      </c>
      <c r="D116" s="68">
        <f>IF($H116="","",IF(ISNUMBER(INDEX(App_DateApplied,$H116)),INDEX(App_DateApplied,$H116),""))</f>
        <v/>
      </c>
      <c r="E116" s="69">
        <f>IF($H116="","",IF(ISNUMBER(INDEX(App_DateApplied,$H116)),TODAY()-INT(INDEX(App_DateApplied,$H116)),""))</f>
        <v/>
      </c>
      <c r="F116" s="67">
        <f>IF($H116="","",INDEX(App_Priority,$H116)&amp;"")</f>
        <v/>
      </c>
      <c r="G116" s="68">
        <f>IF($H116="","",IF(ISNUMBER(INDEX(App_NextDate,$H116)),INDEX(App_NextDate,$H116),""))</f>
        <v/>
      </c>
      <c r="H116">
        <f>IFERROR(MATCH(SMALL(App_ActiveKey,11),App_ActiveKey,0),"")</f>
        <v/>
      </c>
    </row>
    <row r="117" ht="18" customHeight="1">
      <c r="B117" s="67">
        <f>IF($H117="","",INDEX(App_Company,$H117)&amp;IF(INDEX(App_JobTitle,$H117)="",""," — "&amp;INDEX(App_JobTitle,$H117)))</f>
        <v/>
      </c>
      <c r="C117" s="67">
        <f>IF($H117="","",INDEX(App_Status,$H117)&amp;"")</f>
        <v/>
      </c>
      <c r="D117" s="68">
        <f>IF($H117="","",IF(ISNUMBER(INDEX(App_DateApplied,$H117)),INDEX(App_DateApplied,$H117),""))</f>
        <v/>
      </c>
      <c r="E117" s="69">
        <f>IF($H117="","",IF(ISNUMBER(INDEX(App_DateApplied,$H117)),TODAY()-INT(INDEX(App_DateApplied,$H117)),""))</f>
        <v/>
      </c>
      <c r="F117" s="67">
        <f>IF($H117="","",INDEX(App_Priority,$H117)&amp;"")</f>
        <v/>
      </c>
      <c r="G117" s="68">
        <f>IF($H117="","",IF(ISNUMBER(INDEX(App_NextDate,$H117)),INDEX(App_NextDate,$H117),""))</f>
        <v/>
      </c>
      <c r="H117">
        <f>IFERROR(MATCH(SMALL(App_ActiveKey,12),App_ActiveKey,0),"")</f>
        <v/>
      </c>
    </row>
    <row r="118" ht="18" customHeight="1">
      <c r="B118" s="67">
        <f>IF($H118="","",INDEX(App_Company,$H118)&amp;IF(INDEX(App_JobTitle,$H118)="",""," — "&amp;INDEX(App_JobTitle,$H118)))</f>
        <v/>
      </c>
      <c r="C118" s="67">
        <f>IF($H118="","",INDEX(App_Status,$H118)&amp;"")</f>
        <v/>
      </c>
      <c r="D118" s="68">
        <f>IF($H118="","",IF(ISNUMBER(INDEX(App_DateApplied,$H118)),INDEX(App_DateApplied,$H118),""))</f>
        <v/>
      </c>
      <c r="E118" s="69">
        <f>IF($H118="","",IF(ISNUMBER(INDEX(App_DateApplied,$H118)),TODAY()-INT(INDEX(App_DateApplied,$H118)),""))</f>
        <v/>
      </c>
      <c r="F118" s="67">
        <f>IF($H118="","",INDEX(App_Priority,$H118)&amp;"")</f>
        <v/>
      </c>
      <c r="G118" s="68">
        <f>IF($H118="","",IF(ISNUMBER(INDEX(App_NextDate,$H118)),INDEX(App_NextDate,$H118),""))</f>
        <v/>
      </c>
      <c r="H118">
        <f>IFERROR(MATCH(SMALL(App_ActiveKey,13),App_ActiveKey,0),"")</f>
        <v/>
      </c>
    </row>
    <row r="119" ht="18" customHeight="1">
      <c r="B119" s="67">
        <f>IF($H119="","",INDEX(App_Company,$H119)&amp;IF(INDEX(App_JobTitle,$H119)="",""," — "&amp;INDEX(App_JobTitle,$H119)))</f>
        <v/>
      </c>
      <c r="C119" s="67">
        <f>IF($H119="","",INDEX(App_Status,$H119)&amp;"")</f>
        <v/>
      </c>
      <c r="D119" s="68">
        <f>IF($H119="","",IF(ISNUMBER(INDEX(App_DateApplied,$H119)),INDEX(App_DateApplied,$H119),""))</f>
        <v/>
      </c>
      <c r="E119" s="69">
        <f>IF($H119="","",IF(ISNUMBER(INDEX(App_DateApplied,$H119)),TODAY()-INT(INDEX(App_DateApplied,$H119)),""))</f>
        <v/>
      </c>
      <c r="F119" s="67">
        <f>IF($H119="","",INDEX(App_Priority,$H119)&amp;"")</f>
        <v/>
      </c>
      <c r="G119" s="68">
        <f>IF($H119="","",IF(ISNUMBER(INDEX(App_NextDate,$H119)),INDEX(App_NextDate,$H119),""))</f>
        <v/>
      </c>
      <c r="H119">
        <f>IFERROR(MATCH(SMALL(App_ActiveKey,14),App_ActiveKey,0),"")</f>
        <v/>
      </c>
    </row>
    <row r="120" ht="18" customHeight="1">
      <c r="B120" s="67">
        <f>IF($H120="","",INDEX(App_Company,$H120)&amp;IF(INDEX(App_JobTitle,$H120)="",""," — "&amp;INDEX(App_JobTitle,$H120)))</f>
        <v/>
      </c>
      <c r="C120" s="67">
        <f>IF($H120="","",INDEX(App_Status,$H120)&amp;"")</f>
        <v/>
      </c>
      <c r="D120" s="68">
        <f>IF($H120="","",IF(ISNUMBER(INDEX(App_DateApplied,$H120)),INDEX(App_DateApplied,$H120),""))</f>
        <v/>
      </c>
      <c r="E120" s="69">
        <f>IF($H120="","",IF(ISNUMBER(INDEX(App_DateApplied,$H120)),TODAY()-INT(INDEX(App_DateApplied,$H120)),""))</f>
        <v/>
      </c>
      <c r="F120" s="67">
        <f>IF($H120="","",INDEX(App_Priority,$H120)&amp;"")</f>
        <v/>
      </c>
      <c r="G120" s="68">
        <f>IF($H120="","",IF(ISNUMBER(INDEX(App_NextDate,$H120)),INDEX(App_NextDate,$H120),""))</f>
        <v/>
      </c>
      <c r="H120">
        <f>IFERROR(MATCH(SMALL(App_ActiveKey,15),App_ActiveKey,0),"")</f>
        <v/>
      </c>
    </row>
    <row r="121" ht="18" customHeight="1">
      <c r="B121" s="67">
        <f>IF($H121="","",INDEX(App_Company,$H121)&amp;IF(INDEX(App_JobTitle,$H121)="",""," — "&amp;INDEX(App_JobTitle,$H121)))</f>
        <v/>
      </c>
      <c r="C121" s="67">
        <f>IF($H121="","",INDEX(App_Status,$H121)&amp;"")</f>
        <v/>
      </c>
      <c r="D121" s="68">
        <f>IF($H121="","",IF(ISNUMBER(INDEX(App_DateApplied,$H121)),INDEX(App_DateApplied,$H121),""))</f>
        <v/>
      </c>
      <c r="E121" s="69">
        <f>IF($H121="","",IF(ISNUMBER(INDEX(App_DateApplied,$H121)),TODAY()-INT(INDEX(App_DateApplied,$H121)),""))</f>
        <v/>
      </c>
      <c r="F121" s="67">
        <f>IF($H121="","",INDEX(App_Priority,$H121)&amp;"")</f>
        <v/>
      </c>
      <c r="G121" s="68">
        <f>IF($H121="","",IF(ISNUMBER(INDEX(App_NextDate,$H121)),INDEX(App_NextDate,$H121),""))</f>
        <v/>
      </c>
      <c r="H121">
        <f>IFERROR(MATCH(SMALL(App_ActiveKey,16),App_ActiveKey,0),"")</f>
        <v/>
      </c>
    </row>
    <row r="122" ht="18" customHeight="1">
      <c r="B122" s="67">
        <f>IF($H122="","",INDEX(App_Company,$H122)&amp;IF(INDEX(App_JobTitle,$H122)="",""," — "&amp;INDEX(App_JobTitle,$H122)))</f>
        <v/>
      </c>
      <c r="C122" s="67">
        <f>IF($H122="","",INDEX(App_Status,$H122)&amp;"")</f>
        <v/>
      </c>
      <c r="D122" s="68">
        <f>IF($H122="","",IF(ISNUMBER(INDEX(App_DateApplied,$H122)),INDEX(App_DateApplied,$H122),""))</f>
        <v/>
      </c>
      <c r="E122" s="69">
        <f>IF($H122="","",IF(ISNUMBER(INDEX(App_DateApplied,$H122)),TODAY()-INT(INDEX(App_DateApplied,$H122)),""))</f>
        <v/>
      </c>
      <c r="F122" s="67">
        <f>IF($H122="","",INDEX(App_Priority,$H122)&amp;"")</f>
        <v/>
      </c>
      <c r="G122" s="68">
        <f>IF($H122="","",IF(ISNUMBER(INDEX(App_NextDate,$H122)),INDEX(App_NextDate,$H122),""))</f>
        <v/>
      </c>
      <c r="H122">
        <f>IFERROR(MATCH(SMALL(App_ActiveKey,17),App_ActiveKey,0),"")</f>
        <v/>
      </c>
    </row>
    <row r="123" ht="18" customHeight="1">
      <c r="B123" s="67">
        <f>IF($H123="","",INDEX(App_Company,$H123)&amp;IF(INDEX(App_JobTitle,$H123)="",""," — "&amp;INDEX(App_JobTitle,$H123)))</f>
        <v/>
      </c>
      <c r="C123" s="67">
        <f>IF($H123="","",INDEX(App_Status,$H123)&amp;"")</f>
        <v/>
      </c>
      <c r="D123" s="68">
        <f>IF($H123="","",IF(ISNUMBER(INDEX(App_DateApplied,$H123)),INDEX(App_DateApplied,$H123),""))</f>
        <v/>
      </c>
      <c r="E123" s="69">
        <f>IF($H123="","",IF(ISNUMBER(INDEX(App_DateApplied,$H123)),TODAY()-INT(INDEX(App_DateApplied,$H123)),""))</f>
        <v/>
      </c>
      <c r="F123" s="67">
        <f>IF($H123="","",INDEX(App_Priority,$H123)&amp;"")</f>
        <v/>
      </c>
      <c r="G123" s="68">
        <f>IF($H123="","",IF(ISNUMBER(INDEX(App_NextDate,$H123)),INDEX(App_NextDate,$H123),""))</f>
        <v/>
      </c>
      <c r="H123">
        <f>IFERROR(MATCH(SMALL(App_ActiveKey,18),App_ActiveKey,0),"")</f>
        <v/>
      </c>
    </row>
    <row r="124" ht="18" customHeight="1">
      <c r="B124" s="67">
        <f>IF($H124="","",INDEX(App_Company,$H124)&amp;IF(INDEX(App_JobTitle,$H124)="",""," — "&amp;INDEX(App_JobTitle,$H124)))</f>
        <v/>
      </c>
      <c r="C124" s="67">
        <f>IF($H124="","",INDEX(App_Status,$H124)&amp;"")</f>
        <v/>
      </c>
      <c r="D124" s="68">
        <f>IF($H124="","",IF(ISNUMBER(INDEX(App_DateApplied,$H124)),INDEX(App_DateApplied,$H124),""))</f>
        <v/>
      </c>
      <c r="E124" s="69">
        <f>IF($H124="","",IF(ISNUMBER(INDEX(App_DateApplied,$H124)),TODAY()-INT(INDEX(App_DateApplied,$H124)),""))</f>
        <v/>
      </c>
      <c r="F124" s="67">
        <f>IF($H124="","",INDEX(App_Priority,$H124)&amp;"")</f>
        <v/>
      </c>
      <c r="G124" s="68">
        <f>IF($H124="","",IF(ISNUMBER(INDEX(App_NextDate,$H124)),INDEX(App_NextDate,$H124),""))</f>
        <v/>
      </c>
      <c r="H124">
        <f>IFERROR(MATCH(SMALL(App_ActiveKey,19),App_ActiveKey,0),"")</f>
        <v/>
      </c>
    </row>
    <row r="125" ht="18" customHeight="1">
      <c r="B125" s="67">
        <f>IF($H125="","",INDEX(App_Company,$H125)&amp;IF(INDEX(App_JobTitle,$H125)="",""," — "&amp;INDEX(App_JobTitle,$H125)))</f>
        <v/>
      </c>
      <c r="C125" s="67">
        <f>IF($H125="","",INDEX(App_Status,$H125)&amp;"")</f>
        <v/>
      </c>
      <c r="D125" s="68">
        <f>IF($H125="","",IF(ISNUMBER(INDEX(App_DateApplied,$H125)),INDEX(App_DateApplied,$H125),""))</f>
        <v/>
      </c>
      <c r="E125" s="69">
        <f>IF($H125="","",IF(ISNUMBER(INDEX(App_DateApplied,$H125)),TODAY()-INT(INDEX(App_DateApplied,$H125)),""))</f>
        <v/>
      </c>
      <c r="F125" s="67">
        <f>IF($H125="","",INDEX(App_Priority,$H125)&amp;"")</f>
        <v/>
      </c>
      <c r="G125" s="68">
        <f>IF($H125="","",IF(ISNUMBER(INDEX(App_NextDate,$H125)),INDEX(App_NextDate,$H125),""))</f>
        <v/>
      </c>
      <c r="H125">
        <f>IFERROR(MATCH(SMALL(App_ActiveKey,20),App_ActiveKey,0),"")</f>
        <v/>
      </c>
    </row>
    <row r="126" ht="18" customHeight="1">
      <c r="B126" s="67">
        <f>IF($H126="","",INDEX(App_Company,$H126)&amp;IF(INDEX(App_JobTitle,$H126)="",""," — "&amp;INDEX(App_JobTitle,$H126)))</f>
        <v/>
      </c>
      <c r="C126" s="67">
        <f>IF($H126="","",INDEX(App_Status,$H126)&amp;"")</f>
        <v/>
      </c>
      <c r="D126" s="68">
        <f>IF($H126="","",IF(ISNUMBER(INDEX(App_DateApplied,$H126)),INDEX(App_DateApplied,$H126),""))</f>
        <v/>
      </c>
      <c r="E126" s="69">
        <f>IF($H126="","",IF(ISNUMBER(INDEX(App_DateApplied,$H126)),TODAY()-INT(INDEX(App_DateApplied,$H126)),""))</f>
        <v/>
      </c>
      <c r="F126" s="67">
        <f>IF($H126="","",INDEX(App_Priority,$H126)&amp;"")</f>
        <v/>
      </c>
      <c r="G126" s="68">
        <f>IF($H126="","",IF(ISNUMBER(INDEX(App_NextDate,$H126)),INDEX(App_NextDate,$H126),""))</f>
        <v/>
      </c>
      <c r="H126">
        <f>IFERROR(MATCH(SMALL(App_ActiveKey,21),App_ActiveKey,0),"")</f>
        <v/>
      </c>
    </row>
    <row r="127" ht="18" customHeight="1">
      <c r="B127" s="67">
        <f>IF($H127="","",INDEX(App_Company,$H127)&amp;IF(INDEX(App_JobTitle,$H127)="",""," — "&amp;INDEX(App_JobTitle,$H127)))</f>
        <v/>
      </c>
      <c r="C127" s="67">
        <f>IF($H127="","",INDEX(App_Status,$H127)&amp;"")</f>
        <v/>
      </c>
      <c r="D127" s="68">
        <f>IF($H127="","",IF(ISNUMBER(INDEX(App_DateApplied,$H127)),INDEX(App_DateApplied,$H127),""))</f>
        <v/>
      </c>
      <c r="E127" s="69">
        <f>IF($H127="","",IF(ISNUMBER(INDEX(App_DateApplied,$H127)),TODAY()-INT(INDEX(App_DateApplied,$H127)),""))</f>
        <v/>
      </c>
      <c r="F127" s="67">
        <f>IF($H127="","",INDEX(App_Priority,$H127)&amp;"")</f>
        <v/>
      </c>
      <c r="G127" s="68">
        <f>IF($H127="","",IF(ISNUMBER(INDEX(App_NextDate,$H127)),INDEX(App_NextDate,$H127),""))</f>
        <v/>
      </c>
      <c r="H127">
        <f>IFERROR(MATCH(SMALL(App_ActiveKey,22),App_ActiveKey,0),"")</f>
        <v/>
      </c>
    </row>
    <row r="128" ht="18" customHeight="1">
      <c r="B128" s="67">
        <f>IF($H128="","",INDEX(App_Company,$H128)&amp;IF(INDEX(App_JobTitle,$H128)="",""," — "&amp;INDEX(App_JobTitle,$H128)))</f>
        <v/>
      </c>
      <c r="C128" s="67">
        <f>IF($H128="","",INDEX(App_Status,$H128)&amp;"")</f>
        <v/>
      </c>
      <c r="D128" s="68">
        <f>IF($H128="","",IF(ISNUMBER(INDEX(App_DateApplied,$H128)),INDEX(App_DateApplied,$H128),""))</f>
        <v/>
      </c>
      <c r="E128" s="69">
        <f>IF($H128="","",IF(ISNUMBER(INDEX(App_DateApplied,$H128)),TODAY()-INT(INDEX(App_DateApplied,$H128)),""))</f>
        <v/>
      </c>
      <c r="F128" s="67">
        <f>IF($H128="","",INDEX(App_Priority,$H128)&amp;"")</f>
        <v/>
      </c>
      <c r="G128" s="68">
        <f>IF($H128="","",IF(ISNUMBER(INDEX(App_NextDate,$H128)),INDEX(App_NextDate,$H128),""))</f>
        <v/>
      </c>
      <c r="H128">
        <f>IFERROR(MATCH(SMALL(App_ActiveKey,23),App_ActiveKey,0),"")</f>
        <v/>
      </c>
    </row>
    <row r="129" ht="18" customHeight="1">
      <c r="B129" s="67">
        <f>IF($H129="","",INDEX(App_Company,$H129)&amp;IF(INDEX(App_JobTitle,$H129)="",""," — "&amp;INDEX(App_JobTitle,$H129)))</f>
        <v/>
      </c>
      <c r="C129" s="67">
        <f>IF($H129="","",INDEX(App_Status,$H129)&amp;"")</f>
        <v/>
      </c>
      <c r="D129" s="68">
        <f>IF($H129="","",IF(ISNUMBER(INDEX(App_DateApplied,$H129)),INDEX(App_DateApplied,$H129),""))</f>
        <v/>
      </c>
      <c r="E129" s="69">
        <f>IF($H129="","",IF(ISNUMBER(INDEX(App_DateApplied,$H129)),TODAY()-INT(INDEX(App_DateApplied,$H129)),""))</f>
        <v/>
      </c>
      <c r="F129" s="67">
        <f>IF($H129="","",INDEX(App_Priority,$H129)&amp;"")</f>
        <v/>
      </c>
      <c r="G129" s="68">
        <f>IF($H129="","",IF(ISNUMBER(INDEX(App_NextDate,$H129)),INDEX(App_NextDate,$H129),""))</f>
        <v/>
      </c>
      <c r="H129">
        <f>IFERROR(MATCH(SMALL(App_ActiveKey,24),App_ActiveKey,0),"")</f>
        <v/>
      </c>
    </row>
    <row r="130" ht="18" customHeight="1">
      <c r="B130" s="67">
        <f>IF($H130="","",INDEX(App_Company,$H130)&amp;IF(INDEX(App_JobTitle,$H130)="",""," — "&amp;INDEX(App_JobTitle,$H130)))</f>
        <v/>
      </c>
      <c r="C130" s="67">
        <f>IF($H130="","",INDEX(App_Status,$H130)&amp;"")</f>
        <v/>
      </c>
      <c r="D130" s="68">
        <f>IF($H130="","",IF(ISNUMBER(INDEX(App_DateApplied,$H130)),INDEX(App_DateApplied,$H130),""))</f>
        <v/>
      </c>
      <c r="E130" s="69">
        <f>IF($H130="","",IF(ISNUMBER(INDEX(App_DateApplied,$H130)),TODAY()-INT(INDEX(App_DateApplied,$H130)),""))</f>
        <v/>
      </c>
      <c r="F130" s="67">
        <f>IF($H130="","",INDEX(App_Priority,$H130)&amp;"")</f>
        <v/>
      </c>
      <c r="G130" s="68">
        <f>IF($H130="","",IF(ISNUMBER(INDEX(App_NextDate,$H130)),INDEX(App_NextDate,$H130),""))</f>
        <v/>
      </c>
      <c r="H130">
        <f>IFERROR(MATCH(SMALL(App_ActiveKey,25),App_ActiveKey,0),"")</f>
        <v/>
      </c>
    </row>
    <row r="131" ht="18" customHeight="1">
      <c r="B131" s="67">
        <f>IF($H131="","",INDEX(App_Company,$H131)&amp;IF(INDEX(App_JobTitle,$H131)="",""," — "&amp;INDEX(App_JobTitle,$H131)))</f>
        <v/>
      </c>
      <c r="C131" s="67">
        <f>IF($H131="","",INDEX(App_Status,$H131)&amp;"")</f>
        <v/>
      </c>
      <c r="D131" s="68">
        <f>IF($H131="","",IF(ISNUMBER(INDEX(App_DateApplied,$H131)),INDEX(App_DateApplied,$H131),""))</f>
        <v/>
      </c>
      <c r="E131" s="69">
        <f>IF($H131="","",IF(ISNUMBER(INDEX(App_DateApplied,$H131)),TODAY()-INT(INDEX(App_DateApplied,$H131)),""))</f>
        <v/>
      </c>
      <c r="F131" s="67">
        <f>IF($H131="","",INDEX(App_Priority,$H131)&amp;"")</f>
        <v/>
      </c>
      <c r="G131" s="68">
        <f>IF($H131="","",IF(ISNUMBER(INDEX(App_NextDate,$H131)),INDEX(App_NextDate,$H131),""))</f>
        <v/>
      </c>
      <c r="H131">
        <f>IFERROR(MATCH(SMALL(App_ActiveKey,26),App_ActiveKey,0),"")</f>
        <v/>
      </c>
    </row>
    <row r="132" ht="18" customHeight="1">
      <c r="B132" s="67">
        <f>IF($H132="","",INDEX(App_Company,$H132)&amp;IF(INDEX(App_JobTitle,$H132)="",""," — "&amp;INDEX(App_JobTitle,$H132)))</f>
        <v/>
      </c>
      <c r="C132" s="67">
        <f>IF($H132="","",INDEX(App_Status,$H132)&amp;"")</f>
        <v/>
      </c>
      <c r="D132" s="68">
        <f>IF($H132="","",IF(ISNUMBER(INDEX(App_DateApplied,$H132)),INDEX(App_DateApplied,$H132),""))</f>
        <v/>
      </c>
      <c r="E132" s="69">
        <f>IF($H132="","",IF(ISNUMBER(INDEX(App_DateApplied,$H132)),TODAY()-INT(INDEX(App_DateApplied,$H132)),""))</f>
        <v/>
      </c>
      <c r="F132" s="67">
        <f>IF($H132="","",INDEX(App_Priority,$H132)&amp;"")</f>
        <v/>
      </c>
      <c r="G132" s="68">
        <f>IF($H132="","",IF(ISNUMBER(INDEX(App_NextDate,$H132)),INDEX(App_NextDate,$H132),""))</f>
        <v/>
      </c>
      <c r="H132">
        <f>IFERROR(MATCH(SMALL(App_ActiveKey,27),App_ActiveKey,0),"")</f>
        <v/>
      </c>
    </row>
    <row r="133" ht="18" customHeight="1">
      <c r="B133" s="67">
        <f>IF($H133="","",INDEX(App_Company,$H133)&amp;IF(INDEX(App_JobTitle,$H133)="",""," — "&amp;INDEX(App_JobTitle,$H133)))</f>
        <v/>
      </c>
      <c r="C133" s="67">
        <f>IF($H133="","",INDEX(App_Status,$H133)&amp;"")</f>
        <v/>
      </c>
      <c r="D133" s="68">
        <f>IF($H133="","",IF(ISNUMBER(INDEX(App_DateApplied,$H133)),INDEX(App_DateApplied,$H133),""))</f>
        <v/>
      </c>
      <c r="E133" s="69">
        <f>IF($H133="","",IF(ISNUMBER(INDEX(App_DateApplied,$H133)),TODAY()-INT(INDEX(App_DateApplied,$H133)),""))</f>
        <v/>
      </c>
      <c r="F133" s="67">
        <f>IF($H133="","",INDEX(App_Priority,$H133)&amp;"")</f>
        <v/>
      </c>
      <c r="G133" s="68">
        <f>IF($H133="","",IF(ISNUMBER(INDEX(App_NextDate,$H133)),INDEX(App_NextDate,$H133),""))</f>
        <v/>
      </c>
      <c r="H133">
        <f>IFERROR(MATCH(SMALL(App_ActiveKey,28),App_ActiveKey,0),"")</f>
        <v/>
      </c>
    </row>
    <row r="134" ht="18" customHeight="1">
      <c r="B134" s="67">
        <f>IF($H134="","",INDEX(App_Company,$H134)&amp;IF(INDEX(App_JobTitle,$H134)="",""," — "&amp;INDEX(App_JobTitle,$H134)))</f>
        <v/>
      </c>
      <c r="C134" s="67">
        <f>IF($H134="","",INDEX(App_Status,$H134)&amp;"")</f>
        <v/>
      </c>
      <c r="D134" s="68">
        <f>IF($H134="","",IF(ISNUMBER(INDEX(App_DateApplied,$H134)),INDEX(App_DateApplied,$H134),""))</f>
        <v/>
      </c>
      <c r="E134" s="69">
        <f>IF($H134="","",IF(ISNUMBER(INDEX(App_DateApplied,$H134)),TODAY()-INT(INDEX(App_DateApplied,$H134)),""))</f>
        <v/>
      </c>
      <c r="F134" s="67">
        <f>IF($H134="","",INDEX(App_Priority,$H134)&amp;"")</f>
        <v/>
      </c>
      <c r="G134" s="68">
        <f>IF($H134="","",IF(ISNUMBER(INDEX(App_NextDate,$H134)),INDEX(App_NextDate,$H134),""))</f>
        <v/>
      </c>
      <c r="H134">
        <f>IFERROR(MATCH(SMALL(App_ActiveKey,29),App_ActiveKey,0),"")</f>
        <v/>
      </c>
    </row>
    <row r="135" ht="18" customHeight="1">
      <c r="B135" s="67">
        <f>IF($H135="","",INDEX(App_Company,$H135)&amp;IF(INDEX(App_JobTitle,$H135)="",""," — "&amp;INDEX(App_JobTitle,$H135)))</f>
        <v/>
      </c>
      <c r="C135" s="67">
        <f>IF($H135="","",INDEX(App_Status,$H135)&amp;"")</f>
        <v/>
      </c>
      <c r="D135" s="68">
        <f>IF($H135="","",IF(ISNUMBER(INDEX(App_DateApplied,$H135)),INDEX(App_DateApplied,$H135),""))</f>
        <v/>
      </c>
      <c r="E135" s="69">
        <f>IF($H135="","",IF(ISNUMBER(INDEX(App_DateApplied,$H135)),TODAY()-INT(INDEX(App_DateApplied,$H135)),""))</f>
        <v/>
      </c>
      <c r="F135" s="67">
        <f>IF($H135="","",INDEX(App_Priority,$H135)&amp;"")</f>
        <v/>
      </c>
      <c r="G135" s="68">
        <f>IF($H135="","",IF(ISNUMBER(INDEX(App_NextDate,$H135)),INDEX(App_NextDate,$H135),""))</f>
        <v/>
      </c>
      <c r="H135">
        <f>IFERROR(MATCH(SMALL(App_ActiveKey,30),App_ActiveKey,0),"")</f>
        <v/>
      </c>
    </row>
    <row r="136">
      <c r="B136" s="71">
        <f>IF(COUNT(App_ActiveKey)&gt;30,"+ "&amp;(COUNT(App_ActiveKey)-30)&amp;" more — filter Status on Applications","")</f>
        <v/>
      </c>
    </row>
  </sheetData>
  <conditionalFormatting sqref="B106:G135">
    <cfRule type="expression" priority="1" dxfId="6" stopIfTrue="0">
      <formula>$H106&lt;&gt;""</formula>
    </cfRule>
  </conditionalFormatting>
  <conditionalFormatting sqref="C106:C135">
    <cfRule type="expression" priority="2" dxfId="11" stopIfTrue="1">
      <formula>$C106="Wishlist"</formula>
    </cfRule>
    <cfRule type="expression" priority="3" dxfId="12" stopIfTrue="1">
      <formula>$C106="Applied"</formula>
    </cfRule>
    <cfRule type="expression" priority="4" dxfId="13" stopIfTrue="1">
      <formula>$C106="Screening"</formula>
    </cfRule>
    <cfRule type="expression" priority="5" dxfId="14" stopIfTrue="1">
      <formula>$C106="Interview 1"</formula>
    </cfRule>
    <cfRule type="expression" priority="6" dxfId="14" stopIfTrue="1">
      <formula>$C106="Interview 2"</formula>
    </cfRule>
    <cfRule type="expression" priority="7" dxfId="15" stopIfTrue="1">
      <formula>$C106="Final"</formula>
    </cfRule>
    <cfRule type="expression" priority="8" dxfId="16" stopIfTrue="1">
      <formula>$C106="Offer"</formula>
    </cfRule>
    <cfRule type="expression" priority="9" dxfId="17" stopIfTrue="1">
      <formula>$C106="Accepted"</formula>
    </cfRule>
    <cfRule type="expression" priority="10" dxfId="18" stopIfTrue="1">
      <formula>$C106="Rejected"</formula>
    </cfRule>
    <cfRule type="expression" priority="11" dxfId="19" stopIfTrue="1">
      <formula>$C106="Withdrawn"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B1:V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B1" s="104" t="inlineStr">
        <is>
          <t>Settings</t>
        </is>
      </c>
    </row>
    <row r="2">
      <c r="B2" s="4" t="inlineStr">
        <is>
          <t>Change the yellow values any time — every formula, flag and highlight follows them.</t>
        </is>
      </c>
    </row>
    <row r="4">
      <c r="B4" s="5" t="inlineStr">
        <is>
          <t>CONFIGURABLE VALUES</t>
        </is>
      </c>
      <c r="E4" s="105" t="inlineStr">
        <is>
          <t>VALUE</t>
        </is>
      </c>
      <c r="F4" s="5" t="inlineStr">
        <is>
          <t>WHAT IT DOES</t>
        </is>
      </c>
    </row>
    <row r="5" ht="22" customHeight="1">
      <c r="B5" s="106" t="inlineStr">
        <is>
          <t>Default Follow-up Days</t>
        </is>
      </c>
      <c r="E5" s="107" t="n">
        <v>7</v>
      </c>
      <c r="F5" s="108" t="inlineStr">
        <is>
          <t>Days after Date Applied with no reply (and no Next Action Date set) before an application is flagged NO RESPONSE. This is your own rule of thumb, not a fact about any company.</t>
        </is>
      </c>
    </row>
    <row r="6" ht="22" customHeight="1">
      <c r="B6" s="106" t="inlineStr">
        <is>
          <t>Due-Soon Window (days)</t>
        </is>
      </c>
      <c r="E6" s="107" t="n">
        <v>3</v>
      </c>
      <c r="F6" s="108" t="inlineStr">
        <is>
          <t>Next Action, Follow-up and Next Step dates within this many days turn yellow and show as DUE SOON.</t>
        </is>
      </c>
    </row>
    <row r="7" ht="22" customHeight="1">
      <c r="B7" s="106" t="inlineStr">
        <is>
          <t>Upcoming Interview Window (days)</t>
        </is>
      </c>
      <c r="E7" s="107" t="n">
        <v>14</v>
      </c>
      <c r="F7" s="108" t="inlineStr">
        <is>
          <t>Interviews within this many days are listed under Upcoming Interviews on the Follow-Ups tab.</t>
        </is>
      </c>
    </row>
    <row r="8" ht="22" customHeight="1">
      <c r="B8" s="106" t="inlineStr">
        <is>
          <t>Minimum Applications for a 'Best' Callout</t>
        </is>
      </c>
      <c r="E8" s="107" t="n">
        <v>5</v>
      </c>
      <c r="F8" s="108" t="inlineStr">
        <is>
          <t>Analytics only names a CV version, source, role or match band as 'best' once that group has at least this many applications, so one lucky application doesn't mislead you.</t>
        </is>
      </c>
    </row>
    <row r="10">
      <c r="B10" s="5" t="inlineStr">
        <is>
          <t>DROPDOWN LISTS</t>
        </is>
      </c>
    </row>
    <row r="11">
      <c r="B11" s="63" t="inlineStr">
        <is>
          <t>Rename items freely — except the two lists marked FIXED, which formulas rely on. Renaming doesn't change rows that already use the old name.</t>
        </is>
      </c>
    </row>
    <row r="12" ht="22" customHeight="1">
      <c r="B12" s="109" t="inlineStr">
        <is>
          <t>Job Type</t>
        </is>
      </c>
      <c r="C12" s="109" t="inlineStr">
        <is>
          <t>Work Mode</t>
        </is>
      </c>
      <c r="D12" s="109" t="inlineStr">
        <is>
          <t>Source</t>
        </is>
      </c>
      <c r="E12" s="109" t="inlineStr">
        <is>
          <t>Priority</t>
        </is>
      </c>
      <c r="F12" s="110" t="inlineStr">
        <is>
          <t>Status  · FIXED</t>
        </is>
      </c>
      <c r="G12" s="109" t="inlineStr">
        <is>
          <t>Cover Letter</t>
        </is>
      </c>
      <c r="H12" s="109" t="inlineStr">
        <is>
          <t>Yes / No</t>
        </is>
      </c>
      <c r="I12" s="109" t="inlineStr">
        <is>
          <t>CV Version</t>
        </is>
      </c>
      <c r="J12" s="109" t="inlineStr">
        <is>
          <t>Role Category</t>
        </is>
      </c>
      <c r="K12" s="110" t="inlineStr">
        <is>
          <t>Stage When Closed  · FIXED</t>
        </is>
      </c>
      <c r="L12" s="109" t="inlineStr">
        <is>
          <t>Industry</t>
        </is>
      </c>
      <c r="M12" s="109" t="inlineStr">
        <is>
          <t>AI Relevance</t>
        </is>
      </c>
      <c r="N12" s="109" t="inlineStr">
        <is>
          <t>Company Status</t>
        </is>
      </c>
      <c r="O12" s="109" t="inlineStr">
        <is>
          <t>Relationship</t>
        </is>
      </c>
      <c r="P12" s="109" t="inlineStr">
        <is>
          <t>Response</t>
        </is>
      </c>
      <c r="Q12" s="109" t="inlineStr">
        <is>
          <t>Referral Potential</t>
        </is>
      </c>
      <c r="R12" s="109" t="inlineStr">
        <is>
          <t>Interview Stage</t>
        </is>
      </c>
      <c r="S12" s="109" t="inlineStr">
        <is>
          <t>Interview Type</t>
        </is>
      </c>
      <c r="T12" s="109" t="inlineStr">
        <is>
          <t>Preparation Status</t>
        </is>
      </c>
      <c r="U12" s="109" t="inlineStr">
        <is>
          <t>My Performance</t>
        </is>
      </c>
      <c r="V12" s="109" t="inlineStr">
        <is>
          <t>Skill Tags</t>
        </is>
      </c>
    </row>
    <row r="13">
      <c r="B13" s="32" t="inlineStr">
        <is>
          <t>Full-time</t>
        </is>
      </c>
      <c r="C13" s="32" t="inlineStr">
        <is>
          <t>Remote</t>
        </is>
      </c>
      <c r="D13" s="32" t="inlineStr">
        <is>
          <t>LinkedIn</t>
        </is>
      </c>
      <c r="E13" s="32" t="inlineStr">
        <is>
          <t>High</t>
        </is>
      </c>
      <c r="F13" s="32" t="inlineStr">
        <is>
          <t>Wishlist</t>
        </is>
      </c>
      <c r="G13" s="32" t="inlineStr">
        <is>
          <t>Yes</t>
        </is>
      </c>
      <c r="H13" s="32" t="inlineStr">
        <is>
          <t>Yes</t>
        </is>
      </c>
      <c r="I13" s="32" t="inlineStr">
        <is>
          <t>AI Engineer CV</t>
        </is>
      </c>
      <c r="J13" s="32" t="inlineStr">
        <is>
          <t>AI Engineer</t>
        </is>
      </c>
      <c r="K13" s="32" t="inlineStr">
        <is>
          <t>Applied</t>
        </is>
      </c>
      <c r="L13" s="32" t="inlineStr">
        <is>
          <t>AI / ML</t>
        </is>
      </c>
      <c r="M13" s="32" t="inlineStr">
        <is>
          <t>High</t>
        </is>
      </c>
      <c r="N13" s="32" t="inlineStr">
        <is>
          <t>Researching</t>
        </is>
      </c>
      <c r="O13" s="32" t="inlineStr">
        <is>
          <t>Recruiter</t>
        </is>
      </c>
      <c r="P13" s="32" t="inlineStr">
        <is>
          <t>No Response</t>
        </is>
      </c>
      <c r="Q13" s="32" t="inlineStr">
        <is>
          <t>High</t>
        </is>
      </c>
      <c r="R13" s="32" t="inlineStr">
        <is>
          <t>Screening</t>
        </is>
      </c>
      <c r="S13" s="32" t="inlineStr">
        <is>
          <t>Recruiter</t>
        </is>
      </c>
      <c r="T13" s="32" t="inlineStr">
        <is>
          <t>Not Started</t>
        </is>
      </c>
      <c r="U13" s="32" t="inlineStr">
        <is>
          <t>Poor</t>
        </is>
      </c>
      <c r="V13" s="32" t="inlineStr">
        <is>
          <t>LLMs</t>
        </is>
      </c>
    </row>
    <row r="14">
      <c r="B14" s="32" t="inlineStr">
        <is>
          <t>Werkstudent</t>
        </is>
      </c>
      <c r="C14" s="32" t="inlineStr">
        <is>
          <t>Hybrid</t>
        </is>
      </c>
      <c r="D14" s="32" t="inlineStr">
        <is>
          <t>Company Website</t>
        </is>
      </c>
      <c r="E14" s="32" t="inlineStr">
        <is>
          <t>Medium</t>
        </is>
      </c>
      <c r="F14" s="32" t="inlineStr">
        <is>
          <t>Applied</t>
        </is>
      </c>
      <c r="G14" s="32" t="inlineStr">
        <is>
          <t>No</t>
        </is>
      </c>
      <c r="H14" s="32" t="inlineStr">
        <is>
          <t>No</t>
        </is>
      </c>
      <c r="I14" s="32" t="inlineStr">
        <is>
          <t>Generative AI CV</t>
        </is>
      </c>
      <c r="J14" s="32" t="inlineStr">
        <is>
          <t>Generative AI Engineer</t>
        </is>
      </c>
      <c r="K14" s="32" t="inlineStr">
        <is>
          <t>Screening</t>
        </is>
      </c>
      <c r="L14" s="32" t="inlineStr">
        <is>
          <t>SaaS</t>
        </is>
      </c>
      <c r="M14" s="32" t="inlineStr">
        <is>
          <t>Medium</t>
        </is>
      </c>
      <c r="N14" s="32" t="inlineStr">
        <is>
          <t>Watching</t>
        </is>
      </c>
      <c r="O14" s="32" t="inlineStr">
        <is>
          <t>Hiring Manager</t>
        </is>
      </c>
      <c r="P14" s="32" t="inlineStr">
        <is>
          <t>Positive</t>
        </is>
      </c>
      <c r="Q14" s="32" t="inlineStr">
        <is>
          <t>Medium</t>
        </is>
      </c>
      <c r="R14" s="32" t="inlineStr">
        <is>
          <t>Interview 1</t>
        </is>
      </c>
      <c r="S14" s="32" t="inlineStr">
        <is>
          <t>HR</t>
        </is>
      </c>
      <c r="T14" s="32" t="inlineStr">
        <is>
          <t>In Progress</t>
        </is>
      </c>
      <c r="U14" s="32" t="inlineStr">
        <is>
          <t>Needs Improvement</t>
        </is>
      </c>
      <c r="V14" s="32" t="inlineStr">
        <is>
          <t>RAG</t>
        </is>
      </c>
    </row>
    <row r="15">
      <c r="B15" s="32" t="inlineStr">
        <is>
          <t>Internship</t>
        </is>
      </c>
      <c r="C15" s="32" t="inlineStr">
        <is>
          <t>On-site</t>
        </is>
      </c>
      <c r="D15" s="32" t="inlineStr">
        <is>
          <t>Indeed</t>
        </is>
      </c>
      <c r="E15" s="32" t="inlineStr">
        <is>
          <t>Low</t>
        </is>
      </c>
      <c r="F15" s="32" t="inlineStr">
        <is>
          <t>Screening</t>
        </is>
      </c>
      <c r="G15" s="32" t="inlineStr">
        <is>
          <t>Not Required</t>
        </is>
      </c>
      <c r="I15" s="32" t="inlineStr">
        <is>
          <t>AI Automation CV</t>
        </is>
      </c>
      <c r="J15" s="32" t="inlineStr">
        <is>
          <t>Agentic AI Engineer</t>
        </is>
      </c>
      <c r="K15" s="32" t="inlineStr">
        <is>
          <t>Interview 1</t>
        </is>
      </c>
      <c r="L15" s="32" t="inlineStr">
        <is>
          <t>Enterprise Software</t>
        </is>
      </c>
      <c r="M15" s="32" t="inlineStr">
        <is>
          <t>Low</t>
        </is>
      </c>
      <c r="N15" s="32" t="inlineStr">
        <is>
          <t>Networking</t>
        </is>
      </c>
      <c r="O15" s="32" t="inlineStr">
        <is>
          <t>Employee</t>
        </is>
      </c>
      <c r="P15" s="32" t="inlineStr">
        <is>
          <t>Neutral</t>
        </is>
      </c>
      <c r="Q15" s="32" t="inlineStr">
        <is>
          <t>Low</t>
        </is>
      </c>
      <c r="R15" s="32" t="inlineStr">
        <is>
          <t>Interview 2</t>
        </is>
      </c>
      <c r="S15" s="32" t="inlineStr">
        <is>
          <t>Technical</t>
        </is>
      </c>
      <c r="T15" s="32" t="inlineStr">
        <is>
          <t>Ready</t>
        </is>
      </c>
      <c r="U15" s="32" t="inlineStr">
        <is>
          <t>Good</t>
        </is>
      </c>
      <c r="V15" s="32" t="inlineStr">
        <is>
          <t>Agentic AI</t>
        </is>
      </c>
    </row>
    <row r="16">
      <c r="B16" s="32" t="inlineStr">
        <is>
          <t>Working Student</t>
        </is>
      </c>
      <c r="D16" s="32" t="inlineStr">
        <is>
          <t>StepStone</t>
        </is>
      </c>
      <c r="F16" s="32" t="inlineStr">
        <is>
          <t>Interview 1</t>
        </is>
      </c>
      <c r="I16" s="32" t="inlineStr">
        <is>
          <t>AI Solutions CV</t>
        </is>
      </c>
      <c r="J16" s="32" t="inlineStr">
        <is>
          <t>AI Automation Engineer</t>
        </is>
      </c>
      <c r="K16" s="32" t="inlineStr">
        <is>
          <t>Interview 2</t>
        </is>
      </c>
      <c r="L16" s="32" t="inlineStr">
        <is>
          <t>Automotive</t>
        </is>
      </c>
      <c r="N16" s="32" t="inlineStr">
        <is>
          <t>Ready to Apply</t>
        </is>
      </c>
      <c r="O16" s="32" t="inlineStr">
        <is>
          <t>Alumni</t>
        </is>
      </c>
      <c r="P16" s="32" t="inlineStr">
        <is>
          <t>Negative</t>
        </is>
      </c>
      <c r="Q16" s="32" t="inlineStr">
        <is>
          <t>Unknown</t>
        </is>
      </c>
      <c r="R16" s="32" t="inlineStr">
        <is>
          <t>Interview 3+</t>
        </is>
      </c>
      <c r="S16" s="32" t="inlineStr">
        <is>
          <t>Coding</t>
        </is>
      </c>
      <c r="T16" s="32" t="inlineStr">
        <is>
          <t>Completed</t>
        </is>
      </c>
      <c r="U16" s="32" t="inlineStr">
        <is>
          <t>Very Good</t>
        </is>
      </c>
      <c r="V16" s="32" t="inlineStr">
        <is>
          <t>Multi-Agent Systems</t>
        </is>
      </c>
    </row>
    <row r="17">
      <c r="B17" s="32" t="inlineStr">
        <is>
          <t>Contract</t>
        </is>
      </c>
      <c r="D17" s="32" t="inlineStr">
        <is>
          <t>Glassdoor</t>
        </is>
      </c>
      <c r="F17" s="32" t="inlineStr">
        <is>
          <t>Interview 2</t>
        </is>
      </c>
      <c r="I17" s="32" t="inlineStr">
        <is>
          <t>General Software CV</t>
        </is>
      </c>
      <c r="J17" s="32" t="inlineStr">
        <is>
          <t>AI Solutions Engineer</t>
        </is>
      </c>
      <c r="K17" s="32" t="inlineStr">
        <is>
          <t>Final</t>
        </is>
      </c>
      <c r="L17" s="32" t="inlineStr">
        <is>
          <t>Consulting</t>
        </is>
      </c>
      <c r="N17" s="32" t="inlineStr">
        <is>
          <t>Applied</t>
        </is>
      </c>
      <c r="O17" s="32" t="inlineStr">
        <is>
          <t>Former Colleague</t>
        </is>
      </c>
      <c r="P17" s="32" t="inlineStr">
        <is>
          <t>Meeting</t>
        </is>
      </c>
      <c r="R17" s="32" t="inlineStr">
        <is>
          <t>Final</t>
        </is>
      </c>
      <c r="S17" s="32" t="inlineStr">
        <is>
          <t>AI/ML Technical</t>
        </is>
      </c>
      <c r="U17" s="32" t="inlineStr">
        <is>
          <t>Excellent</t>
        </is>
      </c>
      <c r="V17" s="32" t="inlineStr">
        <is>
          <t>Python</t>
        </is>
      </c>
    </row>
    <row r="18">
      <c r="B18" s="32" t="inlineStr">
        <is>
          <t>Freelance</t>
        </is>
      </c>
      <c r="D18" s="32" t="inlineStr">
        <is>
          <t>Recruiter</t>
        </is>
      </c>
      <c r="F18" s="32" t="inlineStr">
        <is>
          <t>Final</t>
        </is>
      </c>
      <c r="I18" s="32" t="inlineStr">
        <is>
          <t>Werkstudent AI CV</t>
        </is>
      </c>
      <c r="J18" s="32" t="inlineStr">
        <is>
          <t>AI/ML Engineer</t>
        </is>
      </c>
      <c r="K18" s="32" t="inlineStr">
        <is>
          <t>Offer</t>
        </is>
      </c>
      <c r="L18" s="32" t="inlineStr">
        <is>
          <t>Data</t>
        </is>
      </c>
      <c r="N18" s="32" t="inlineStr">
        <is>
          <t>Interviewing</t>
        </is>
      </c>
      <c r="O18" s="32" t="inlineStr">
        <is>
          <t>Friend / Personal</t>
        </is>
      </c>
      <c r="P18" s="32" t="inlineStr">
        <is>
          <t>Referral</t>
        </is>
      </c>
      <c r="R18" s="32" t="inlineStr">
        <is>
          <t>Other</t>
        </is>
      </c>
      <c r="S18" s="32" t="inlineStr">
        <is>
          <t>Hiring Manager</t>
        </is>
      </c>
      <c r="V18" s="32" t="inlineStr">
        <is>
          <t>LLM APIs</t>
        </is>
      </c>
    </row>
    <row r="19">
      <c r="D19" s="32" t="inlineStr">
        <is>
          <t>Referral</t>
        </is>
      </c>
      <c r="F19" s="32" t="inlineStr">
        <is>
          <t>Offer</t>
        </is>
      </c>
      <c r="I19" s="32" t="inlineStr">
        <is>
          <t>Custom</t>
        </is>
      </c>
      <c r="J19" s="32" t="inlineStr">
        <is>
          <t>Applied AI Engineer</t>
        </is>
      </c>
      <c r="L19" s="32" t="inlineStr">
        <is>
          <t>Automation</t>
        </is>
      </c>
      <c r="N19" s="32" t="inlineStr">
        <is>
          <t>Offer</t>
        </is>
      </c>
      <c r="O19" s="32" t="inlineStr">
        <is>
          <t>Event Contact</t>
        </is>
      </c>
      <c r="S19" s="32" t="inlineStr">
        <is>
          <t>Case Study</t>
        </is>
      </c>
      <c r="V19" s="32" t="inlineStr">
        <is>
          <t>Vector Databases</t>
        </is>
      </c>
    </row>
    <row r="20">
      <c r="D20" s="32" t="inlineStr">
        <is>
          <t>University</t>
        </is>
      </c>
      <c r="F20" s="32" t="inlineStr">
        <is>
          <t>Accepted</t>
        </is>
      </c>
      <c r="J20" s="32" t="inlineStr">
        <is>
          <t>AI Consultant</t>
        </is>
      </c>
      <c r="L20" s="32" t="inlineStr">
        <is>
          <t>FinTech</t>
        </is>
      </c>
      <c r="N20" s="32" t="inlineStr">
        <is>
          <t>Not a Fit</t>
        </is>
      </c>
      <c r="O20" s="32" t="inlineStr">
        <is>
          <t>Other</t>
        </is>
      </c>
      <c r="S20" s="32" t="inlineStr">
        <is>
          <t>Final</t>
        </is>
      </c>
      <c r="V20" s="32" t="inlineStr">
        <is>
          <t>SQL</t>
        </is>
      </c>
    </row>
    <row r="21">
      <c r="D21" s="32" t="inlineStr">
        <is>
          <t>Networking</t>
        </is>
      </c>
      <c r="F21" s="32" t="inlineStr">
        <is>
          <t>Rejected</t>
        </is>
      </c>
      <c r="J21" s="32" t="inlineStr">
        <is>
          <t>AI Product / Solutions</t>
        </is>
      </c>
      <c r="L21" s="32" t="inlineStr">
        <is>
          <t>HealthTech</t>
        </is>
      </c>
      <c r="S21" s="32" t="inlineStr">
        <is>
          <t>Other</t>
        </is>
      </c>
      <c r="V21" s="32" t="inlineStr">
        <is>
          <t>PostgreSQL</t>
        </is>
      </c>
    </row>
    <row r="22">
      <c r="D22" s="32" t="inlineStr">
        <is>
          <t>Other</t>
        </is>
      </c>
      <c r="F22" s="32" t="inlineStr">
        <is>
          <t>Withdrawn</t>
        </is>
      </c>
      <c r="J22" s="32" t="inlineStr">
        <is>
          <t>Werkstudent AI</t>
        </is>
      </c>
      <c r="L22" s="32" t="inlineStr">
        <is>
          <t>B2B SaaS</t>
        </is>
      </c>
      <c r="V22" s="32" t="inlineStr">
        <is>
          <t>Machine Learning</t>
        </is>
      </c>
    </row>
    <row r="23">
      <c r="J23" s="32" t="inlineStr">
        <is>
          <t>Other</t>
        </is>
      </c>
      <c r="L23" s="32" t="inlineStr">
        <is>
          <t>Startup</t>
        </is>
      </c>
      <c r="V23" s="32" t="inlineStr">
        <is>
          <t>AI Automation</t>
        </is>
      </c>
    </row>
    <row r="24">
      <c r="L24" s="32" t="inlineStr">
        <is>
          <t>Other</t>
        </is>
      </c>
      <c r="V24" s="32" t="inlineStr">
        <is>
          <t>Knowledge Management</t>
        </is>
      </c>
    </row>
    <row r="25">
      <c r="V25" s="32" t="inlineStr">
        <is>
          <t>Human-in-the-Loop</t>
        </is>
      </c>
    </row>
    <row r="26">
      <c r="V26" s="32" t="inlineStr">
        <is>
          <t>AI Agents</t>
        </is>
      </c>
    </row>
    <row r="28">
      <c r="B28" s="63" t="inlineStr">
        <is>
          <t>Skill Tags isn't a dropdown: type several tags into 'Key Technologies / Skills' separated by commas. Analytics counts the tags listed here (case-insensitive).</t>
        </is>
      </c>
    </row>
  </sheetData>
  <dataValidations count="4">
    <dataValidation sqref="E5" showDropDown="0" showInputMessage="0" showErrorMessage="1" allowBlank="0" errorTitle="Whole number" error="Enter a whole number from 1 to 90." type="whole" operator="between">
      <formula1>1</formula1>
      <formula2>90</formula2>
    </dataValidation>
    <dataValidation sqref="E6" showDropDown="0" showInputMessage="0" showErrorMessage="1" allowBlank="0" errorTitle="Whole number" error="Enter a whole number from 0 to 30." type="whole" operator="between">
      <formula1>0</formula1>
      <formula2>30</formula2>
    </dataValidation>
    <dataValidation sqref="E7" showDropDown="0" showInputMessage="0" showErrorMessage="1" allowBlank="0" errorTitle="Whole number" error="Enter a whole number from 1 to 90." type="whole" operator="between">
      <formula1>1</formula1>
      <formula2>90</formula2>
    </dataValidation>
    <dataValidation sqref="E8" showDropDown="0" showInputMessage="0" showErrorMessage="1" allowBlank="0" errorTitle="Whole number" error="Enter a whole number from 1 to 100." type="whole" operator="between">
      <formula1>1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/>
  </sheetPr>
  <dimension ref="B1:D9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70" customWidth="1" min="4" max="4"/>
  </cols>
  <sheetData>
    <row r="1" ht="30" customHeight="1">
      <c r="B1" s="64" t="inlineStr">
        <is>
          <t>How to use this tracker</t>
        </is>
      </c>
    </row>
    <row r="2">
      <c r="B2" s="4" t="inlineStr">
        <is>
          <t>A job-search CRM for AI Engineer · Generative AI · Agentic AI · AI Automation · AI Solutions roles.</t>
        </is>
      </c>
    </row>
    <row r="4">
      <c r="B4" s="5" t="inlineStr">
        <is>
          <t>DAILY ROUTINE — 2 MINUTES</t>
        </is>
      </c>
    </row>
    <row r="5">
      <c r="B5" s="111" t="inlineStr">
        <is>
          <t>1. Open Follow-Ups</t>
        </is>
      </c>
      <c r="C5" s="112" t="inlineStr">
        <is>
          <t>Work top to bottom: overdue first, then due today, no response, due soon, contacts, interviews.</t>
        </is>
      </c>
    </row>
    <row r="6">
      <c r="B6" s="111" t="inlineStr">
        <is>
          <t>2. After each action</t>
        </is>
      </c>
      <c r="C6" s="112" t="inlineStr">
        <is>
          <t>On Applications, update Status, Next Action, Next Action Date and Last Updated.</t>
        </is>
      </c>
    </row>
    <row r="7">
      <c r="B7" s="111" t="inlineStr">
        <is>
          <t>3. Glance at the Dashboard</t>
        </is>
      </c>
      <c r="C7" s="112" t="inlineStr">
        <is>
          <t>Pipeline, conversion rates and this week's application count.</t>
        </is>
      </c>
    </row>
    <row r="8">
      <c r="B8" s="111" t="inlineStr">
        <is>
          <t>Weekly</t>
        </is>
      </c>
      <c r="C8" s="112" t="inlineStr">
        <is>
          <t>Check Analytics: which CV version, source, role and match band actually lead to interviews?</t>
        </is>
      </c>
    </row>
    <row r="10">
      <c r="B10" s="5" t="inlineStr">
        <is>
          <t>ADDING A JOB</t>
        </is>
      </c>
    </row>
    <row r="11">
      <c r="B11" s="111" t="inlineStr">
        <is>
          <t>Wishlist</t>
        </is>
      </c>
      <c r="C11" s="112" t="inlineStr">
        <is>
          <t>Add a row with Company, Job Title, Job URL, Match %, Status = Wishlist. Copy the 'Next ID' into Application ID.</t>
        </is>
      </c>
    </row>
    <row r="12">
      <c r="B12" s="111" t="inlineStr">
        <is>
          <t>When you apply</t>
        </is>
      </c>
      <c r="C12" s="112" t="inlineStr">
        <is>
          <t>Fill Date Applied, set Status = Applied, choose CV Version and Role Category, and set a Next Action + date.</t>
        </is>
      </c>
    </row>
    <row r="13">
      <c r="B13" s="111" t="inlineStr">
        <is>
          <t>When they reply</t>
        </is>
      </c>
      <c r="C13" s="112" t="inlineStr">
        <is>
          <t>Enter First Response Date and move Status forward (Screening, Interview 1, …).</t>
        </is>
      </c>
    </row>
    <row r="14">
      <c r="B14" s="111" t="inlineStr">
        <is>
          <t>If it closes</t>
        </is>
      </c>
      <c r="C14" s="112" t="inlineStr">
        <is>
          <t>Set Status = Rejected / Withdrawn. If it got past applying, also set Stage When Closed.</t>
        </is>
      </c>
    </row>
    <row r="15">
      <c r="B15" s="111" t="inlineStr">
        <is>
          <t>Interviews</t>
        </is>
      </c>
      <c r="C15" s="112" t="inlineStr">
        <is>
          <t>Add one row per round on Interviews — it feeds Upcoming Interviews on Follow-Ups.</t>
        </is>
      </c>
    </row>
    <row r="17">
      <c r="B17" s="5" t="inlineStr">
        <is>
          <t>COLOUR LEGEND</t>
        </is>
      </c>
    </row>
    <row r="18">
      <c r="B18" s="111" t="inlineStr">
        <is>
          <t>White cells</t>
        </is>
      </c>
      <c r="C18" s="112" t="inlineStr">
        <is>
          <t>Your input.</t>
        </is>
      </c>
    </row>
    <row r="19">
      <c r="B19" s="113" t="inlineStr">
        <is>
          <t>Grey cells</t>
        </is>
      </c>
      <c r="C19" s="112" t="inlineStr">
        <is>
          <t>Auto-calculated — don't type over them.</t>
        </is>
      </c>
    </row>
    <row r="20">
      <c r="B20" s="114" t="inlineStr">
        <is>
          <t>Yellow cells (Settings)</t>
        </is>
      </c>
      <c r="C20" s="112" t="inlineStr">
        <is>
          <t>Configurable values: follow-up days, due-soon window, etc.</t>
        </is>
      </c>
    </row>
    <row r="22">
      <c r="B22" s="5" t="inlineStr">
        <is>
          <t>STATUS PIPELINE</t>
        </is>
      </c>
    </row>
    <row r="23">
      <c r="B23" s="115" t="inlineStr">
        <is>
          <t>Wishlist</t>
        </is>
      </c>
      <c r="C23" s="112" t="inlineStr">
        <is>
          <t>Saved, not applied yet.</t>
        </is>
      </c>
    </row>
    <row r="24">
      <c r="B24" s="116" t="inlineStr">
        <is>
          <t>Applied</t>
        </is>
      </c>
      <c r="C24" s="112" t="inlineStr">
        <is>
          <t>Submitted, waiting for a reply.</t>
        </is>
      </c>
    </row>
    <row r="25">
      <c r="B25" s="117" t="inlineStr">
        <is>
          <t>Screening</t>
        </is>
      </c>
      <c r="C25" s="112" t="inlineStr">
        <is>
          <t>Recruiter / HR screening.</t>
        </is>
      </c>
    </row>
    <row r="26">
      <c r="B26" s="118" t="inlineStr">
        <is>
          <t>Interview 1</t>
        </is>
      </c>
      <c r="C26" s="112" t="inlineStr">
        <is>
          <t>First interview round.</t>
        </is>
      </c>
    </row>
    <row r="27">
      <c r="B27" s="118" t="inlineStr">
        <is>
          <t>Interview 2</t>
        </is>
      </c>
      <c r="C27" s="112" t="inlineStr">
        <is>
          <t>Second interview round.</t>
        </is>
      </c>
    </row>
    <row r="28">
      <c r="B28" s="119" t="inlineStr">
        <is>
          <t>Final</t>
        </is>
      </c>
      <c r="C28" s="112" t="inlineStr">
        <is>
          <t>Final round.</t>
        </is>
      </c>
    </row>
    <row r="29">
      <c r="B29" s="120" t="inlineStr">
        <is>
          <t>Offer</t>
        </is>
      </c>
      <c r="C29" s="112" t="inlineStr">
        <is>
          <t>Offer received.</t>
        </is>
      </c>
    </row>
    <row r="30">
      <c r="B30" s="121" t="inlineStr">
        <is>
          <t>Accepted</t>
        </is>
      </c>
      <c r="C30" s="112" t="inlineStr">
        <is>
          <t>Offer accepted.</t>
        </is>
      </c>
    </row>
    <row r="31">
      <c r="B31" s="122" t="inlineStr">
        <is>
          <t>Rejected</t>
        </is>
      </c>
      <c r="C31" s="112" t="inlineStr">
        <is>
          <t>Closed by the company — set Stage When Closed if it got past applying.</t>
        </is>
      </c>
    </row>
    <row r="32">
      <c r="B32" s="123" t="inlineStr">
        <is>
          <t>Withdrawn</t>
        </is>
      </c>
      <c r="C32" s="112" t="inlineStr">
        <is>
          <t>You withdrew — set Stage When Closed if you had applied.</t>
        </is>
      </c>
    </row>
    <row r="34">
      <c r="B34" s="5" t="inlineStr">
        <is>
          <t>ACTION FLAGS (APPLICATIONS → ACTION FLAG, AND THE FOLLOW-UPS TAB)</t>
        </is>
      </c>
    </row>
    <row r="35">
      <c r="B35" s="122" t="inlineStr">
        <is>
          <t>FOLLOW UP REQUIRED</t>
        </is>
      </c>
      <c r="C35" s="112" t="inlineStr">
        <is>
          <t>Next Action Date is in the past and the application is still open.</t>
        </is>
      </c>
    </row>
    <row r="36">
      <c r="B36" s="124" t="inlineStr">
        <is>
          <t>ACTION DUE TODAY</t>
        </is>
      </c>
      <c r="C36" s="112" t="inlineStr">
        <is>
          <t>Next Action Date is today.</t>
        </is>
      </c>
    </row>
    <row r="37">
      <c r="B37" s="125" t="inlineStr">
        <is>
          <t>NO RESPONSE</t>
        </is>
      </c>
      <c r="C37" s="112" t="inlineStr">
        <is>
          <t>Status is Applied, no First Response Date, no Next Action Date set, and Date Applied is at least 'Default Follow-up Days' ago (Settings).</t>
        </is>
      </c>
    </row>
    <row r="38">
      <c r="B38" s="126" t="inlineStr">
        <is>
          <t>DUE SOON</t>
        </is>
      </c>
      <c r="C38" s="112" t="inlineStr">
        <is>
          <t>Next Action Date falls within the Due-Soon Window (Settings).</t>
        </is>
      </c>
    </row>
    <row r="39">
      <c r="B39" s="111" t="inlineStr">
        <is>
          <t>(none)</t>
        </is>
      </c>
      <c r="C39" s="112" t="inlineStr">
        <is>
          <t>Closed applications (Rejected, Withdrawn, Accepted) never get a flag.</t>
        </is>
      </c>
    </row>
    <row r="41">
      <c r="B41" s="5" t="inlineStr">
        <is>
          <t>MATCH % BANDS — YOUR OWN ASSESSMENT, NOT AN OBJECTIVE SCORE</t>
        </is>
      </c>
    </row>
    <row r="42">
      <c r="B42" s="120" t="inlineStr">
        <is>
          <t>Excellent Match</t>
        </is>
      </c>
      <c r="C42" s="112" t="inlineStr">
        <is>
          <t>90–100%</t>
        </is>
      </c>
    </row>
    <row r="43">
      <c r="B43" s="127" t="inlineStr">
        <is>
          <t>Strong Match</t>
        </is>
      </c>
      <c r="C43" s="112" t="inlineStr">
        <is>
          <t>75–89%</t>
        </is>
      </c>
    </row>
    <row r="44">
      <c r="B44" s="117" t="inlineStr">
        <is>
          <t>Moderate Match</t>
        </is>
      </c>
      <c r="C44" s="112" t="inlineStr">
        <is>
          <t>60–74%</t>
        </is>
      </c>
    </row>
    <row r="45">
      <c r="B45" s="128" t="inlineStr">
        <is>
          <t>Low Match</t>
        </is>
      </c>
      <c r="C45" s="112" t="inlineStr">
        <is>
          <t>below 60%</t>
        </is>
      </c>
    </row>
    <row r="47">
      <c r="B47" s="5" t="inlineStr">
        <is>
          <t>HOW THE NUMBERS ARE CALCULATED</t>
        </is>
      </c>
    </row>
    <row r="48">
      <c r="B48" s="111" t="inlineStr">
        <is>
          <t>Total Applications</t>
        </is>
      </c>
      <c r="C48" s="112" t="inlineStr">
        <is>
          <t>Rows whose status is beyond Wishlist (Rejected counts as applied).</t>
        </is>
      </c>
    </row>
    <row r="49">
      <c r="B49" s="111" t="inlineStr">
        <is>
          <t>This Week / This Month</t>
        </is>
      </c>
      <c r="C49" s="112" t="inlineStr">
        <is>
          <t>By Date Applied. Weeks run Monday–Sunday.</t>
        </is>
      </c>
    </row>
    <row r="50">
      <c r="B50" s="111" t="inlineStr">
        <is>
          <t>Active</t>
        </is>
      </c>
      <c r="C50" s="112" t="inlineStr">
        <is>
          <t>Applied, Screening, Interview 1/2, Final or Offer — not yet closed.</t>
        </is>
      </c>
    </row>
    <row r="51">
      <c r="B51" s="111" t="inlineStr">
        <is>
          <t>Interviews</t>
        </is>
      </c>
      <c r="C51" s="112" t="inlineStr">
        <is>
          <t>Reached Interview 1 or later, including applications later rejected (via Stage When Closed). Screening alone doesn't count.</t>
        </is>
      </c>
    </row>
    <row r="52">
      <c r="B52" s="111" t="inlineStr">
        <is>
          <t>Conversion rates</t>
        </is>
      </c>
      <c r="C52" s="112" t="inlineStr">
        <is>
          <t>Application → Interview = Interviews ÷ Total · Interview → Final = Finals ÷ Interviews · Final → Offer = Offers ÷ Finals · Overall Offer Rate = Offers ÷ Total.</t>
        </is>
      </c>
    </row>
    <row r="53">
      <c r="B53" s="111" t="inlineStr">
        <is>
          <t>Avg. Days to First Response</t>
        </is>
      </c>
      <c r="C53" s="112" t="inlineStr">
        <is>
          <t>Average of First Response Date − Date Applied, for rows that have both.</t>
        </is>
      </c>
    </row>
    <row r="54">
      <c r="B54" s="111" t="inlineStr">
        <is>
          <t>Best performer</t>
        </is>
      </c>
      <c r="C54" s="112" t="inlineStr">
        <is>
          <t>Highest interview rate among groups with at least the minimum sample size (Settings).</t>
        </is>
      </c>
    </row>
    <row r="55">
      <c r="B55" s="111" t="inlineStr">
        <is>
          <t>Skill tags</t>
        </is>
      </c>
      <c r="C55" s="112" t="inlineStr">
        <is>
          <t>A tag counts when it appears in Key Technologies / Skills between commas, e.g. 'LLMs, RAG'. Case doesn't matter.</t>
        </is>
      </c>
    </row>
    <row r="57">
      <c r="B57" s="5" t="inlineStr">
        <is>
          <t>EXAMPLE ENTRY — FOR REFERENCE ONLY, NOT COUNTED ANYWHERE</t>
        </is>
      </c>
    </row>
    <row r="58">
      <c r="B58" s="26" t="inlineStr">
        <is>
          <t>Column</t>
        </is>
      </c>
      <c r="C58" s="26" t="inlineStr">
        <is>
          <t>Example</t>
        </is>
      </c>
      <c r="D58" s="26" t="inlineStr">
        <is>
          <t>Tip</t>
        </is>
      </c>
    </row>
    <row r="59">
      <c r="B59" s="111" t="inlineStr">
        <is>
          <t>Application ID</t>
        </is>
      </c>
      <c r="C59" s="112" t="inlineStr">
        <is>
          <t>1  → shows as APP-001</t>
        </is>
      </c>
      <c r="D59" s="129" t="inlineStr">
        <is>
          <t>Type the 'Next ID' shown above the Applications header. It moves with the row when you sort.</t>
        </is>
      </c>
    </row>
    <row r="60">
      <c r="B60" s="111" t="inlineStr">
        <is>
          <t>Date Added</t>
        </is>
      </c>
      <c r="C60" s="130" t="n">
        <v>46296</v>
      </c>
      <c r="D60" s="129" t="inlineStr">
        <is>
          <t>When you saved the job. Ctrl+; inserts today's date.</t>
        </is>
      </c>
    </row>
    <row r="61">
      <c r="B61" s="111" t="inlineStr">
        <is>
          <t>Date Applied</t>
        </is>
      </c>
      <c r="C61" s="130" t="n">
        <v>46297</v>
      </c>
      <c r="D61" s="129" t="inlineStr">
        <is>
          <t>Leave blank while the job is on your Wishlist. Drives weekly counts and NO RESPONSE alerts.</t>
        </is>
      </c>
    </row>
    <row r="62">
      <c r="B62" s="111" t="inlineStr">
        <is>
          <t>Company</t>
        </is>
      </c>
      <c r="C62" s="112" t="inlineStr">
        <is>
          <t>Example GmbH (sample)</t>
        </is>
      </c>
      <c r="D62" s="129" t="inlineStr">
        <is>
          <t>Use the same spelling on Companies and Contacts so their counts link up.</t>
        </is>
      </c>
    </row>
    <row r="63">
      <c r="B63" s="111" t="inlineStr">
        <is>
          <t>Job Title</t>
        </is>
      </c>
      <c r="C63" s="112" t="inlineStr">
        <is>
          <t>Generative AI Engineer (m/w/d)</t>
        </is>
      </c>
      <c r="D63" s="129" t="inlineStr">
        <is>
          <t>Exact title from the posting.</t>
        </is>
      </c>
    </row>
    <row r="64">
      <c r="B64" s="111" t="inlineStr">
        <is>
          <t>Job Type</t>
        </is>
      </c>
      <c r="C64" s="112" t="inlineStr">
        <is>
          <t>Full-time</t>
        </is>
      </c>
      <c r="D64" s="129" t="inlineStr">
        <is>
          <t>Dropdown.</t>
        </is>
      </c>
    </row>
    <row r="65">
      <c r="B65" s="111" t="inlineStr">
        <is>
          <t>Location</t>
        </is>
      </c>
      <c r="C65" s="112" t="inlineStr">
        <is>
          <t>Stuttgart</t>
        </is>
      </c>
      <c r="D65" s="129" t="inlineStr">
        <is>
          <t>City or region.</t>
        </is>
      </c>
    </row>
    <row r="66">
      <c r="B66" s="111" t="inlineStr">
        <is>
          <t>Remote / Hybrid / On-site</t>
        </is>
      </c>
      <c r="C66" s="112" t="inlineStr">
        <is>
          <t>Hybrid</t>
        </is>
      </c>
      <c r="D66" s="129" t="inlineStr">
        <is>
          <t>Dropdown.</t>
        </is>
      </c>
    </row>
    <row r="67">
      <c r="B67" s="111" t="inlineStr">
        <is>
          <t>Job URL</t>
        </is>
      </c>
      <c r="C67" s="112" t="inlineStr">
        <is>
          <t>https://example.com/careers/genai-engineer</t>
        </is>
      </c>
      <c r="D67" s="129" t="inlineStr">
        <is>
          <t>Paste the posting link — it's clickable from Follow-Ups.</t>
        </is>
      </c>
    </row>
    <row r="68">
      <c r="B68" s="111" t="inlineStr">
        <is>
          <t>Source</t>
        </is>
      </c>
      <c r="C68" s="112" t="inlineStr">
        <is>
          <t>LinkedIn</t>
        </is>
      </c>
      <c r="D68" s="129" t="inlineStr">
        <is>
          <t>Where you found it. Analytics compares interview rates per source.</t>
        </is>
      </c>
    </row>
    <row r="69">
      <c r="B69" s="111" t="inlineStr">
        <is>
          <t>Priority</t>
        </is>
      </c>
      <c r="C69" s="112" t="inlineStr">
        <is>
          <t>High</t>
        </is>
      </c>
      <c r="D69" s="129" t="inlineStr">
        <is>
          <t>High / Medium / Low.</t>
        </is>
      </c>
    </row>
    <row r="70">
      <c r="B70" s="111" t="inlineStr">
        <is>
          <t>Match %</t>
        </is>
      </c>
      <c r="C70" s="112" t="inlineStr">
        <is>
          <t>85  → shows as 85%, Strong Match</t>
        </is>
      </c>
      <c r="D70" s="129" t="inlineStr">
        <is>
          <t>Your own fit estimate, 0–100. Not an objective score.</t>
        </is>
      </c>
    </row>
    <row r="71">
      <c r="B71" s="111" t="inlineStr">
        <is>
          <t>Status</t>
        </is>
      </c>
      <c r="C71" s="112" t="inlineStr">
        <is>
          <t>Applied</t>
        </is>
      </c>
      <c r="D71" s="129" t="inlineStr">
        <is>
          <t>Current pipeline stage (see the status legend above).</t>
        </is>
      </c>
    </row>
    <row r="72">
      <c r="B72" s="111" t="inlineStr">
        <is>
          <t>Next Action</t>
        </is>
      </c>
      <c r="C72" s="112" t="inlineStr">
        <is>
          <t>Follow up with the recruiter if no reply</t>
        </is>
      </c>
      <c r="D72" s="129" t="inlineStr">
        <is>
          <t>The single next thing you'll do.</t>
        </is>
      </c>
    </row>
    <row r="73">
      <c r="B73" s="111" t="inlineStr">
        <is>
          <t>Next Action Date</t>
        </is>
      </c>
      <c r="C73" s="130" t="n">
        <v>46304</v>
      </c>
      <c r="D73" s="129" t="inlineStr">
        <is>
          <t>Red when overdue, yellow when due soon. Move or clear it once done.</t>
        </is>
      </c>
    </row>
    <row r="74">
      <c r="B74" s="111" t="inlineStr">
        <is>
          <t>Recruiter / Hiring Manager</t>
        </is>
      </c>
      <c r="C74" s="112" t="inlineStr">
        <is>
          <t>Name of the recruiter</t>
        </is>
      </c>
      <c r="D74" s="129" t="inlineStr"/>
    </row>
    <row r="75">
      <c r="B75" s="111" t="inlineStr">
        <is>
          <t>Recruiter LinkedIn</t>
        </is>
      </c>
      <c r="C75" s="112" t="inlineStr">
        <is>
          <t>https://www.linkedin.com/in/…</t>
        </is>
      </c>
      <c r="D75" s="129" t="inlineStr"/>
    </row>
    <row r="76">
      <c r="B76" s="111" t="inlineStr">
        <is>
          <t>CV Version</t>
        </is>
      </c>
      <c r="C76" s="112" t="inlineStr">
        <is>
          <t>Generative AI CV</t>
        </is>
      </c>
      <c r="D76" s="129" t="inlineStr">
        <is>
          <t>Analytics shows which CV version gets the best interview rate.</t>
        </is>
      </c>
    </row>
    <row r="77">
      <c r="B77" s="111" t="inlineStr">
        <is>
          <t>Cover Letter</t>
        </is>
      </c>
      <c r="C77" s="112" t="inlineStr">
        <is>
          <t>Yes</t>
        </is>
      </c>
      <c r="D77" s="129" t="inlineStr">
        <is>
          <t>Yes / No / Not Required.</t>
        </is>
      </c>
    </row>
    <row r="78">
      <c r="B78" s="111" t="inlineStr">
        <is>
          <t>Referral</t>
        </is>
      </c>
      <c r="C78" s="112" t="inlineStr">
        <is>
          <t>No</t>
        </is>
      </c>
      <c r="D78" s="129" t="inlineStr">
        <is>
          <t>Yes / No.</t>
        </is>
      </c>
    </row>
    <row r="79">
      <c r="B79" s="111" t="inlineStr">
        <is>
          <t>Salary / Salary Range</t>
        </is>
      </c>
      <c r="C79" s="112" t="inlineStr">
        <is>
          <t>€60–70k (estimate)</t>
        </is>
      </c>
      <c r="D79" s="129" t="inlineStr">
        <is>
          <t>Free text.</t>
        </is>
      </c>
    </row>
    <row r="80">
      <c r="B80" s="111" t="inlineStr">
        <is>
          <t>Key Technologies / Skills</t>
        </is>
      </c>
      <c r="C80" s="112" t="inlineStr">
        <is>
          <t>LLMs, RAG, Python, Vector Databases, AI Agents</t>
        </is>
      </c>
      <c r="D80" s="129" t="inlineStr">
        <is>
          <t>Several tags separated by commas. Tags from Settings → Skill Tags are counted in Analytics.</t>
        </is>
      </c>
    </row>
    <row r="81">
      <c r="B81" s="111" t="inlineStr">
        <is>
          <t>Why Me?</t>
        </is>
      </c>
      <c r="C81" s="112" t="inlineStr">
        <is>
          <t>Master's thesis focused on Agentic AI and intelligent knowledge management, with software background and experience with LLM/RAG concepts.</t>
        </is>
      </c>
      <c r="D81" s="129" t="inlineStr">
        <is>
          <t>1–2 sentences. Reuse for cover letters, recruiter messages and 'why are you a good fit?' answers.</t>
        </is>
      </c>
    </row>
    <row r="82">
      <c r="B82" s="111" t="inlineStr">
        <is>
          <t>Notes</t>
        </is>
      </c>
      <c r="C82" s="112" t="inlineStr">
        <is>
          <t>Team builds internal GenAI assistants; mention thesis on knowledge management.</t>
        </is>
      </c>
      <c r="D82" s="129" t="inlineStr"/>
    </row>
    <row r="83">
      <c r="B83" s="111" t="inlineStr">
        <is>
          <t>Last Updated</t>
        </is>
      </c>
      <c r="C83" s="130" t="n">
        <v>46297</v>
      </c>
      <c r="D83" s="129" t="inlineStr">
        <is>
          <t>Update whenever anything changes (Ctrl+;).</t>
        </is>
      </c>
    </row>
    <row r="84">
      <c r="B84" s="111" t="inlineStr">
        <is>
          <t>Role Category</t>
        </is>
      </c>
      <c r="C84" s="112" t="inlineStr">
        <is>
          <t>Generative AI Engineer</t>
        </is>
      </c>
      <c r="D84" s="129" t="inlineStr">
        <is>
          <t>Extra field: groups job titles for the dashboard and analytics.</t>
        </is>
      </c>
    </row>
    <row r="85">
      <c r="B85" s="111" t="inlineStr">
        <is>
          <t>First Response Date</t>
        </is>
      </c>
      <c r="C85" s="131" t="inlineStr">
        <is>
          <t>(blank until they reply)</t>
        </is>
      </c>
      <c r="D85" s="129" t="inlineStr">
        <is>
          <t>Extra field: date of the first reply — invite or rejection.</t>
        </is>
      </c>
    </row>
    <row r="86">
      <c r="B86" s="111" t="inlineStr">
        <is>
          <t>Stage When Closed</t>
        </is>
      </c>
      <c r="C86" s="131" t="inlineStr">
        <is>
          <t>(blank — only for Rejected / Withdrawn)</t>
        </is>
      </c>
      <c r="D86" s="129" t="inlineStr">
        <is>
          <t>Extra field: e.g. Interview 2 if you were rejected after the second interview. Keeps interview stats honest.</t>
        </is>
      </c>
    </row>
    <row r="87">
      <c r="B87" s="111" t="inlineStr">
        <is>
          <t>Action Flag</t>
        </is>
      </c>
      <c r="C87" s="131" t="inlineStr">
        <is>
          <t>(auto)</t>
        </is>
      </c>
      <c r="D87" s="129" t="inlineStr">
        <is>
          <t>FOLLOW UP REQUIRED / ACTION DUE TODAY / NO RESPONSE / DUE SOON.</t>
        </is>
      </c>
    </row>
    <row r="88">
      <c r="B88" s="111" t="inlineStr">
        <is>
          <t>Match Category</t>
        </is>
      </c>
      <c r="C88" s="131" t="inlineStr">
        <is>
          <t>(auto) Strong Match</t>
        </is>
      </c>
      <c r="D88" s="129" t="inlineStr">
        <is>
          <t>From Match %.</t>
        </is>
      </c>
    </row>
    <row r="89">
      <c r="B89" s="111" t="inlineStr">
        <is>
          <t>Furthest Stage</t>
        </is>
      </c>
      <c r="C89" s="131" t="inlineStr">
        <is>
          <t>(auto) Applied</t>
        </is>
      </c>
      <c r="D89" s="129" t="inlineStr">
        <is>
          <t>Status, or Stage When Closed for closed applications.</t>
        </is>
      </c>
    </row>
    <row r="90">
      <c r="B90" s="111" t="inlineStr">
        <is>
          <t>Days to Response</t>
        </is>
      </c>
      <c r="C90" s="131" t="inlineStr">
        <is>
          <t>(auto)</t>
        </is>
      </c>
      <c r="D90" s="129" t="inlineStr">
        <is>
          <t>First Response Date − Date Applied.</t>
        </is>
      </c>
    </row>
    <row r="92">
      <c r="B92" s="5" t="inlineStr">
        <is>
          <t>TIPS</t>
        </is>
      </c>
    </row>
    <row r="93">
      <c r="B93" s="111" t="inlineStr">
        <is>
          <t>Sorting &amp; filtering</t>
        </is>
      </c>
      <c r="C93" s="112" t="inlineStr">
        <is>
          <t>Use the filter arrows in the header row. Sorting keeps every row intact — IDs travel with their row.</t>
        </is>
      </c>
    </row>
    <row r="94">
      <c r="B94" s="111" t="inlineStr">
        <is>
          <t>More than 1,000 jobs?</t>
        </is>
      </c>
      <c r="C94" s="112" t="inlineStr">
        <is>
          <t>Formulas use named ranges (Formulas → Name Manager). Extend the App_* ranges and copy the grey formula columns down.</t>
        </is>
      </c>
    </row>
    <row r="95">
      <c r="B95" s="111" t="inlineStr">
        <is>
          <t>Adding dropdown items</t>
        </is>
      </c>
      <c r="C95" s="112" t="inlineStr">
        <is>
          <t>Rename items on Settings freely. To add one, extend that list's range in Data → Data Validation.</t>
        </is>
      </c>
    </row>
    <row r="96">
      <c r="B96" s="111" t="inlineStr">
        <is>
          <t>Google Sheets</t>
        </is>
      </c>
      <c r="C96" s="112" t="inlineStr">
        <is>
          <t>File → Import → upload this .xlsx. Dropdowns, colours, formulas and the chart carry over.</t>
        </is>
      </c>
    </row>
    <row r="97">
      <c r="B97" s="111" t="inlineStr">
        <is>
          <t>Privacy</t>
        </is>
      </c>
      <c r="C97" s="112" t="inlineStr">
        <is>
          <t>Contacts and notes are personal data — keep the file somewhere private.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2026-10-05T21:36:29Z</dcterms:created>
  <dcterms:modified xsi:type="dcterms:W3CDTF">2026-10-05T21:36:31Z</dcterms:modified>
</cp:coreProperties>
</file>